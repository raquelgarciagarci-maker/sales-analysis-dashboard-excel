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ml.chartshapes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Master\Ejercicios\Proyecto DB\Excel\Definitivo\"/>
    </mc:Choice>
  </mc:AlternateContent>
  <xr:revisionPtr revIDLastSave="0" documentId="13_ncr:1_{6A8EE265-E71C-4CE1-B548-8468507D2306}" xr6:coauthVersionLast="47" xr6:coauthVersionMax="47" xr10:uidLastSave="{00000000-0000-0000-0000-000000000000}"/>
  <bookViews>
    <workbookView xWindow="-120" yWindow="-120" windowWidth="51840" windowHeight="21120" activeTab="2" xr2:uid="{F02104A9-917D-46C9-9CA2-982555842010}"/>
  </bookViews>
  <sheets>
    <sheet name="ventas_dashboard" sheetId="2" r:id="rId1"/>
    <sheet name="Análisis" sheetId="1" r:id="rId2"/>
    <sheet name="DB" sheetId="3" r:id="rId3"/>
  </sheets>
  <definedNames>
    <definedName name="DatosExternos_1" localSheetId="0" hidden="1">ventas_dashboard!$A$1:$P$3001</definedName>
    <definedName name="SegmentaciónDeDatos_Años__fecha_compra">#N/A</definedName>
    <definedName name="SegmentaciónDeDatos_estado_entrega">#N/A</definedName>
    <definedName name="SegmentaciónDeDatos_Meses__fecha_compra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E77" i="1"/>
  <c r="B77" i="1"/>
  <c r="L22" i="1"/>
  <c r="B78" i="1" l="1"/>
  <c r="E78" i="1"/>
  <c r="W9" i="1"/>
  <c r="Z9" i="1"/>
  <c r="N9" i="1"/>
  <c r="K9" i="1"/>
  <c r="Q9" i="1"/>
  <c r="H9" i="1"/>
  <c r="B9" i="1"/>
  <c r="E9" i="1"/>
  <c r="T9" i="1"/>
  <c r="E11" i="1" l="1"/>
  <c r="E12" i="1" s="1"/>
  <c r="H11" i="1"/>
  <c r="H12" i="1" s="1"/>
  <c r="K11" i="1"/>
  <c r="K12" i="1" s="1"/>
  <c r="N11" i="1"/>
  <c r="N1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7B35E5-5DAB-46EC-AEB5-B13BC7A61C4F}" keepAlive="1" name="Consulta - ventas_dashboard" description="Conexión a la consulta 'ventas_dashboard' en el libro." type="5" refreshedVersion="8" background="1" saveData="1">
    <dbPr connection="Provider=Microsoft.Mashup.OleDb.1;Data Source=$Workbook$;Location=ventas_dashboard;Extended Properties=&quot;&quot;" command="SELECT * FROM [ventas_dashboard]"/>
  </connection>
</connections>
</file>

<file path=xl/sharedStrings.xml><?xml version="1.0" encoding="utf-8"?>
<sst xmlns="http://schemas.openxmlformats.org/spreadsheetml/2006/main" count="27293" uniqueCount="3145">
  <si>
    <t>order_id</t>
  </si>
  <si>
    <t>fecha_compra</t>
  </si>
  <si>
    <t>producto</t>
  </si>
  <si>
    <t>categoria</t>
  </si>
  <si>
    <t>cantidad</t>
  </si>
  <si>
    <t>precio_base</t>
  </si>
  <si>
    <t>descuento_pct</t>
  </si>
  <si>
    <t>precio_unitario</t>
  </si>
  <si>
    <t>total_venta</t>
  </si>
  <si>
    <t>estado_entrega</t>
  </si>
  <si>
    <t>canal_venta</t>
  </si>
  <si>
    <t>metodo_pago</t>
  </si>
  <si>
    <t>ciudad</t>
  </si>
  <si>
    <t>region</t>
  </si>
  <si>
    <t>city_tier</t>
  </si>
  <si>
    <t>valoracion_cliente</t>
  </si>
  <si>
    <t>ORD-100001</t>
  </si>
  <si>
    <t>Ratón Inalámbrico</t>
  </si>
  <si>
    <t>Electrónica</t>
  </si>
  <si>
    <t>Entregado</t>
  </si>
  <si>
    <t>Web</t>
  </si>
  <si>
    <t>Tarjeta de Crédito</t>
  </si>
  <si>
    <t>Sevilla</t>
  </si>
  <si>
    <t>Andalucía</t>
  </si>
  <si>
    <t>Tier 2</t>
  </si>
  <si>
    <t>ORD-100002</t>
  </si>
  <si>
    <t>Colchón Viscoelástico</t>
  </si>
  <si>
    <t>Hogar</t>
  </si>
  <si>
    <t>PayPal</t>
  </si>
  <si>
    <t>ORD-100003</t>
  </si>
  <si>
    <t>Robot de Cocina</t>
  </si>
  <si>
    <t>Cocina</t>
  </si>
  <si>
    <t>Transferencia</t>
  </si>
  <si>
    <t>Alicante</t>
  </si>
  <si>
    <t>Comunitat Valenciana</t>
  </si>
  <si>
    <t>Tier 3</t>
  </si>
  <si>
    <t>ORD-100004</t>
  </si>
  <si>
    <t>Camisa Oxford</t>
  </si>
  <si>
    <t>Ropa</t>
  </si>
  <si>
    <t>Pamplona</t>
  </si>
  <si>
    <t>Navarra</t>
  </si>
  <si>
    <t>ORD-100005</t>
  </si>
  <si>
    <t>Bicicleta Estática</t>
  </si>
  <si>
    <t>Deporte</t>
  </si>
  <si>
    <t>App Móvil</t>
  </si>
  <si>
    <t>Tarjeta de Débito</t>
  </si>
  <si>
    <t>Madrid</t>
  </si>
  <si>
    <t>Comunidad de Madrid</t>
  </si>
  <si>
    <t>Tier 1</t>
  </si>
  <si>
    <t>ORD-100006</t>
  </si>
  <si>
    <t>Estantería Modular</t>
  </si>
  <si>
    <t>En tránsito</t>
  </si>
  <si>
    <t>Marketplace</t>
  </si>
  <si>
    <t>León</t>
  </si>
  <si>
    <t>Castilla y León</t>
  </si>
  <si>
    <t>ORD-100007</t>
  </si>
  <si>
    <t>Teclado Mecánico</t>
  </si>
  <si>
    <t>Teléfono</t>
  </si>
  <si>
    <t>Bilbao</t>
  </si>
  <si>
    <t>País Vasco</t>
  </si>
  <si>
    <t>ORD-100008</t>
  </si>
  <si>
    <t>Camiseta Básica</t>
  </si>
  <si>
    <t>Pendiente</t>
  </si>
  <si>
    <t>Valencia</t>
  </si>
  <si>
    <t>ORD-100009</t>
  </si>
  <si>
    <t>Valladolid</t>
  </si>
  <si>
    <t>ORD-100010</t>
  </si>
  <si>
    <t>Logroño</t>
  </si>
  <si>
    <t>La Rioja</t>
  </si>
  <si>
    <t>ORD-100011</t>
  </si>
  <si>
    <t>Batidora de Vaso</t>
  </si>
  <si>
    <t>ORD-100012</t>
  </si>
  <si>
    <t>Sartén Antiadherente</t>
  </si>
  <si>
    <t>Oviedo</t>
  </si>
  <si>
    <t>Asturias</t>
  </si>
  <si>
    <t>ORD-100013</t>
  </si>
  <si>
    <t>Cuchillos Chef Set</t>
  </si>
  <si>
    <t>ORD-100014</t>
  </si>
  <si>
    <t>Monitor 27''</t>
  </si>
  <si>
    <t>ORD-100015</t>
  </si>
  <si>
    <t>ORD-100016</t>
  </si>
  <si>
    <t>Cafetera Espresso</t>
  </si>
  <si>
    <t>ORD-100017</t>
  </si>
  <si>
    <t>Pantalón Vaquero</t>
  </si>
  <si>
    <t>Santander</t>
  </si>
  <si>
    <t>Cantabria</t>
  </si>
  <si>
    <t>ORD-100018</t>
  </si>
  <si>
    <t>Silla Ergonómica</t>
  </si>
  <si>
    <t>ORD-100019</t>
  </si>
  <si>
    <t>Zapatillas Running</t>
  </si>
  <si>
    <t>Cancelado</t>
  </si>
  <si>
    <t>ORD-100020</t>
  </si>
  <si>
    <t>Lámpara de Pie</t>
  </si>
  <si>
    <t>ORD-100021</t>
  </si>
  <si>
    <t>Laptop Air 13</t>
  </si>
  <si>
    <t>Barcelona</t>
  </si>
  <si>
    <t>Cataluña</t>
  </si>
  <si>
    <t>ORD-100022</t>
  </si>
  <si>
    <t>Freidora de Aire</t>
  </si>
  <si>
    <t>ORD-100023</t>
  </si>
  <si>
    <t>ORD-100024</t>
  </si>
  <si>
    <t>Murcia</t>
  </si>
  <si>
    <t>Región de Murcia</t>
  </si>
  <si>
    <t>ORD-100025</t>
  </si>
  <si>
    <t>Laptop Pro 15</t>
  </si>
  <si>
    <t>ORD-100026</t>
  </si>
  <si>
    <t>ORD-100027</t>
  </si>
  <si>
    <t>ORD-100028</t>
  </si>
  <si>
    <t>ORD-100029</t>
  </si>
  <si>
    <t>Sudadera Fleece</t>
  </si>
  <si>
    <t>ORD-100030</t>
  </si>
  <si>
    <t>ORD-100031</t>
  </si>
  <si>
    <t>ORD-100032</t>
  </si>
  <si>
    <t>ORD-100033</t>
  </si>
  <si>
    <t>ORD-100034</t>
  </si>
  <si>
    <t>Smartphone X12</t>
  </si>
  <si>
    <t>Devuelto</t>
  </si>
  <si>
    <t>ORD-100035</t>
  </si>
  <si>
    <t>ORD-100036</t>
  </si>
  <si>
    <t>ORD-100037</t>
  </si>
  <si>
    <t>Málaga</t>
  </si>
  <si>
    <t>ORD-100038</t>
  </si>
  <si>
    <t>Mancuernas 10kg</t>
  </si>
  <si>
    <t>Zaragoza</t>
  </si>
  <si>
    <t>Aragón</t>
  </si>
  <si>
    <t>ORD-100039</t>
  </si>
  <si>
    <t>ORD-100040</t>
  </si>
  <si>
    <t>ORD-100041</t>
  </si>
  <si>
    <t>ORD-100042</t>
  </si>
  <si>
    <t>ORD-100043</t>
  </si>
  <si>
    <t>Esterilla Yoga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</si>
  <si>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</si>
  <si>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</si>
  <si>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</si>
  <si>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</si>
  <si>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</si>
  <si>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</si>
  <si>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</si>
  <si>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</si>
  <si>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</si>
  <si>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</si>
  <si>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Chaqueta Invierno</t>
  </si>
  <si>
    <t>ORD-100054</t>
  </si>
  <si>
    <t>Pelota Baloncesto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</si>
  <si>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</si>
  <si>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</si>
  <si>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</si>
  <si>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</si>
  <si>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</si>
  <si>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</si>
  <si>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</si>
  <si>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Sofá 3 Plazas</t>
  </si>
  <si>
    <t>Bizum</t>
  </si>
  <si>
    <t>ORD-100062</t>
  </si>
  <si>
    <t>ORD-100063</t>
  </si>
  <si>
    <t>ORD-100064</t>
  </si>
  <si>
    <t>Set Sábanas</t>
  </si>
  <si>
    <t>ORD-100065</t>
  </si>
  <si>
    <t>ORD-100066</t>
  </si>
  <si>
    <t>ORD-100067</t>
  </si>
  <si>
    <t>ORD-100068</t>
  </si>
  <si>
    <t>ORD-100069</t>
  </si>
  <si>
    <t>ORD-100070</t>
  </si>
  <si>
    <t>Tablet Pro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</si>
  <si>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</si>
  <si>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</si>
  <si>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</si>
  <si>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</si>
  <si>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</si>
  <si>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</si>
  <si>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</si>
  <si>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</si>
  <si>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</si>
  <si>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</si>
  <si>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</si>
  <si>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</si>
  <si>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</si>
  <si>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</si>
  <si>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</si>
  <si>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</si>
  <si>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</si>
  <si>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</si>
  <si>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</si>
  <si>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</si>
  <si>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</si>
  <si>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</si>
  <si>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</si>
  <si>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</si>
  <si>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</si>
  <si>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</si>
  <si>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</si>
  <si>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</si>
  <si>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</si>
  <si>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</si>
  <si>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ORD-100101</t>
  </si>
  <si>
    <t>ORD-100102</t>
  </si>
  <si>
    <t>ORD-100103</t>
  </si>
  <si>
    <t>ORD-100104</t>
  </si>
  <si>
    <t>ORD-100105</t>
  </si>
  <si>
    <t>ORD-100106</t>
  </si>
  <si>
    <t>ORD-100107</t>
  </si>
  <si>
    <t>ORD-100108</t>
  </si>
  <si>
    <t>ORD-100109</t>
  </si>
  <si>
    <t>ORD-100110</t>
  </si>
  <si>
    <t>ORD-100111</t>
  </si>
  <si>
    <t>Auriculares Bluetooth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</si>
  <si>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</si>
  <si>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</si>
  <si>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</si>
  <si>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</si>
  <si>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</si>
  <si>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</si>
  <si>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</si>
  <si>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</si>
  <si>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</si>
  <si>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</si>
  <si>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</si>
  <si>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</si>
  <si>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</si>
  <si>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</si>
  <si>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</si>
  <si>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</si>
  <si>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</si>
  <si>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</si>
  <si>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</si>
  <si>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</si>
  <si>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</si>
  <si>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ORD-100133</t>
  </si>
  <si>
    <t>ORD-100134</t>
  </si>
  <si>
    <t>ORD-100135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</si>
  <si>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</si>
  <si>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</si>
  <si>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</si>
  <si>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</si>
  <si>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</si>
  <si>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</si>
  <si>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</si>
  <si>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</si>
  <si>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</si>
  <si>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</si>
  <si>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</si>
  <si>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</si>
  <si>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</si>
  <si>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</si>
  <si>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</si>
  <si>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</si>
  <si>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</si>
  <si>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</si>
  <si>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</si>
  <si>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</si>
  <si>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</si>
  <si>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</si>
  <si>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</si>
  <si>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</si>
  <si>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</si>
  <si>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</si>
  <si>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</si>
  <si>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</si>
  <si>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</si>
  <si>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</si>
  <si>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</si>
  <si>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</si>
  <si>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</si>
  <si>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</si>
  <si>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</si>
  <si>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</si>
  <si>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</si>
  <si>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</si>
  <si>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</si>
  <si>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</si>
  <si>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</si>
  <si>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</si>
  <si>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</si>
  <si>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</si>
  <si>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</si>
  <si>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</si>
  <si>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</si>
  <si>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</si>
  <si>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</si>
  <si>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</si>
  <si>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</si>
  <si>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</si>
  <si>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</si>
  <si>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</si>
  <si>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</si>
  <si>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</si>
  <si>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</si>
  <si>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</si>
  <si>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</si>
  <si>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</si>
  <si>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</si>
  <si>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</si>
  <si>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</si>
  <si>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</si>
  <si>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</si>
  <si>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</si>
  <si>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</si>
  <si>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</si>
  <si>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</si>
  <si>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</si>
  <si>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ORD-100206</t>
  </si>
  <si>
    <t>ORD-100207</t>
  </si>
  <si>
    <t>ORD-100208</t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</si>
  <si>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</si>
  <si>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</si>
  <si>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</si>
  <si>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</si>
  <si>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</si>
  <si>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</si>
  <si>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</si>
  <si>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</si>
  <si>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</si>
  <si>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</si>
  <si>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</si>
  <si>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</si>
  <si>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</si>
  <si>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</si>
  <si>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</si>
  <si>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</si>
  <si>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</si>
  <si>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</si>
  <si>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</si>
  <si>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</si>
  <si>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</si>
  <si>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</si>
  <si>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</si>
  <si>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</si>
  <si>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</si>
  <si>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</si>
  <si>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</si>
  <si>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</si>
  <si>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</si>
  <si>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</si>
  <si>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</si>
  <si>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</si>
  <si>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</si>
  <si>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</si>
  <si>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</si>
  <si>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</si>
  <si>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</si>
  <si>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</si>
  <si>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</si>
  <si>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</si>
  <si>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</si>
  <si>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</si>
  <si>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</si>
  <si>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</si>
  <si>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</si>
  <si>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</si>
  <si>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</si>
  <si>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</si>
  <si>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</si>
  <si>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</si>
  <si>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</si>
  <si>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</si>
  <si>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</si>
  <si>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</si>
  <si>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</si>
  <si>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</si>
  <si>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</si>
  <si>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</si>
  <si>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</si>
  <si>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</si>
  <si>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</si>
  <si>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</si>
  <si>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</si>
  <si>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</si>
  <si>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</si>
  <si>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</si>
  <si>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</si>
  <si>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</si>
  <si>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</si>
  <si>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</si>
  <si>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</si>
  <si>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</si>
  <si>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</si>
  <si>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</si>
  <si>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</si>
  <si>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</si>
  <si>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</si>
  <si>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</si>
  <si>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</si>
  <si>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</si>
  <si>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</si>
  <si>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</si>
  <si>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</si>
  <si>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</si>
  <si>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</si>
  <si>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</si>
  <si>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</si>
  <si>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</si>
  <si>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</si>
  <si>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</si>
  <si>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</si>
  <si>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</si>
  <si>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</si>
  <si>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</si>
  <si>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</si>
  <si>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</si>
  <si>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</si>
  <si>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</si>
  <si>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</si>
  <si>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</si>
  <si>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</si>
  <si>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</si>
  <si>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</si>
  <si>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</si>
  <si>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</si>
  <si>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</si>
  <si>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</si>
  <si>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</si>
  <si>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</si>
  <si>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</si>
  <si>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</si>
  <si>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</si>
  <si>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</si>
  <si>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</si>
  <si>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</si>
  <si>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</si>
  <si>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</si>
  <si>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</si>
  <si>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</si>
  <si>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</si>
  <si>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</si>
  <si>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</si>
  <si>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</si>
  <si>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</si>
  <si>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</si>
  <si>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</si>
  <si>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</si>
  <si>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</si>
  <si>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</si>
  <si>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</si>
  <si>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</si>
  <si>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</si>
  <si>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</si>
  <si>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</si>
  <si>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</si>
  <si>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</si>
  <si>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</si>
  <si>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</si>
  <si>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</si>
  <si>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</si>
  <si>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</si>
  <si>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</si>
  <si>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</si>
  <si>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</si>
  <si>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</si>
  <si>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</si>
  <si>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</si>
  <si>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</si>
  <si>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</si>
  <si>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</si>
  <si>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</si>
  <si>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</si>
  <si>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</si>
  <si>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</si>
  <si>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</si>
  <si>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</si>
  <si>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</si>
  <si>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</si>
  <si>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</si>
  <si>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</si>
  <si>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</si>
  <si>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</si>
  <si>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</si>
  <si>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</si>
  <si>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</si>
  <si>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</si>
  <si>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</si>
  <si>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</si>
  <si>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</si>
  <si>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</si>
  <si>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</si>
  <si>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</si>
  <si>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</si>
  <si>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</si>
  <si>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</si>
  <si>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</si>
  <si>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</si>
  <si>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</si>
  <si>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</si>
  <si>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</si>
  <si>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</si>
  <si>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</si>
  <si>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</si>
  <si>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</si>
  <si>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</si>
  <si>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</si>
  <si>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</si>
  <si>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</si>
  <si>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</si>
  <si>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</si>
  <si>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</si>
  <si>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</si>
  <si>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</si>
  <si>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</si>
  <si>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</si>
  <si>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</si>
  <si>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</si>
  <si>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</si>
  <si>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</si>
  <si>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</si>
  <si>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</si>
  <si>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</si>
  <si>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</si>
  <si>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</si>
  <si>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</si>
  <si>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</si>
  <si>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</si>
  <si>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</si>
  <si>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</si>
  <si>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</si>
  <si>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</si>
  <si>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</si>
  <si>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</si>
  <si>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</si>
  <si>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</si>
  <si>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</si>
  <si>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</si>
  <si>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</si>
  <si>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</si>
  <si>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</si>
  <si>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</si>
  <si>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</si>
  <si>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</si>
  <si>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</si>
  <si>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</si>
  <si>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</si>
  <si>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</si>
  <si>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</si>
  <si>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</si>
  <si>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</si>
  <si>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</si>
  <si>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</si>
  <si>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</si>
  <si>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</si>
  <si>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</si>
  <si>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</si>
  <si>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</si>
  <si>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</si>
  <si>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</si>
  <si>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</si>
  <si>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</si>
  <si>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</si>
  <si>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</si>
  <si>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</si>
  <si>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</si>
  <si>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</si>
  <si>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</si>
  <si>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</si>
  <si>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</si>
  <si>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</si>
  <si>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</si>
  <si>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</si>
  <si>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</si>
  <si>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</si>
  <si>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</si>
  <si>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</si>
  <si>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</si>
  <si>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</si>
  <si>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</si>
  <si>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</si>
  <si>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</si>
  <si>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</si>
  <si>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</si>
  <si>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</si>
  <si>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</si>
  <si>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</si>
  <si>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</si>
  <si>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</si>
  <si>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</si>
  <si>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</si>
  <si>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</si>
  <si>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</si>
  <si>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</si>
  <si>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</si>
  <si>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</si>
  <si>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</si>
  <si>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</si>
  <si>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</si>
  <si>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</si>
  <si>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</si>
  <si>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</si>
  <si>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</si>
  <si>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</si>
  <si>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</si>
  <si>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</si>
  <si>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</si>
  <si>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</si>
  <si>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</si>
  <si>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</si>
  <si>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</si>
  <si>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</si>
  <si>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</si>
  <si>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</si>
  <si>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</si>
  <si>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</si>
  <si>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</si>
  <si>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</si>
  <si>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</si>
  <si>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</si>
  <si>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</si>
  <si>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</si>
  <si>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</si>
  <si>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</si>
  <si>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</si>
  <si>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</si>
  <si>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</si>
  <si>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</si>
  <si>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</si>
  <si>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</si>
  <si>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</si>
  <si>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</si>
  <si>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</si>
  <si>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</si>
  <si>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</si>
  <si>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</si>
  <si>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</si>
  <si>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</si>
  <si>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</si>
  <si>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</si>
  <si>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</si>
  <si>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</si>
  <si>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</si>
  <si>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</si>
  <si>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</si>
  <si>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</si>
  <si>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</si>
  <si>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</si>
  <si>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</si>
  <si>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</si>
  <si>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</si>
  <si>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</si>
  <si>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</si>
  <si>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</si>
  <si>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</si>
  <si>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</si>
  <si>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</si>
  <si>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</si>
  <si>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</si>
  <si>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</si>
  <si>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</si>
  <si>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</si>
  <si>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</si>
  <si>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</si>
  <si>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</si>
  <si>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</si>
  <si>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</si>
  <si>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</si>
  <si>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</si>
  <si>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</si>
  <si>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</si>
  <si>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</si>
  <si>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</si>
  <si>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</si>
  <si>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</si>
  <si>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</si>
  <si>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</si>
  <si>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</si>
  <si>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</si>
  <si>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</si>
  <si>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</si>
  <si>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</si>
  <si>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</si>
  <si>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</si>
  <si>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</si>
  <si>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</si>
  <si>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</si>
  <si>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</si>
  <si>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</si>
  <si>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</si>
  <si>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</si>
  <si>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</si>
  <si>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</si>
  <si>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</si>
  <si>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</si>
  <si>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</si>
  <si>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</si>
  <si>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</si>
  <si>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</si>
  <si>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</si>
  <si>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</si>
  <si>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</si>
  <si>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</si>
  <si>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</si>
  <si>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</si>
  <si>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</si>
  <si>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</si>
  <si>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</si>
  <si>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</si>
  <si>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</si>
  <si>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</si>
  <si>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</si>
  <si>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</si>
  <si>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</si>
  <si>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</si>
  <si>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</si>
  <si>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</si>
  <si>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</si>
  <si>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</si>
  <si>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</si>
  <si>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</si>
  <si>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</si>
  <si>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</si>
  <si>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</si>
  <si>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</si>
  <si>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</si>
  <si>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</si>
  <si>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</si>
  <si>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</si>
  <si>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</si>
  <si>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</si>
  <si>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</si>
  <si>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</si>
  <si>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</si>
  <si>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</si>
  <si>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</si>
  <si>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</si>
  <si>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</si>
  <si>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</si>
  <si>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</si>
  <si>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</si>
  <si>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</si>
  <si>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</si>
  <si>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</si>
  <si>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</si>
  <si>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</si>
  <si>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</si>
  <si>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</si>
  <si>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</si>
  <si>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</si>
  <si>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</si>
  <si>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</si>
  <si>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</si>
  <si>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</si>
  <si>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</si>
  <si>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</si>
  <si>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</si>
  <si>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</si>
  <si>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</si>
  <si>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</si>
  <si>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</si>
  <si>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</si>
  <si>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</si>
  <si>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</si>
  <si>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</si>
  <si>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</si>
  <si>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</si>
  <si>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</si>
  <si>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</si>
  <si>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</si>
  <si>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</si>
  <si>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</si>
  <si>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</si>
  <si>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</si>
  <si>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</si>
  <si>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</si>
  <si>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</si>
  <si>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</si>
  <si>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</si>
  <si>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</si>
  <si>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</si>
  <si>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</si>
  <si>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</si>
  <si>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</si>
  <si>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</si>
  <si>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</si>
  <si>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</si>
  <si>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</si>
  <si>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</si>
  <si>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</si>
  <si>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</si>
  <si>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</si>
  <si>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</si>
  <si>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</si>
  <si>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</si>
  <si>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</si>
  <si>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</si>
  <si>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</si>
  <si>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</si>
  <si>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</si>
  <si>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</si>
  <si>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</si>
  <si>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</si>
  <si>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</si>
  <si>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</si>
  <si>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</si>
  <si>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</si>
  <si>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</si>
  <si>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</si>
  <si>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</si>
  <si>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</si>
  <si>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</si>
  <si>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</si>
  <si>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</si>
  <si>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</si>
  <si>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</si>
  <si>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</si>
  <si>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</si>
  <si>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</si>
  <si>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</si>
  <si>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</si>
  <si>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</si>
  <si>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</si>
  <si>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</si>
  <si>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</si>
  <si>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</si>
  <si>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</si>
  <si>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</si>
  <si>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</si>
  <si>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</si>
  <si>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</si>
  <si>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</si>
  <si>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</si>
  <si>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</si>
  <si>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</si>
  <si>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</si>
  <si>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</si>
  <si>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</si>
  <si>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</si>
  <si>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</si>
  <si>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</si>
  <si>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</si>
  <si>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</si>
  <si>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</si>
  <si>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</si>
  <si>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</si>
  <si>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</si>
  <si>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</si>
  <si>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</si>
  <si>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</si>
  <si>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</si>
  <si>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</si>
  <si>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</si>
  <si>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</si>
  <si>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</si>
  <si>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</si>
  <si>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</si>
  <si>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</si>
  <si>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</si>
  <si>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</si>
  <si>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</si>
  <si>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</si>
  <si>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</si>
  <si>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</si>
  <si>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</si>
  <si>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</si>
  <si>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</si>
  <si>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</si>
  <si>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</si>
  <si>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</si>
  <si>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</si>
  <si>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</si>
  <si>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</si>
  <si>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</si>
  <si>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</si>
  <si>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</si>
  <si>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</si>
  <si>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</si>
  <si>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</si>
  <si>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</si>
  <si>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</si>
  <si>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</si>
  <si>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</si>
  <si>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</si>
  <si>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</si>
  <si>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</si>
  <si>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</si>
  <si>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</si>
  <si>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</si>
  <si>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</si>
  <si>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</si>
  <si>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</si>
  <si>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</si>
  <si>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</si>
  <si>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</si>
  <si>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</si>
  <si>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</si>
  <si>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</si>
  <si>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</si>
  <si>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</si>
  <si>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</si>
  <si>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</si>
  <si>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</si>
  <si>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</si>
  <si>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</si>
  <si>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</si>
  <si>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</si>
  <si>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</si>
  <si>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</si>
  <si>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</si>
  <si>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</si>
  <si>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</si>
  <si>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</si>
  <si>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</si>
  <si>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</si>
  <si>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</si>
  <si>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</si>
  <si>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</si>
  <si>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</si>
  <si>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</si>
  <si>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</si>
  <si>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</si>
  <si>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</si>
  <si>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</si>
  <si>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</si>
  <si>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</si>
  <si>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</si>
  <si>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</si>
  <si>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</si>
  <si>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</si>
  <si>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</si>
  <si>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</si>
  <si>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</si>
  <si>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</si>
  <si>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</si>
  <si>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</si>
  <si>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</si>
  <si>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</si>
  <si>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</si>
  <si>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</si>
  <si>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</si>
  <si>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</si>
  <si>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</si>
  <si>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</si>
  <si>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</si>
  <si>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</si>
  <si>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</si>
  <si>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</si>
  <si>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</si>
  <si>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</si>
  <si>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</si>
  <si>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</si>
  <si>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</si>
  <si>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</si>
  <si>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</si>
  <si>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</si>
  <si>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</si>
  <si>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</si>
  <si>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</si>
  <si>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</si>
  <si>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</si>
  <si>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</si>
  <si>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</si>
  <si>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</si>
  <si>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</si>
  <si>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</si>
  <si>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</si>
  <si>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</si>
  <si>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</si>
  <si>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</si>
  <si>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</si>
  <si>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</si>
  <si>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</si>
  <si>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</si>
  <si>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</si>
  <si>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</si>
  <si>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</si>
  <si>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</si>
  <si>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</si>
  <si>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</si>
  <si>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</si>
  <si>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</si>
  <si>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</si>
  <si>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</si>
  <si>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</si>
  <si>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</si>
  <si>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</si>
  <si>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</si>
  <si>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</si>
  <si>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</si>
  <si>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</si>
  <si>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</si>
  <si>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</si>
  <si>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</si>
  <si>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</si>
  <si>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</si>
  <si>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</si>
  <si>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</si>
  <si>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</si>
  <si>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</si>
  <si>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</si>
  <si>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</si>
  <si>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</si>
  <si>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</si>
  <si>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</si>
  <si>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</si>
  <si>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</si>
  <si>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</si>
  <si>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</si>
  <si>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</si>
  <si>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</si>
  <si>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</si>
  <si>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</si>
  <si>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</si>
  <si>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</si>
  <si>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</si>
  <si>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</si>
  <si>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</si>
  <si>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</si>
  <si>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</si>
  <si>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</si>
  <si>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</si>
  <si>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</si>
  <si>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</si>
  <si>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</si>
  <si>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</si>
  <si>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</si>
  <si>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</si>
  <si>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</si>
  <si>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</si>
  <si>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</si>
  <si>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</si>
  <si>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</si>
  <si>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</si>
  <si>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</si>
  <si>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</si>
  <si>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</si>
  <si>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</si>
  <si>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</si>
  <si>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</si>
  <si>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</si>
  <si>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</si>
  <si>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</si>
  <si>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</si>
  <si>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</si>
  <si>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</si>
  <si>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</si>
  <si>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</si>
  <si>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</si>
  <si>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</si>
  <si>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</si>
  <si>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</si>
  <si>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</si>
  <si>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</si>
  <si>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</si>
  <si>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</si>
  <si>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</si>
  <si>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</si>
  <si>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</si>
  <si>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</si>
  <si>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</si>
  <si>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</si>
  <si>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</si>
  <si>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</si>
  <si>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</si>
  <si>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</si>
  <si>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</si>
  <si>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</si>
  <si>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</si>
  <si>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</si>
  <si>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</si>
  <si>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</si>
  <si>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</si>
  <si>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</si>
  <si>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</si>
  <si>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</si>
  <si>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</si>
  <si>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</si>
  <si>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</si>
  <si>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</si>
  <si>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</si>
  <si>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</si>
  <si>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</si>
  <si>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</si>
  <si>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</si>
  <si>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</si>
  <si>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</si>
  <si>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</si>
  <si>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</si>
  <si>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</si>
  <si>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</si>
  <si>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</si>
  <si>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</si>
  <si>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</si>
  <si>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</si>
  <si>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</si>
  <si>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</si>
  <si>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</si>
  <si>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</si>
  <si>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</si>
  <si>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</si>
  <si>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</si>
  <si>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</si>
  <si>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</si>
  <si>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</si>
  <si>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</si>
  <si>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</si>
  <si>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</si>
  <si>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</si>
  <si>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</si>
  <si>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</si>
  <si>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</si>
  <si>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</si>
  <si>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</si>
  <si>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</si>
  <si>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</si>
  <si>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</si>
  <si>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</si>
  <si>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</si>
  <si>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</si>
  <si>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</si>
  <si>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</si>
  <si>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</si>
  <si>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</si>
  <si>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</si>
  <si>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</si>
  <si>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</si>
  <si>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</si>
  <si>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</si>
  <si>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</si>
  <si>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</si>
  <si>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</si>
  <si>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</si>
  <si>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</si>
  <si>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</si>
  <si>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</si>
  <si>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</si>
  <si>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</si>
  <si>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</si>
  <si>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</si>
  <si>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</si>
  <si>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</si>
  <si>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</si>
  <si>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</si>
  <si>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</si>
  <si>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</si>
  <si>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</si>
  <si>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</si>
  <si>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</si>
  <si>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</si>
  <si>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</si>
  <si>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</si>
  <si>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</si>
  <si>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</si>
  <si>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</si>
  <si>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</si>
  <si>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</si>
  <si>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</si>
  <si>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</si>
  <si>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</si>
  <si>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</si>
  <si>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</si>
  <si>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</si>
  <si>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</si>
  <si>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</si>
  <si>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</si>
  <si>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</si>
  <si>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</si>
  <si>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</si>
  <si>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</si>
  <si>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</si>
  <si>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</si>
  <si>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</si>
  <si>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</si>
  <si>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</si>
  <si>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</si>
  <si>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</si>
  <si>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</si>
  <si>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</si>
  <si>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</si>
  <si>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</si>
  <si>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</si>
  <si>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</si>
  <si>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</si>
  <si>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</si>
  <si>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</si>
  <si>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</si>
  <si>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</si>
  <si>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</si>
  <si>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</si>
  <si>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</si>
  <si>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</si>
  <si>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</si>
  <si>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</si>
  <si>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</si>
  <si>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</si>
  <si>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</si>
  <si>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</si>
  <si>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</si>
  <si>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</si>
  <si>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</si>
  <si>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</si>
  <si>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</si>
  <si>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</si>
  <si>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</si>
  <si>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</si>
  <si>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</si>
  <si>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</si>
  <si>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</si>
  <si>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</si>
  <si>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</si>
  <si>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</si>
  <si>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</si>
  <si>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</si>
  <si>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</si>
  <si>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</si>
  <si>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</si>
  <si>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</si>
  <si>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</si>
  <si>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</si>
  <si>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</si>
  <si>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</si>
  <si>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</si>
  <si>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</si>
  <si>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</si>
  <si>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</si>
  <si>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</si>
  <si>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</si>
  <si>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</si>
  <si>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</si>
  <si>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</si>
  <si>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</si>
  <si>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</si>
  <si>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</si>
  <si>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</si>
  <si>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</si>
  <si>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</si>
  <si>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</si>
  <si>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</si>
  <si>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</si>
  <si>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</si>
  <si>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</si>
  <si>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</si>
  <si>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</si>
  <si>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</si>
  <si>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</si>
  <si>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</si>
  <si>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</si>
  <si>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</si>
  <si>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</si>
  <si>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</si>
  <si>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</si>
  <si>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</si>
  <si>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</si>
  <si>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</si>
  <si>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</si>
  <si>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</si>
  <si>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</si>
  <si>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</si>
  <si>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</si>
  <si>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</si>
  <si>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</si>
  <si>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</si>
  <si>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</si>
  <si>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</si>
  <si>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</si>
  <si>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</si>
  <si>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</si>
  <si>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</si>
  <si>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</si>
  <si>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</si>
  <si>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</si>
  <si>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</si>
  <si>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</si>
  <si>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</si>
  <si>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</si>
  <si>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</si>
  <si>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</si>
  <si>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</si>
  <si>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</si>
  <si>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</si>
  <si>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</si>
  <si>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</si>
  <si>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</si>
  <si>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</si>
  <si>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</si>
  <si>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</si>
  <si>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</si>
  <si>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</si>
  <si>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</si>
  <si>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</si>
  <si>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</si>
  <si>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</si>
  <si>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</si>
  <si>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</si>
  <si>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</si>
  <si>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</si>
  <si>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</si>
  <si>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</si>
  <si>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</si>
  <si>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</si>
  <si>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</si>
  <si>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</si>
  <si>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</si>
  <si>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</si>
  <si>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</si>
  <si>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</si>
  <si>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</si>
  <si>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</si>
  <si>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</si>
  <si>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</si>
  <si>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</si>
  <si>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</si>
  <si>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</si>
  <si>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</si>
  <si>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</si>
  <si>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</si>
  <si>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</si>
  <si>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</si>
  <si>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</si>
  <si>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</si>
  <si>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</si>
  <si>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</si>
  <si>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</si>
  <si>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</si>
  <si>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</si>
  <si>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</si>
  <si>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</si>
  <si>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</si>
  <si>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</si>
  <si>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</si>
  <si>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</si>
  <si>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</si>
  <si>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</si>
  <si>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</si>
  <si>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</si>
  <si>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</si>
  <si>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</si>
  <si>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</si>
  <si>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</si>
  <si>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</si>
  <si>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</si>
  <si>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</si>
  <si>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</si>
  <si>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</si>
  <si>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</si>
  <si>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</si>
  <si>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</si>
  <si>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</si>
  <si>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</si>
  <si>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</si>
  <si>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</si>
  <si>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</si>
  <si>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</si>
  <si>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</si>
  <si>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</si>
  <si>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</si>
  <si>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</si>
  <si>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</si>
  <si>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</si>
  <si>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</si>
  <si>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</si>
  <si>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</si>
  <si>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</si>
  <si>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</si>
  <si>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</si>
  <si>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</si>
  <si>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</si>
  <si>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</si>
  <si>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</si>
  <si>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</si>
  <si>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</si>
  <si>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</si>
  <si>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</si>
  <si>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</si>
  <si>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</si>
  <si>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</si>
  <si>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</si>
  <si>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</si>
  <si>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</si>
  <si>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</si>
  <si>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</si>
  <si>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</si>
  <si>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</si>
  <si>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</si>
  <si>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</si>
  <si>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</si>
  <si>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</si>
  <si>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</si>
  <si>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</si>
  <si>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</si>
  <si>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</si>
  <si>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</si>
  <si>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</si>
  <si>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</si>
  <si>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</si>
  <si>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</si>
  <si>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</si>
  <si>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</si>
  <si>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</si>
  <si>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</si>
  <si>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</si>
  <si>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</si>
  <si>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</si>
  <si>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</si>
  <si>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</si>
  <si>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</si>
  <si>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</si>
  <si>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</si>
  <si>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</si>
  <si>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</si>
  <si>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</si>
  <si>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</si>
  <si>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</si>
  <si>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</si>
  <si>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</si>
  <si>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</si>
  <si>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</si>
  <si>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</si>
  <si>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</si>
  <si>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</si>
  <si>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</si>
  <si>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</si>
  <si>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</si>
  <si>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</si>
  <si>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</si>
  <si>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</si>
  <si>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</si>
  <si>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</si>
  <si>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</si>
  <si>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</si>
  <si>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</si>
  <si>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</si>
  <si>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</si>
  <si>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</si>
  <si>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</si>
  <si>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</si>
  <si>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</si>
  <si>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</si>
  <si>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</si>
  <si>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</si>
  <si>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</si>
  <si>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</si>
  <si>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</si>
  <si>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</si>
  <si>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</si>
  <si>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</si>
  <si>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</si>
  <si>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</si>
  <si>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</si>
  <si>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</si>
  <si>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</si>
  <si>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</si>
  <si>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</si>
  <si>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</si>
  <si>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</si>
  <si>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</si>
  <si>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</si>
  <si>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</si>
  <si>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</si>
  <si>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</si>
  <si>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</si>
  <si>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</si>
  <si>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</si>
  <si>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</si>
  <si>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</si>
  <si>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</si>
  <si>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</si>
  <si>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</si>
  <si>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</si>
  <si>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</si>
  <si>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</si>
  <si>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</si>
  <si>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</si>
  <si>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</si>
  <si>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</si>
  <si>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</si>
  <si>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</si>
  <si>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</si>
  <si>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</si>
  <si>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</si>
  <si>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</si>
  <si>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</si>
  <si>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</si>
  <si>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</si>
  <si>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</si>
  <si>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</si>
  <si>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</si>
  <si>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</si>
  <si>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</si>
  <si>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</si>
  <si>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</si>
  <si>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</si>
  <si>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</si>
  <si>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</si>
  <si>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</si>
  <si>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</si>
  <si>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</si>
  <si>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</si>
  <si>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</si>
  <si>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</si>
  <si>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</si>
  <si>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</si>
  <si>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</si>
  <si>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</si>
  <si>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</si>
  <si>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</si>
  <si>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</si>
  <si>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</si>
  <si>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</si>
  <si>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</si>
  <si>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</si>
  <si>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</si>
  <si>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</si>
  <si>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</si>
  <si>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</si>
  <si>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</si>
  <si>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</si>
  <si>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</si>
  <si>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</si>
  <si>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</si>
  <si>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</si>
  <si>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</si>
  <si>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</si>
  <si>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</si>
  <si>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</si>
  <si>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</si>
  <si>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</si>
  <si>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</si>
  <si>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</si>
  <si>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</si>
  <si>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</si>
  <si>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</si>
  <si>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</si>
  <si>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</si>
  <si>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</si>
  <si>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</si>
  <si>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</si>
  <si>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</si>
  <si>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</si>
  <si>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</si>
  <si>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</si>
  <si>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</si>
  <si>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</si>
  <si>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</si>
  <si>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</si>
  <si>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</si>
  <si>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</si>
  <si>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</si>
  <si>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</si>
  <si>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</si>
  <si>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</si>
  <si>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</si>
  <si>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</si>
  <si>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</si>
  <si>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</si>
  <si>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</si>
  <si>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</si>
  <si>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</si>
  <si>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</si>
  <si>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</si>
  <si>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</si>
  <si>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</si>
  <si>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</si>
  <si>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</si>
  <si>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</si>
  <si>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</si>
  <si>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</si>
  <si>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</si>
  <si>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</si>
  <si>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</si>
  <si>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</si>
  <si>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</si>
  <si>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</si>
  <si>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</si>
  <si>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</si>
  <si>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</si>
  <si>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</si>
  <si>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</si>
  <si>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</si>
  <si>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</si>
  <si>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</si>
  <si>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</si>
  <si>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</si>
  <si>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</si>
  <si>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</si>
  <si>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</si>
  <si>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</si>
  <si>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</si>
  <si>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</si>
  <si>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</si>
  <si>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</si>
  <si>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</si>
  <si>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</si>
  <si>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</si>
  <si>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</si>
  <si>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</si>
  <si>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</si>
  <si>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</si>
  <si>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</si>
  <si>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</si>
  <si>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</si>
  <si>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</si>
  <si>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</si>
  <si>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</si>
  <si>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</si>
  <si>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</si>
  <si>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</si>
  <si>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</si>
  <si>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</si>
  <si>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</si>
  <si>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</si>
  <si>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</si>
  <si>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</si>
  <si>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</si>
  <si>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</si>
  <si>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</si>
  <si>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</si>
  <si>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</si>
  <si>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</si>
  <si>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</si>
  <si>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</si>
  <si>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</si>
  <si>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</si>
  <si>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</si>
  <si>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</si>
  <si>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</si>
  <si>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</si>
  <si>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</si>
  <si>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</si>
  <si>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</si>
  <si>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</si>
  <si>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</si>
  <si>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</si>
  <si>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</si>
  <si>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</si>
  <si>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</si>
  <si>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</si>
  <si>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</si>
  <si>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</si>
  <si>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</si>
  <si>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</si>
  <si>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</si>
  <si>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</si>
  <si>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</si>
  <si>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</si>
  <si>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</si>
  <si>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</si>
  <si>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</si>
  <si>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</si>
  <si>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</si>
  <si>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</si>
  <si>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</si>
  <si>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</si>
  <si>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</si>
  <si>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</si>
  <si>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</si>
  <si>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</si>
  <si>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</si>
  <si>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</si>
  <si>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</si>
  <si>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</si>
  <si>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</si>
  <si>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</si>
  <si>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</si>
  <si>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</si>
  <si>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</si>
  <si>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</si>
  <si>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</si>
  <si>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</si>
  <si>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</si>
  <si>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</si>
  <si>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</si>
  <si>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</si>
  <si>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</si>
  <si>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</si>
  <si>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</si>
  <si>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</si>
  <si>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</si>
  <si>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</si>
  <si>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</si>
  <si>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</si>
  <si>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</si>
  <si>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</si>
  <si>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</si>
  <si>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</si>
  <si>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</si>
  <si>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</si>
  <si>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</si>
  <si>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</si>
  <si>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</si>
  <si>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</si>
  <si>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</si>
  <si>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</si>
  <si>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</si>
  <si>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</si>
  <si>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</si>
  <si>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</si>
  <si>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</si>
  <si>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</si>
  <si>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</si>
  <si>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</si>
  <si>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</si>
  <si>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</si>
  <si>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</si>
  <si>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</si>
  <si>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</si>
  <si>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</si>
  <si>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</si>
  <si>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</si>
  <si>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</si>
  <si>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</si>
  <si>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</si>
  <si>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</si>
  <si>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</si>
  <si>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</si>
  <si>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</si>
  <si>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</si>
  <si>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</si>
  <si>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</si>
  <si>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</si>
  <si>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</si>
  <si>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</si>
  <si>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</si>
  <si>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</si>
  <si>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</si>
  <si>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</si>
  <si>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</si>
  <si>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</si>
  <si>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</si>
  <si>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</si>
  <si>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</si>
  <si>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</si>
  <si>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</si>
  <si>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</si>
  <si>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</si>
  <si>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</si>
  <si>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</si>
  <si>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</si>
  <si>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</si>
  <si>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</si>
  <si>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</si>
  <si>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</si>
  <si>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</si>
  <si>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</si>
  <si>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</si>
  <si>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</si>
  <si>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</si>
  <si>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</si>
  <si>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</si>
  <si>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</si>
  <si>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</si>
  <si>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</si>
  <si>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</si>
  <si>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</si>
  <si>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</si>
  <si>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</si>
  <si>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</si>
  <si>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</si>
  <si>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</si>
  <si>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</si>
  <si>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</si>
  <si>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</si>
  <si>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</si>
  <si>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</si>
  <si>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</si>
  <si>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</si>
  <si>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</si>
  <si>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</si>
  <si>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</si>
  <si>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</si>
  <si>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</si>
  <si>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</si>
  <si>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</si>
  <si>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</si>
  <si>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</si>
  <si>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</si>
  <si>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</si>
  <si>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</si>
  <si>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</si>
  <si>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</si>
  <si>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</si>
  <si>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</si>
  <si>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</si>
  <si>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</si>
  <si>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</si>
  <si>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</si>
  <si>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</si>
  <si>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</si>
  <si>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</si>
  <si>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</si>
  <si>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</si>
  <si>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</si>
  <si>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</si>
  <si>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</si>
  <si>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</si>
  <si>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</si>
  <si>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</si>
  <si>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</si>
  <si>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</si>
  <si>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</si>
  <si>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</si>
  <si>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</si>
  <si>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</si>
  <si>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</si>
  <si>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</si>
  <si>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</si>
  <si>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</si>
  <si>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</si>
  <si>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</si>
  <si>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</si>
  <si>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</si>
  <si>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</si>
  <si>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</si>
  <si>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</si>
  <si>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</si>
  <si>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</si>
  <si>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</si>
  <si>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</si>
  <si>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</si>
  <si>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</si>
  <si>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</si>
  <si>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</si>
  <si>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</si>
  <si>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</si>
  <si>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</si>
  <si>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</si>
  <si>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</si>
  <si>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</si>
  <si>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</si>
  <si>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</si>
  <si>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</si>
  <si>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</si>
  <si>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</si>
  <si>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</si>
  <si>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</si>
  <si>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</si>
  <si>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</si>
  <si>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</si>
  <si>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</si>
  <si>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</si>
  <si>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</si>
  <si>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</si>
  <si>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</si>
  <si>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</si>
  <si>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</si>
  <si>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</si>
  <si>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</si>
  <si>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</si>
  <si>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</si>
  <si>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</si>
  <si>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</si>
  <si>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</si>
  <si>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</si>
  <si>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</si>
  <si>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</si>
  <si>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</si>
  <si>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</si>
  <si>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</si>
  <si>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</si>
  <si>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</si>
  <si>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</si>
  <si>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</si>
  <si>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</si>
  <si>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</si>
  <si>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</si>
  <si>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</si>
  <si>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</si>
  <si>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</si>
  <si>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</si>
  <si>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</si>
  <si>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</si>
  <si>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</si>
  <si>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</si>
  <si>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</si>
  <si>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</si>
  <si>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</si>
  <si>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</si>
  <si>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</si>
  <si>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</si>
  <si>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</si>
  <si>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</si>
  <si>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</si>
  <si>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</si>
  <si>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</si>
  <si>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</si>
  <si>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</si>
  <si>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</si>
  <si>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</si>
  <si>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</si>
  <si>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</si>
  <si>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</si>
  <si>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</si>
  <si>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</si>
  <si>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</si>
  <si>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</si>
  <si>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</si>
  <si>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</si>
  <si>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</si>
  <si>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</si>
  <si>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</si>
  <si>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</si>
  <si>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</si>
  <si>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</si>
  <si>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</si>
  <si>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</si>
  <si>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</si>
  <si>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</si>
  <si>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</si>
  <si>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</si>
  <si>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</si>
  <si>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</si>
  <si>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</si>
  <si>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</si>
  <si>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</si>
  <si>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</si>
  <si>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</si>
  <si>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</si>
  <si>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</si>
  <si>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</si>
  <si>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</si>
  <si>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</si>
  <si>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</si>
  <si>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</si>
  <si>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</si>
  <si>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</si>
  <si>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</si>
  <si>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</si>
  <si>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</si>
  <si>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</si>
  <si>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</si>
  <si>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</si>
  <si>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</si>
  <si>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</si>
  <si>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</si>
  <si>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</si>
  <si>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</si>
  <si>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</si>
  <si>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</si>
  <si>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</si>
  <si>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</si>
  <si>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</si>
  <si>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</si>
  <si>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</si>
  <si>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</si>
  <si>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</si>
  <si>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</si>
  <si>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</si>
  <si>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</si>
  <si>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</si>
  <si>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</si>
  <si>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</si>
  <si>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</si>
  <si>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</si>
  <si>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</si>
  <si>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</si>
  <si>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</si>
  <si>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</si>
  <si>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</si>
  <si>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</si>
  <si>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</si>
  <si>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</si>
  <si>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</si>
  <si>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</si>
  <si>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</si>
  <si>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</si>
  <si>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</si>
  <si>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</si>
  <si>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</si>
  <si>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</si>
  <si>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</si>
  <si>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</si>
  <si>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</si>
  <si>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</si>
  <si>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</si>
  <si>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</si>
  <si>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</si>
  <si>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</si>
  <si>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</si>
  <si>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</si>
  <si>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</si>
  <si>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</si>
  <si>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</si>
  <si>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</si>
  <si>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</si>
  <si>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</si>
  <si>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</si>
  <si>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</si>
  <si>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</si>
  <si>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</si>
  <si>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</si>
  <si>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</si>
  <si>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</si>
  <si>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</si>
  <si>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</si>
  <si>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</si>
  <si>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</si>
  <si>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</si>
  <si>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</si>
  <si>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</si>
  <si>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</si>
  <si>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</si>
  <si>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</si>
  <si>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</si>
  <si>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</si>
  <si>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</si>
  <si>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</si>
  <si>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</si>
  <si>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</si>
  <si>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</si>
  <si>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</si>
  <si>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</si>
  <si>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</si>
  <si>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</si>
  <si>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</si>
  <si>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</si>
  <si>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</si>
  <si>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</si>
  <si>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</si>
  <si>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</si>
  <si>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</si>
  <si>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</si>
  <si>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</si>
  <si>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</si>
  <si>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</si>
  <si>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</si>
  <si>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</si>
  <si>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</si>
  <si>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</si>
  <si>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</si>
  <si>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</si>
  <si>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</si>
  <si>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</si>
  <si>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</si>
  <si>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</si>
  <si>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</si>
  <si>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</si>
  <si>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</si>
  <si>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</si>
  <si>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</si>
  <si>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</si>
  <si>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</si>
  <si>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</si>
  <si>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</si>
  <si>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</si>
  <si>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</si>
  <si>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</si>
  <si>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</si>
  <si>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</si>
  <si>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</si>
  <si>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</si>
  <si>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</si>
  <si>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</si>
  <si>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</si>
  <si>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</si>
  <si>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</si>
  <si>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</si>
  <si>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</si>
  <si>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</si>
  <si>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</si>
  <si>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</si>
  <si>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</si>
  <si>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</si>
  <si>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</si>
  <si>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</si>
  <si>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</si>
  <si>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</si>
  <si>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</si>
  <si>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</si>
  <si>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</si>
  <si>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</si>
  <si>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</si>
  <si>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</si>
  <si>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</si>
  <si>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</si>
  <si>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</si>
  <si>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</si>
  <si>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</si>
  <si>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</si>
  <si>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</si>
  <si>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</si>
  <si>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</si>
  <si>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</si>
  <si>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</si>
  <si>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</si>
  <si>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</si>
  <si>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</si>
  <si>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</si>
  <si>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</si>
  <si>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</si>
  <si>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</si>
  <si>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</si>
  <si>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</si>
  <si>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</si>
  <si>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</si>
  <si>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</si>
  <si>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</si>
  <si>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</si>
  <si>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</si>
  <si>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</si>
  <si>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</si>
  <si>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</si>
  <si>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</si>
  <si>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</si>
  <si>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</si>
  <si>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</si>
  <si>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</si>
  <si>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</si>
  <si>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</si>
  <si>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</si>
  <si>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</si>
  <si>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</si>
  <si>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</si>
  <si>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</si>
  <si>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</si>
  <si>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</si>
  <si>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</si>
  <si>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</si>
  <si>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</si>
  <si>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</si>
  <si>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</si>
  <si>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</si>
  <si>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</si>
  <si>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</si>
  <si>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</si>
  <si>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</si>
  <si>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</si>
  <si>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</si>
  <si>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</si>
  <si>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</si>
  <si>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</si>
  <si>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</si>
  <si>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</si>
  <si>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</si>
  <si>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</si>
  <si>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</si>
  <si>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</si>
  <si>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</si>
  <si>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</si>
  <si>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</si>
  <si>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</si>
  <si>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</si>
  <si>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</si>
  <si>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</si>
  <si>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</si>
  <si>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</si>
  <si>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</si>
  <si>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</si>
  <si>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</si>
  <si>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</si>
  <si>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</si>
  <si>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</si>
  <si>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</si>
  <si>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</si>
  <si>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</si>
  <si>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</si>
  <si>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</si>
  <si>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</si>
  <si>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</si>
  <si>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</si>
  <si>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</si>
  <si>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</si>
  <si>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</si>
  <si>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</si>
  <si>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</si>
  <si>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</si>
  <si>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</si>
  <si>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</si>
  <si>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</si>
  <si>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</si>
  <si>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</si>
  <si>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</si>
  <si>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</si>
  <si>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</si>
  <si>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</si>
  <si>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</si>
  <si>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</si>
  <si>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</si>
  <si>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</si>
  <si>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</si>
  <si>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</si>
  <si>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</si>
  <si>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</si>
  <si>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</si>
  <si>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ORD-102072</t>
  </si>
  <si>
    <t>ORD-102073</t>
  </si>
  <si>
    <t>ORD-102074</t>
  </si>
  <si>
    <t>ORD-102075</t>
  </si>
  <si>
    <t>ORD-102076</t>
  </si>
  <si>
    <t>ORD-102077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</si>
  <si>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</si>
  <si>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</si>
  <si>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</si>
  <si>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</si>
  <si>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</si>
  <si>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</si>
  <si>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</si>
  <si>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</si>
  <si>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</si>
  <si>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</si>
  <si>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</si>
  <si>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</si>
  <si>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</si>
  <si>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</si>
  <si>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</si>
  <si>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</si>
  <si>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</si>
  <si>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</si>
  <si>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</si>
  <si>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</si>
  <si>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</si>
  <si>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</si>
  <si>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</si>
  <si>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</si>
  <si>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</si>
  <si>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</si>
  <si>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</si>
  <si>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</si>
  <si>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</si>
  <si>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</si>
  <si>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</si>
  <si>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</si>
  <si>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</si>
  <si>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</si>
  <si>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</si>
  <si>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</si>
  <si>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</si>
  <si>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</si>
  <si>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</si>
  <si>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</si>
  <si>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</si>
  <si>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</si>
  <si>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</si>
  <si>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</si>
  <si>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</si>
  <si>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</si>
  <si>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</si>
  <si>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</si>
  <si>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</si>
  <si>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</si>
  <si>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</si>
  <si>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</si>
  <si>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</si>
  <si>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</si>
  <si>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</si>
  <si>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</si>
  <si>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</si>
  <si>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</si>
  <si>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</si>
  <si>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</si>
  <si>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</si>
  <si>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</si>
  <si>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</si>
  <si>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</si>
  <si>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</si>
  <si>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</si>
  <si>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</si>
  <si>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</si>
  <si>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</si>
  <si>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</si>
  <si>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</si>
  <si>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</si>
  <si>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</si>
  <si>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</si>
  <si>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</si>
  <si>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</si>
  <si>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</si>
  <si>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</si>
  <si>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</si>
  <si>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</si>
  <si>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</si>
  <si>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</si>
  <si>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</si>
  <si>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</si>
  <si>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</si>
  <si>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</si>
  <si>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</si>
  <si>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</si>
  <si>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</si>
  <si>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</si>
  <si>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</si>
  <si>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</si>
  <si>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</si>
  <si>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</si>
  <si>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</si>
  <si>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</si>
  <si>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</si>
  <si>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</si>
  <si>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</si>
  <si>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</si>
  <si>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</si>
  <si>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</si>
  <si>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</si>
  <si>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</si>
  <si>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</si>
  <si>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</si>
  <si>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</si>
  <si>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</si>
  <si>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</si>
  <si>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</si>
  <si>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</si>
  <si>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</si>
  <si>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</si>
  <si>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</si>
  <si>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</si>
  <si>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</si>
  <si>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</si>
  <si>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</si>
  <si>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</si>
  <si>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</si>
  <si>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</si>
  <si>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</si>
  <si>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</si>
  <si>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</si>
  <si>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</si>
  <si>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</si>
  <si>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</si>
  <si>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</si>
  <si>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</si>
  <si>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</si>
  <si>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</si>
  <si>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</si>
  <si>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</si>
  <si>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</si>
  <si>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</si>
  <si>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</si>
  <si>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</si>
  <si>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</si>
  <si>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</si>
  <si>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</si>
  <si>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</si>
  <si>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</si>
  <si>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</si>
  <si>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</si>
  <si>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</si>
  <si>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</si>
  <si>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</si>
  <si>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</si>
  <si>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</si>
  <si>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</si>
  <si>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</si>
  <si>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</si>
  <si>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</si>
  <si>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</si>
  <si>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</si>
  <si>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</si>
  <si>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</si>
  <si>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</si>
  <si>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</si>
  <si>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</si>
  <si>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</si>
  <si>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</si>
  <si>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</si>
  <si>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</si>
  <si>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</si>
  <si>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</si>
  <si>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</si>
  <si>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</si>
  <si>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</si>
  <si>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</si>
  <si>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</si>
  <si>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</si>
  <si>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</si>
  <si>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</si>
  <si>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</si>
  <si>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</si>
  <si>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</si>
  <si>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</si>
  <si>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</si>
  <si>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</si>
  <si>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</si>
  <si>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</si>
  <si>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</si>
  <si>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</si>
  <si>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</si>
  <si>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</si>
  <si>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</si>
  <si>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</si>
  <si>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</si>
  <si>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</si>
  <si>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</si>
  <si>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</si>
  <si>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</si>
  <si>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</si>
  <si>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</si>
  <si>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</si>
  <si>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</si>
  <si>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</si>
  <si>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</si>
  <si>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</si>
  <si>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</si>
  <si>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</si>
  <si>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</si>
  <si>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</si>
  <si>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</si>
  <si>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</si>
  <si>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</si>
  <si>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</si>
  <si>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</si>
  <si>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</si>
  <si>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</si>
  <si>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</si>
  <si>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</si>
  <si>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</si>
  <si>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</si>
  <si>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</si>
  <si>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</si>
  <si>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</si>
  <si>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</si>
  <si>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</si>
  <si>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</si>
  <si>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</si>
  <si>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</si>
  <si>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</si>
  <si>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</si>
  <si>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</si>
  <si>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</si>
  <si>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</si>
  <si>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</si>
  <si>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</si>
  <si>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</si>
  <si>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</si>
  <si>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</si>
  <si>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</si>
  <si>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</si>
  <si>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</si>
  <si>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</si>
  <si>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</si>
  <si>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</si>
  <si>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</si>
  <si>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</si>
  <si>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</si>
  <si>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</si>
  <si>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</si>
  <si>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</si>
  <si>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</si>
  <si>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</si>
  <si>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</si>
  <si>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</si>
  <si>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</si>
  <si>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</si>
  <si>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</si>
  <si>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</si>
  <si>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</si>
  <si>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</si>
  <si>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</si>
  <si>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</si>
  <si>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</si>
  <si>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</si>
  <si>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</si>
  <si>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</si>
  <si>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</si>
  <si>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</si>
  <si>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</si>
  <si>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</si>
  <si>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</si>
  <si>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</si>
  <si>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</si>
  <si>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</si>
  <si>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</si>
  <si>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</si>
  <si>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</si>
  <si>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</si>
  <si>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</si>
  <si>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</si>
  <si>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</si>
  <si>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</si>
  <si>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</si>
  <si>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</si>
  <si>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</si>
  <si>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</si>
  <si>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</si>
  <si>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</si>
  <si>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</si>
  <si>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</si>
  <si>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</si>
  <si>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</si>
  <si>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</si>
  <si>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</si>
  <si>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</si>
  <si>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</si>
  <si>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</si>
  <si>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</si>
  <si>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</si>
  <si>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</si>
  <si>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</si>
  <si>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</si>
  <si>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</si>
  <si>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</si>
  <si>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</si>
  <si>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</si>
  <si>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</si>
  <si>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</si>
  <si>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</si>
  <si>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</si>
  <si>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</si>
  <si>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</si>
  <si>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</si>
  <si>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</si>
  <si>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</si>
  <si>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</si>
  <si>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</si>
  <si>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</si>
  <si>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</si>
  <si>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</si>
  <si>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</si>
  <si>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</si>
  <si>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</si>
  <si>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</si>
  <si>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</si>
  <si>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</si>
  <si>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</si>
  <si>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</si>
  <si>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</si>
  <si>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</si>
  <si>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</si>
  <si>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</si>
  <si>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</si>
  <si>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</si>
  <si>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</si>
  <si>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</si>
  <si>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</si>
  <si>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</si>
  <si>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</si>
  <si>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</si>
  <si>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</si>
  <si>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</si>
  <si>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</si>
  <si>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</si>
  <si>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</si>
  <si>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</si>
  <si>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</si>
  <si>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</si>
  <si>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</si>
  <si>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</si>
  <si>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</si>
  <si>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</si>
  <si>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</si>
  <si>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</si>
  <si>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</si>
  <si>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</si>
  <si>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</si>
  <si>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</si>
  <si>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</si>
  <si>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</si>
  <si>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</si>
  <si>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</si>
  <si>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</si>
  <si>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</si>
  <si>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</si>
  <si>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</si>
  <si>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</si>
  <si>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</si>
  <si>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</si>
  <si>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</si>
  <si>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</si>
  <si>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</si>
  <si>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</si>
  <si>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</si>
  <si>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</si>
  <si>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</si>
  <si>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</si>
  <si>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</si>
  <si>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</si>
  <si>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</si>
  <si>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</si>
  <si>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</si>
  <si>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</si>
  <si>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</si>
  <si>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</si>
  <si>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</si>
  <si>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</si>
  <si>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</si>
  <si>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</si>
  <si>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</si>
  <si>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</si>
  <si>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</si>
  <si>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</si>
  <si>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</si>
  <si>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</si>
  <si>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</si>
  <si>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</si>
  <si>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</si>
  <si>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</si>
  <si>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</si>
  <si>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</si>
  <si>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</si>
  <si>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</si>
  <si>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</si>
  <si>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</si>
  <si>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</si>
  <si>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</si>
  <si>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</si>
  <si>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</si>
  <si>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</si>
  <si>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</si>
  <si>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</si>
  <si>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</si>
  <si>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</si>
  <si>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</si>
  <si>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</si>
  <si>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</si>
  <si>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</si>
  <si>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</si>
  <si>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</si>
  <si>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</si>
  <si>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</si>
  <si>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</si>
  <si>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</si>
  <si>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</si>
  <si>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</si>
  <si>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</si>
  <si>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</si>
  <si>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</si>
  <si>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</si>
  <si>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</si>
  <si>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</si>
  <si>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</si>
  <si>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</si>
  <si>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</si>
  <si>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</si>
  <si>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</si>
  <si>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</si>
  <si>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</si>
  <si>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</si>
  <si>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</si>
  <si>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</si>
  <si>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</si>
  <si>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</si>
  <si>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</si>
  <si>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</si>
  <si>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</si>
  <si>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</si>
  <si>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</si>
  <si>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</si>
  <si>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</si>
  <si>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</si>
  <si>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</si>
  <si>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</si>
  <si>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</si>
  <si>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</si>
  <si>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</si>
  <si>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</si>
  <si>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</si>
  <si>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</si>
  <si>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</si>
  <si>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</si>
  <si>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</si>
  <si>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</si>
  <si>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</si>
  <si>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</si>
  <si>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</si>
  <si>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</si>
  <si>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</si>
  <si>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</si>
  <si>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</si>
  <si>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</si>
  <si>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</si>
  <si>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</si>
  <si>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</si>
  <si>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</si>
  <si>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</si>
  <si>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</si>
  <si>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</si>
  <si>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</si>
  <si>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</si>
  <si>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</si>
  <si>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</si>
  <si>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</si>
  <si>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</si>
  <si>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</si>
  <si>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</si>
  <si>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</si>
  <si>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</si>
  <si>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</si>
  <si>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</si>
  <si>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</si>
  <si>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</si>
  <si>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</si>
  <si>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</si>
  <si>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</si>
  <si>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</si>
  <si>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</si>
  <si>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</si>
  <si>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</si>
  <si>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</si>
  <si>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</si>
  <si>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</si>
  <si>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</si>
  <si>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</si>
  <si>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</si>
  <si>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</si>
  <si>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</si>
  <si>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</si>
  <si>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</si>
  <si>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</si>
  <si>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</si>
  <si>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</si>
  <si>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</si>
  <si>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</si>
  <si>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</si>
  <si>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</si>
  <si>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</si>
  <si>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</si>
  <si>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</si>
  <si>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</si>
  <si>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</si>
  <si>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</si>
  <si>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</si>
  <si>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</si>
  <si>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</si>
  <si>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</si>
  <si>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</si>
  <si>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</si>
  <si>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</si>
  <si>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</si>
  <si>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</si>
  <si>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</si>
  <si>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</si>
  <si>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</si>
  <si>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</si>
  <si>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</si>
  <si>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</si>
  <si>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</si>
  <si>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</si>
  <si>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</si>
  <si>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</si>
  <si>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</si>
  <si>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</si>
  <si>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</si>
  <si>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</si>
  <si>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</si>
  <si>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</si>
  <si>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</si>
  <si>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</si>
  <si>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</si>
  <si>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</si>
  <si>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</si>
  <si>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</si>
  <si>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</si>
  <si>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</si>
  <si>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</si>
  <si>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</si>
  <si>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</si>
  <si>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ORD-102632</t>
  </si>
  <si>
    <t>ORD-102633</t>
  </si>
  <si>
    <t>ORD-102634</t>
  </si>
  <si>
    <t>ORD-102635</t>
  </si>
  <si>
    <t>ORD-102636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</si>
  <si>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</si>
  <si>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</si>
  <si>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</si>
  <si>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</si>
  <si>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</si>
  <si>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</si>
  <si>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</si>
  <si>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</si>
  <si>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</si>
  <si>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</si>
  <si>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</si>
  <si>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</si>
  <si>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</si>
  <si>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</si>
  <si>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</si>
  <si>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</si>
  <si>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</si>
  <si>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</si>
  <si>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</si>
  <si>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</si>
  <si>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</si>
  <si>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</si>
  <si>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</si>
  <si>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</si>
  <si>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</si>
  <si>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</si>
  <si>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</si>
  <si>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</si>
  <si>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</si>
  <si>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</si>
  <si>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</si>
  <si>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</si>
  <si>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</si>
  <si>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</si>
  <si>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</si>
  <si>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</si>
  <si>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</si>
  <si>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</si>
  <si>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</si>
  <si>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</si>
  <si>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</si>
  <si>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</si>
  <si>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</si>
  <si>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</si>
  <si>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</si>
  <si>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</si>
  <si>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</si>
  <si>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</si>
  <si>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</si>
  <si>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</si>
  <si>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</si>
  <si>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</si>
  <si>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</si>
  <si>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</si>
  <si>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</si>
  <si>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</si>
  <si>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</si>
  <si>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</si>
  <si>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</si>
  <si>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</si>
  <si>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</si>
  <si>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</si>
  <si>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</si>
  <si>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</si>
  <si>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</si>
  <si>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</si>
  <si>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</si>
  <si>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</si>
  <si>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</si>
  <si>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</si>
  <si>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</si>
  <si>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</si>
  <si>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</si>
  <si>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</si>
  <si>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</si>
  <si>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</si>
  <si>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</si>
  <si>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</si>
  <si>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</si>
  <si>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</si>
  <si>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</si>
  <si>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</si>
  <si>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</si>
  <si>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</si>
  <si>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</si>
  <si>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</si>
  <si>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</si>
  <si>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</si>
  <si>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</si>
  <si>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</si>
  <si>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</si>
  <si>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</si>
  <si>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</si>
  <si>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</si>
  <si>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</si>
  <si>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</si>
  <si>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</si>
  <si>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</si>
  <si>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</si>
  <si>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</si>
  <si>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</si>
  <si>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</si>
  <si>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</si>
  <si>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</si>
  <si>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</si>
  <si>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</si>
  <si>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</si>
  <si>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</si>
  <si>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</si>
  <si>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</si>
  <si>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</si>
  <si>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</si>
  <si>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</si>
  <si>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</si>
  <si>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</si>
  <si>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</si>
  <si>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</si>
  <si>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</si>
  <si>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</si>
  <si>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</si>
  <si>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</si>
  <si>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</si>
  <si>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</si>
  <si>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</si>
  <si>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</si>
  <si>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</si>
  <si>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</si>
  <si>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</si>
  <si>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</si>
  <si>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</si>
  <si>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</si>
  <si>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</si>
  <si>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</si>
  <si>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</si>
  <si>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</si>
  <si>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</si>
  <si>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</si>
  <si>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</si>
  <si>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</si>
  <si>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</si>
  <si>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</si>
  <si>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</si>
  <si>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</si>
  <si>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</si>
  <si>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</si>
  <si>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</si>
  <si>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</si>
  <si>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</si>
  <si>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</si>
  <si>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</si>
  <si>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</si>
  <si>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</si>
  <si>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</si>
  <si>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</si>
  <si>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</si>
  <si>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</si>
  <si>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</si>
  <si>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</si>
  <si>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</si>
  <si>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</si>
  <si>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</si>
  <si>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</si>
  <si>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</si>
  <si>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</si>
  <si>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</si>
  <si>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</si>
  <si>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</si>
  <si>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</si>
  <si>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</si>
  <si>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</si>
  <si>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</si>
  <si>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</si>
  <si>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</si>
  <si>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</si>
  <si>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</si>
  <si>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</si>
  <si>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</si>
  <si>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</si>
  <si>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</si>
  <si>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</si>
  <si>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</si>
  <si>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</si>
  <si>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</si>
  <si>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</si>
  <si>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</si>
  <si>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</si>
  <si>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</si>
  <si>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</si>
  <si>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</si>
  <si>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</si>
  <si>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</si>
  <si>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</si>
  <si>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</si>
  <si>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</si>
  <si>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</si>
  <si>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</si>
  <si>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</si>
  <si>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</si>
  <si>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</si>
  <si>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</si>
  <si>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</si>
  <si>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</si>
  <si>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</si>
  <si>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</si>
  <si>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</si>
  <si>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</si>
  <si>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</si>
  <si>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</si>
  <si>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</si>
  <si>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</si>
  <si>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</si>
  <si>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</si>
  <si>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</si>
  <si>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</si>
  <si>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</si>
  <si>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</si>
  <si>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</si>
  <si>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</si>
  <si>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</si>
  <si>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</si>
  <si>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</si>
  <si>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</si>
  <si>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</si>
  <si>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</si>
  <si>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</si>
  <si>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</si>
  <si>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</si>
  <si>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</si>
  <si>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</si>
  <si>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</si>
  <si>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</si>
  <si>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</si>
  <si>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</si>
  <si>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</si>
  <si>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</si>
  <si>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</si>
  <si>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</si>
  <si>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</si>
  <si>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</si>
  <si>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</si>
  <si>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</si>
  <si>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</si>
  <si>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</si>
  <si>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</si>
  <si>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</si>
  <si>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</si>
  <si>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</si>
  <si>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</si>
  <si>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</si>
  <si>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</si>
  <si>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</si>
  <si>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</si>
  <si>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</si>
  <si>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</si>
  <si>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</si>
  <si>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</si>
  <si>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</si>
  <si>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</si>
  <si>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</si>
  <si>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</si>
  <si>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</si>
  <si>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</si>
  <si>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</si>
  <si>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</si>
  <si>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</si>
  <si>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</si>
  <si>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</si>
  <si>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</si>
  <si>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</si>
  <si>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</si>
  <si>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</si>
  <si>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</si>
  <si>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</si>
  <si>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</si>
  <si>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</si>
  <si>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</si>
  <si>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</si>
  <si>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</si>
  <si>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</si>
  <si>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</si>
  <si>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</si>
  <si>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</si>
  <si>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</si>
  <si>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</si>
  <si>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</si>
  <si>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</si>
  <si>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</si>
  <si>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</si>
  <si>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</si>
  <si>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</si>
  <si>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</si>
  <si>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</si>
  <si>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</si>
  <si>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</si>
  <si>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</si>
  <si>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</si>
  <si>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</si>
  <si>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</si>
  <si>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</si>
  <si>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</si>
  <si>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</si>
  <si>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</si>
  <si>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</si>
  <si>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</si>
  <si>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</si>
  <si>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</si>
  <si>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</si>
  <si>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</si>
  <si>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</si>
  <si>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</si>
  <si>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</si>
  <si>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</si>
  <si>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</si>
  <si>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</si>
  <si>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</si>
  <si>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</si>
  <si>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</si>
  <si>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</si>
  <si>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</si>
  <si>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</si>
  <si>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</si>
  <si>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</si>
  <si>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</si>
  <si>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</si>
  <si>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</si>
  <si>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</si>
  <si>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</si>
  <si>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</si>
  <si>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</si>
  <si>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</si>
  <si>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</si>
  <si>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</si>
  <si>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</si>
  <si>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</si>
  <si>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</si>
  <si>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</si>
  <si>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</si>
  <si>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</si>
  <si>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</si>
  <si>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</si>
  <si>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</si>
  <si>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</si>
  <si>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</si>
  <si>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</si>
  <si>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</si>
  <si>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</si>
  <si>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</si>
  <si>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</si>
  <si>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</si>
  <si>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</si>
  <si>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</si>
  <si>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</si>
  <si>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</si>
  <si>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</si>
  <si>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</si>
  <si>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</si>
  <si>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</si>
  <si>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</si>
  <si>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</si>
  <si>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</si>
  <si>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</si>
  <si>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</si>
  <si>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ORD-102999</t>
  </si>
  <si>
    <t>ORD-103000</t>
  </si>
  <si>
    <t>(Todas)</t>
  </si>
  <si>
    <t>Cuenta de order_id</t>
  </si>
  <si>
    <t>(Varios elementos)</t>
  </si>
  <si>
    <t>Suma de total_venta</t>
  </si>
  <si>
    <t>Status Pedidos</t>
  </si>
  <si>
    <t>Etiquetas de fila</t>
  </si>
  <si>
    <t>Total general</t>
  </si>
  <si>
    <t>DB</t>
  </si>
  <si>
    <t>Pedidos Devueltos</t>
  </si>
  <si>
    <t>Pedidos Cancelados</t>
  </si>
  <si>
    <t>Pedidos Completados (solo entregados)</t>
  </si>
  <si>
    <t>Pedidos Activos (En tránsito y Pendientes)</t>
  </si>
  <si>
    <t>Pedidos Totales</t>
  </si>
  <si>
    <t>Devoluciones</t>
  </si>
  <si>
    <t>Cancelados</t>
  </si>
  <si>
    <t>2023</t>
  </si>
  <si>
    <t>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</si>
  <si>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</si>
  <si>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</si>
  <si>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</si>
  <si>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</si>
  <si>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</si>
  <si>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</si>
  <si>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</si>
  <si>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</si>
  <si>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</si>
  <si>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</si>
  <si>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</si>
  <si>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</si>
  <si>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Etiquetas de columna</t>
  </si>
  <si>
    <t>Total bruto (antes de descuento)</t>
  </si>
  <si>
    <t>Descuento</t>
  </si>
  <si>
    <t>Ticket medio</t>
  </si>
  <si>
    <t>Promedio de total_venta</t>
  </si>
  <si>
    <t>Suma de cantidad</t>
  </si>
  <si>
    <t>Unidades VS Ingresos por categoría</t>
  </si>
  <si>
    <t>Revenue por City Tier</t>
  </si>
  <si>
    <t>Devueltos</t>
  </si>
  <si>
    <t xml:space="preserve">Cantidad </t>
  </si>
  <si>
    <t>Valoración promedio</t>
  </si>
  <si>
    <t>Producto</t>
  </si>
  <si>
    <t>% de pedidos con descuento</t>
  </si>
  <si>
    <t>Revenue perdido por descuentos</t>
  </si>
  <si>
    <t>Suma de Descuento</t>
  </si>
  <si>
    <t>Suma de Total bruto (antes de descuento)</t>
  </si>
  <si>
    <t>Pedidos</t>
  </si>
  <si>
    <t>Total Venta</t>
  </si>
  <si>
    <t>Revenue neto (solo entregados)</t>
  </si>
  <si>
    <t>Revenue potencial (tránsito + pendientes)</t>
  </si>
  <si>
    <t>Evolución mensual pedidos cancelados y devueltos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</si>
</sst>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  <numFmt numFmtId="165" formatCode="_-* #,##0\ [$€-C0A]_-;\-* #,##0\ [$€-C0A]_-;_-* &quot;-&quot;\ [$€-C0A]_-;_-@_-"/>
    <numFmt numFmtId="166" formatCode="_-* #,##0\ [$€-C0A]_-;\-* #,##0\ [$€-C0A]_-;_-* &quot;-&quot;??\ [$€-C0A]_-;_-@_-"/>
    <numFmt numFmtId="167" formatCode="0.0%"/>
    <numFmt numFmtId="168" formatCode="0.0"/>
    <numFmt numFmtId="169" formatCode="_-* #,##0\ &quot;€&quot;_-;\-* #,##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2" fillId="0" borderId="0" xfId="0" applyFont="1"/>
    <xf numFmtId="168" fontId="0" fillId="0" borderId="0" xfId="0" applyNumberFormat="1"/>
    <xf numFmtId="169" fontId="0" fillId="0" borderId="0" xfId="2" applyNumberFormat="1" applyFont="1"/>
    <xf numFmtId="10" fontId="0" fillId="0" borderId="0" xfId="0" applyNumberFormat="1"/>
    <xf numFmtId="0" fontId="3" fillId="0" borderId="0" xfId="0" applyFont="1"/>
    <xf numFmtId="10" fontId="0" fillId="2" borderId="0" xfId="1" applyNumberFormat="1" applyFont="1" applyFill="1"/>
    <xf numFmtId="167" fontId="0" fillId="2" borderId="0" xfId="1" applyNumberFormat="1" applyFont="1" applyFill="1"/>
    <xf numFmtId="0" fontId="2" fillId="0" borderId="0" xfId="0" applyFont="1" applyAlignment="1">
      <alignment horizontal="center"/>
    </xf>
    <xf numFmtId="0" fontId="0" fillId="0" borderId="0" xfId="0" applyNumberFormat="1"/>
  </cellXfs>
  <cellStyles count="3">
    <cellStyle name="Moneda" xfId="2" builtinId="4"/>
    <cellStyle name="Normal" xfId="0" builtinId="0"/>
    <cellStyle name="Porcentaje" xfId="1" builtinId="5"/>
  </cellStyles>
  <dxfs count="116"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0" formatCode="General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0" formatCode="General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0" formatCode="General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0" formatCode="General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0" formatCode="General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0" formatCode="General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8" formatCode="0.0"/>
    </dxf>
    <dxf>
      <numFmt numFmtId="166" formatCode="_-* #,##0\ [$€-C0A]_-;\-* #,##0\ [$€-C0A]_-;_-* &quot;-&quot;??\ [$€-C0A]_-;_-@_-"/>
    </dxf>
    <dxf>
      <numFmt numFmtId="164" formatCode="_-* #,##0.00\ [$€-C0A]_-;\-* #,##0.00\ [$€-C0A]_-;_-* &quot;-&quot;??\ [$€-C0A]_-;_-@_-"/>
    </dxf>
    <dxf>
      <numFmt numFmtId="166" formatCode="_-* #,##0\ [$€-C0A]_-;\-* #,##0\ [$€-C0A]_-;_-* &quot;-&quot;??\ [$€-C0A]_-;_-@_-"/>
    </dxf>
    <dxf>
      <numFmt numFmtId="0" formatCode="General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 patternType="solid">
          <fgColor auto="1"/>
          <bgColor rgb="FFEAEDEE"/>
        </patternFill>
      </fill>
      <border diagonalUp="0" diagonalDown="0">
        <left/>
        <right/>
        <top/>
        <bottom/>
        <vertical/>
        <horizontal/>
      </border>
    </dxf>
    <dxf>
      <border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theme="8" tint="0.79998168889431442"/>
        </top>
        <bottom style="thin">
          <color theme="8" tint="0.79998168889431442"/>
        </bottom>
      </border>
    </dxf>
    <dxf>
      <fill>
        <patternFill patternType="solid">
          <fgColor theme="8" tint="0.79998168889431442"/>
          <bgColor theme="8" tint="0.79998168889431442"/>
        </patternFill>
      </fill>
      <border>
        <bottom style="thin">
          <color theme="8"/>
        </bottom>
      </border>
    </dxf>
    <dxf>
      <font>
        <color theme="0"/>
      </font>
      <fill>
        <patternFill patternType="solid">
          <fgColor theme="8" tint="0.39997558519241921"/>
          <bgColor theme="8" tint="0.39997558519241921"/>
        </patternFill>
      </fill>
      <border>
        <bottom style="thin">
          <color theme="8" tint="0.79998168889431442"/>
        </bottom>
        <horizontal style="thin">
          <color theme="8" tint="0.39997558519241921"/>
        </horizontal>
      </border>
    </dxf>
    <dxf>
      <border>
        <bottom style="thin">
          <color theme="8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8" tint="0.39997558519241921"/>
          <bgColor theme="8" tint="0.39997558519241921"/>
        </patternFill>
      </fill>
    </dxf>
    <dxf>
      <font>
        <b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/>
        <color theme="1"/>
      </font>
      <border>
        <top style="double">
          <color theme="8" tint="-0.249977111117893"/>
        </top>
      </border>
    </dxf>
    <dxf>
      <font>
        <b/>
        <i val="0"/>
        <color auto="1"/>
      </font>
      <fill>
        <patternFill patternType="none">
          <fgColor indexed="64"/>
          <bgColor auto="1"/>
        </patternFill>
      </fill>
      <border>
        <horizontal style="thin">
          <color theme="8" tint="-0.249977111117893"/>
        </horizontal>
      </border>
    </dxf>
    <dxf>
      <font>
        <b val="0"/>
        <i val="0"/>
        <color theme="1"/>
      </font>
      <border>
        <horizontal style="thin">
          <color theme="8" tint="0.79998168889431442"/>
        </horizontal>
      </border>
    </dxf>
  </dxfs>
  <tableStyles count="2" defaultTableStyle="TableStyleMedium2" defaultPivotStyle="PivotStyleLight16">
    <tableStyle name="Personal" table="0" count="13" xr9:uid="{E38A50D6-E6E2-4B1F-9036-07B233E6D881}">
      <tableStyleElement type="wholeTable" dxfId="115"/>
      <tableStyleElement type="headerRow" dxfId="114"/>
      <tableStyleElement type="totalRow" dxfId="113"/>
      <tableStyleElement type="firstRowStripe" dxfId="112"/>
      <tableStyleElement type="firstColumnStripe" dxfId="111"/>
      <tableStyleElement type="firstHeaderCell" dxfId="110"/>
      <tableStyleElement type="firstSubtotalRow" dxfId="109"/>
      <tableStyleElement type="secondSubtotalRow" dxfId="108"/>
      <tableStyleElement type="firstColumnSubheading" dxfId="107"/>
      <tableStyleElement type="firstRowSubheading" dxfId="106"/>
      <tableStyleElement type="secondRowSubheading" dxfId="105"/>
      <tableStyleElement type="pageFieldLabels" dxfId="104"/>
      <tableStyleElement type="pageFieldValues" dxfId="103"/>
    </tableStyle>
    <tableStyle name="SlicerStyleOther2 2" pivot="0" table="0" count="10" xr9:uid="{8F965EAB-E059-46F2-A09C-CD2A80E3C216}">
      <tableStyleElement type="wholeTable" dxfId="102"/>
      <tableStyleElement type="headerRow" dxfId="101"/>
    </tableStyle>
  </tableStyles>
  <colors>
    <mruColors>
      <color rgb="FFE86464"/>
      <color rgb="FFE15C19"/>
      <color rgb="FF3A984A"/>
      <color rgb="FFA4327B"/>
      <color rgb="FFFCEDE4"/>
      <color rgb="FFADEDE7"/>
      <color rgb="FFEAEDEE"/>
      <color rgb="FFBFF3E2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14814814814815"/>
          <c:y val="0.18814814814814815"/>
          <c:w val="0.74129629629629634"/>
          <c:h val="0.7412962962962963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B-47B8-9915-33953EFF2BC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  <a:alpha val="22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B-47B8-9915-33953EFF2BC2}"/>
              </c:ext>
            </c:extLst>
          </c:dPt>
          <c:val>
            <c:numRef>
              <c:f>Análisis!$E$11:$E$12</c:f>
              <c:numCache>
                <c:formatCode>0.0%</c:formatCode>
                <c:ptCount val="2"/>
                <c:pt idx="0">
                  <c:v>0.314</c:v>
                </c:pt>
                <c:pt idx="1">
                  <c:v>0.68599999999999994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6B-47B8-9915-33953EFF2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55276242643583"/>
          <c:y val="0.1273929493428366"/>
          <c:w val="0.50804975465023394"/>
          <c:h val="0.7104705696753713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3A98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D3-41A0-A836-94FF9B2ADB87}"/>
              </c:ext>
            </c:extLst>
          </c:dPt>
          <c:dPt>
            <c:idx val="1"/>
            <c:bubble3D val="0"/>
            <c:spPr>
              <a:solidFill>
                <a:srgbClr val="3A984A">
                  <a:alpha val="22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D3-41A0-A836-94FF9B2ADB87}"/>
              </c:ext>
            </c:extLst>
          </c:dPt>
          <c:val>
            <c:numRef>
              <c:f>Análisis!$H$11:$H$12</c:f>
              <c:numCache>
                <c:formatCode>0.0%</c:formatCode>
                <c:ptCount val="2"/>
                <c:pt idx="0">
                  <c:v>0.58366666666666667</c:v>
                </c:pt>
                <c:pt idx="1">
                  <c:v>0.41633333333333333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D3-41A0-A836-94FF9B2AD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89-421D-A4D1-59A9B2B8937F}"/>
              </c:ext>
            </c:extLst>
          </c:dPt>
          <c:dPt>
            <c:idx val="1"/>
            <c:bubble3D val="0"/>
            <c:spPr>
              <a:solidFill>
                <a:srgbClr val="E15C19">
                  <a:alpha val="21961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89-421D-A4D1-59A9B2B8937F}"/>
              </c:ext>
            </c:extLst>
          </c:dPt>
          <c:val>
            <c:numRef>
              <c:f>Análisis!$K$11:$K$12</c:f>
              <c:numCache>
                <c:formatCode>0.0%</c:formatCode>
                <c:ptCount val="2"/>
                <c:pt idx="0">
                  <c:v>6.0999999999999999E-2</c:v>
                </c:pt>
                <c:pt idx="1">
                  <c:v>0.93900000000000006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89-421D-A4D1-59A9B2B89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E864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BB-4CB9-AA1F-AEF6BADDDE2C}"/>
              </c:ext>
            </c:extLst>
          </c:dPt>
          <c:dPt>
            <c:idx val="1"/>
            <c:bubble3D val="0"/>
            <c:spPr>
              <a:solidFill>
                <a:srgbClr val="E86464">
                  <a:alpha val="21961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BB-4CB9-AA1F-AEF6BADDDE2C}"/>
              </c:ext>
            </c:extLst>
          </c:dPt>
          <c:val>
            <c:numRef>
              <c:f>Análisis!$N$11:$N$12</c:f>
              <c:numCache>
                <c:formatCode>0.0%</c:formatCode>
                <c:ptCount val="2"/>
                <c:pt idx="0">
                  <c:v>4.1333333333333333E-2</c:v>
                </c:pt>
                <c:pt idx="1">
                  <c:v>0.95866666666666667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B-4CB9-AA1F-AEF6BADDD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[DB.xlsx]Análisis!Ticket_medio_categoría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Ticket medio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Análisis!$M$36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Análisis!$L$37:$L$42</c:f>
              <c:strCache>
                <c:ptCount val="5"/>
                <c:pt idx="0">
                  <c:v>Cocina</c:v>
                </c:pt>
                <c:pt idx="1">
                  <c:v>Deporte</c:v>
                </c:pt>
                <c:pt idx="2">
                  <c:v>Electrónica</c:v>
                </c:pt>
                <c:pt idx="3">
                  <c:v>Hogar</c:v>
                </c:pt>
                <c:pt idx="4">
                  <c:v>Ropa</c:v>
                </c:pt>
              </c:strCache>
            </c:strRef>
          </c:cat>
          <c:val>
            <c:numRef>
              <c:f>Análisis!$M$37:$M$42</c:f>
              <c:numCache>
                <c:formatCode>_-* #,##0\ [$€-C0A]_-;\-* #,##0\ [$€-C0A]_-;_-* "-"??\ [$€-C0A]_-;_-@_-</c:formatCode>
                <c:ptCount val="5"/>
                <c:pt idx="0">
                  <c:v>347.71635854341804</c:v>
                </c:pt>
                <c:pt idx="1">
                  <c:v>320.52553398058251</c:v>
                </c:pt>
                <c:pt idx="2">
                  <c:v>1346.3813765182117</c:v>
                </c:pt>
                <c:pt idx="3">
                  <c:v>770.15997183098602</c:v>
                </c:pt>
                <c:pt idx="4">
                  <c:v>141.09238938053096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7-4BE9-9B99-F9397FA49B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4516271"/>
        <c:axId val="224516751"/>
      </c:barChart>
      <c:catAx>
        <c:axId val="22451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4516751"/>
        <c:crosses val="autoZero"/>
        <c:auto val="1"/>
        <c:lblAlgn val="ctr"/>
        <c:lblOffset val="100"/>
        <c:noMultiLvlLbl val="0"/>
      </c:catAx>
      <c:valAx>
        <c:axId val="224516751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\ [$€-C0A]_-;\-* #,##0\ [$€-C0A]_-;_-* &quot;-&quot;??\ [$€-C0A]_-;_-@_-" sourceLinked="1"/>
        <c:majorTickMark val="none"/>
        <c:minorTickMark val="none"/>
        <c:tickLblPos val="nextTo"/>
        <c:crossAx val="22451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[DB.xlsx]Análisis!Revenue_CityTier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Ventas por City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039737513671162"/>
                  <c:h val="0.35340422123278076"/>
                </c:manualLayout>
              </c15:layout>
            </c:ext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045166651525647"/>
                  <c:h val="0.35340422123278076"/>
                </c:manualLayout>
              </c15:layout>
            </c:ext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039737513671162"/>
                  <c:h val="0.35340422123278076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Análisis!$S$20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61-4565-820F-593ED4C3CD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E61-4565-820F-593ED4C3CD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61-4565-820F-593ED4C3CD9F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039737513671162"/>
                      <c:h val="0.353404221232780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E61-4565-820F-593ED4C3CD9F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045166651525647"/>
                      <c:h val="0.353404221232780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E61-4565-820F-593ED4C3CD9F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039737513671162"/>
                      <c:h val="0.353404221232780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E61-4565-820F-593ED4C3CD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Análisis!$R$21:$R$24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Análisis!$S$21:$S$24</c:f>
              <c:numCache>
                <c:formatCode>_-* #,##0\ [$€-C0A]_-;\-* #,##0\ [$€-C0A]_-;_-* "-"??\ [$€-C0A]_-;_-@_-</c:formatCode>
                <c:ptCount val="3"/>
                <c:pt idx="0">
                  <c:v>141442.20000000007</c:v>
                </c:pt>
                <c:pt idx="1">
                  <c:v>387393.51999999938</c:v>
                </c:pt>
                <c:pt idx="2">
                  <c:v>647676.78999999352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1-4565-820F-593ED4C3CD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536447"/>
        <c:axId val="165536927"/>
      </c:barChart>
      <c:catAx>
        <c:axId val="16553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536927"/>
        <c:crosses val="autoZero"/>
        <c:auto val="1"/>
        <c:lblAlgn val="ctr"/>
        <c:lblOffset val="100"/>
        <c:noMultiLvlLbl val="0"/>
      </c:catAx>
      <c:valAx>
        <c:axId val="1655369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-* #,##0\ [$€-C0A]_-;\-* #,##0\ [$€-C0A]_-;_-* &quot;-&quot;??\ [$€-C0A]_-;_-@_-" sourceLinked="1"/>
        <c:majorTickMark val="none"/>
        <c:minorTickMark val="none"/>
        <c:tickLblPos val="nextTo"/>
        <c:crossAx val="16553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[DB.xlsx]Análisis!Ventas_método_pago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por</a:t>
            </a:r>
            <a:r>
              <a:rPr lang="es-ES" baseline="0"/>
              <a:t> método de pago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3A984A"/>
          </a:solidFill>
          <a:ln>
            <a:noFill/>
          </a:ln>
          <a:effectLst/>
        </c:spPr>
        <c:dLbl>
          <c:idx val="0"/>
          <c:layout>
            <c:manualLayout>
              <c:x val="0.33232072753331166"/>
              <c:y val="-2.1144900579443765E-2"/>
            </c:manualLayout>
          </c:layout>
          <c:spPr>
            <a:solidFill>
              <a:sysClr val="window" lastClr="FFFFFF">
                <a:alpha val="52000"/>
              </a:sys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5267047022729366"/>
                  <c:h val="0.18174632069096922"/>
                </c:manualLayout>
              </c15:layout>
            </c:ext>
          </c:extLst>
        </c:dLbl>
      </c:pivotFmt>
      <c:pivotFmt>
        <c:idx val="1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20324605556786018"/>
              <c:y val="0.13734056563636088"/>
            </c:manualLayout>
          </c:layout>
          <c:spPr>
            <a:xfrm>
              <a:off x="145482" y="1529633"/>
              <a:ext cx="1083440" cy="397588"/>
            </a:xfrm>
            <a:solidFill>
              <a:sysClr val="window" lastClr="FFFFFF">
                <a:alpha val="52000"/>
              </a:sysClr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82098"/>
                    <a:gd name="adj2" fmla="val -66274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26283048377397839"/>
                  <c:h val="0.18774333351749356"/>
                </c:manualLayout>
              </c15:layout>
            </c:ext>
          </c:extLst>
        </c:dLbl>
      </c:pivotFmt>
      <c:pivotFmt>
        <c:idx val="1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30875165536486193"/>
              <c:y val="-1.1960499045908313E-2"/>
            </c:manualLayout>
          </c:layout>
          <c:spPr>
            <a:solidFill>
              <a:sysClr val="window" lastClr="FFFFFF">
                <a:alpha val="52000"/>
              </a:sys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20110824236458019"/>
              <c:y val="-4.3793776422862127E-2"/>
            </c:manualLayout>
          </c:layout>
          <c:spPr>
            <a:solidFill>
              <a:sysClr val="window" lastClr="FFFFFF">
                <a:alpha val="52000"/>
              </a:sys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25224753633004832"/>
              <c:y val="-4.5965922800973308E-2"/>
            </c:manualLayout>
          </c:layout>
          <c:spPr>
            <a:solidFill>
              <a:sysClr val="window" lastClr="FFFFFF">
                <a:alpha val="52000"/>
              </a:sys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0732596138521079"/>
          <c:y val="0.17919782634256354"/>
          <c:w val="0.38842871154089204"/>
          <c:h val="0.75608732217322294"/>
        </c:manualLayout>
      </c:layout>
      <c:doughnutChart>
        <c:varyColors val="1"/>
        <c:ser>
          <c:idx val="0"/>
          <c:order val="0"/>
          <c:tx>
            <c:strRef>
              <c:f>Análisis!$P$56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9B4-4CA5-922C-55D4D0510078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9B4-4CA5-922C-55D4D0510078}"/>
              </c:ext>
            </c:extLst>
          </c:dPt>
          <c:dPt>
            <c:idx val="2"/>
            <c:bubble3D val="0"/>
            <c:spPr>
              <a:solidFill>
                <a:srgbClr val="3A98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9B4-4CA5-922C-55D4D051007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9B4-4CA5-922C-55D4D0510078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9B4-4CA5-922C-55D4D0510078}"/>
              </c:ext>
            </c:extLst>
          </c:dPt>
          <c:dLbls>
            <c:dLbl>
              <c:idx val="0"/>
              <c:layout>
                <c:manualLayout>
                  <c:x val="0.20110824236458019"/>
                  <c:y val="-4.3793776422862127E-2"/>
                </c:manualLayout>
              </c:layout>
              <c:spPr>
                <a:solidFill>
                  <a:sysClr val="window" lastClr="FFFFFF">
                    <a:alpha val="52000"/>
                  </a:sys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19B4-4CA5-922C-55D4D0510078}"/>
                </c:ext>
              </c:extLst>
            </c:dLbl>
            <c:dLbl>
              <c:idx val="1"/>
              <c:layout>
                <c:manualLayout>
                  <c:x val="0.25224753633004832"/>
                  <c:y val="-4.5965922800973308E-2"/>
                </c:manualLayout>
              </c:layout>
              <c:spPr>
                <a:solidFill>
                  <a:sysClr val="window" lastClr="FFFFFF">
                    <a:alpha val="52000"/>
                  </a:sys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A-19B4-4CA5-922C-55D4D0510078}"/>
                </c:ext>
              </c:extLst>
            </c:dLbl>
            <c:dLbl>
              <c:idx val="2"/>
              <c:layout>
                <c:manualLayout>
                  <c:x val="0.33232072753331166"/>
                  <c:y val="-2.1144900579443765E-2"/>
                </c:manualLayout>
              </c:layout>
              <c:spPr>
                <a:solidFill>
                  <a:sysClr val="window" lastClr="FFFFFF">
                    <a:alpha val="52000"/>
                  </a:sys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5267047022729366"/>
                      <c:h val="0.1817463206909692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9B4-4CA5-922C-55D4D0510078}"/>
                </c:ext>
              </c:extLst>
            </c:dLbl>
            <c:dLbl>
              <c:idx val="3"/>
              <c:layout>
                <c:manualLayout>
                  <c:x val="-0.20324605556786018"/>
                  <c:y val="0.13734056563636088"/>
                </c:manualLayout>
              </c:layout>
              <c:spPr>
                <a:xfrm>
                  <a:off x="145482" y="1529633"/>
                  <a:ext cx="1083440" cy="397588"/>
                </a:xfrm>
                <a:solidFill>
                  <a:sysClr val="window" lastClr="FFFFFF">
                    <a:alpha val="52000"/>
                  </a:sys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82098"/>
                        <a:gd name="adj2" fmla="val -66274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283048377397839"/>
                      <c:h val="0.187743333517493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9B4-4CA5-922C-55D4D0510078}"/>
                </c:ext>
              </c:extLst>
            </c:dLbl>
            <c:dLbl>
              <c:idx val="4"/>
              <c:layout>
                <c:manualLayout>
                  <c:x val="-0.30875165536486193"/>
                  <c:y val="-1.1960499045908313E-2"/>
                </c:manualLayout>
              </c:layout>
              <c:spPr>
                <a:solidFill>
                  <a:sysClr val="window" lastClr="FFFFFF">
                    <a:alpha val="52000"/>
                  </a:sys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8-19B4-4CA5-922C-55D4D051007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Análisis!$O$57:$O$62</c:f>
              <c:strCache>
                <c:ptCount val="5"/>
                <c:pt idx="0">
                  <c:v>Bizum</c:v>
                </c:pt>
                <c:pt idx="1">
                  <c:v>PayPal</c:v>
                </c:pt>
                <c:pt idx="2">
                  <c:v>Tarjeta de Crédito</c:v>
                </c:pt>
                <c:pt idx="3">
                  <c:v>Tarjeta de Débito</c:v>
                </c:pt>
                <c:pt idx="4">
                  <c:v>Transferencia</c:v>
                </c:pt>
              </c:strCache>
            </c:strRef>
          </c:cat>
          <c:val>
            <c:numRef>
              <c:f>Análisis!$P$57:$P$62</c:f>
              <c:numCache>
                <c:formatCode>_-* #,##0\ [$€-C0A]_-;\-* #,##0\ [$€-C0A]_-;_-* "-"??\ [$€-C0A]_-;_-@_-</c:formatCode>
                <c:ptCount val="5"/>
                <c:pt idx="0">
                  <c:v>145913.53999999995</c:v>
                </c:pt>
                <c:pt idx="1">
                  <c:v>243284.87000000032</c:v>
                </c:pt>
                <c:pt idx="2">
                  <c:v>364906.70999999938</c:v>
                </c:pt>
                <c:pt idx="3">
                  <c:v>304210.58999999979</c:v>
                </c:pt>
                <c:pt idx="4">
                  <c:v>118196.80000000013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4-4CA5-922C-55D4D051007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[DB.xlsx]Análisis!Ventas_canal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por canal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alpha val="38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>
              <a:tint val="77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>
              <a:shade val="76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Análisis!$P$44</c:f>
              <c:strCache>
                <c:ptCount val="1"/>
                <c:pt idx="0">
                  <c:v>Pedidos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Análisis!$O$45:$O$49</c:f>
              <c:strCache>
                <c:ptCount val="4"/>
                <c:pt idx="0">
                  <c:v>App Móvil</c:v>
                </c:pt>
                <c:pt idx="1">
                  <c:v>Marketplace</c:v>
                </c:pt>
                <c:pt idx="2">
                  <c:v>Teléfono</c:v>
                </c:pt>
                <c:pt idx="3">
                  <c:v>Web</c:v>
                </c:pt>
              </c:strCache>
            </c:strRef>
          </c:cat>
          <c:val>
            <c:numRef>
              <c:f>Análisis!$P$45:$P$49</c:f>
              <c:numCache>
                <c:formatCode>General</c:formatCode>
                <c:ptCount val="4"/>
                <c:pt idx="0">
                  <c:v>503</c:v>
                </c:pt>
                <c:pt idx="1">
                  <c:v>352</c:v>
                </c:pt>
                <c:pt idx="2">
                  <c:v>98</c:v>
                </c:pt>
                <c:pt idx="3">
                  <c:v>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A-4429-8561-9A71FF092497}"/>
            </c:ext>
          </c:extLst>
        </c:ser>
        <c:ser>
          <c:idx val="1"/>
          <c:order val="1"/>
          <c:tx>
            <c:strRef>
              <c:f>Análisis!$Q$44</c:f>
              <c:strCache>
                <c:ptCount val="1"/>
                <c:pt idx="0">
                  <c:v>Total Venta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Análisis!$O$45:$O$49</c:f>
              <c:strCache>
                <c:ptCount val="4"/>
                <c:pt idx="0">
                  <c:v>App Móvil</c:v>
                </c:pt>
                <c:pt idx="1">
                  <c:v>Marketplace</c:v>
                </c:pt>
                <c:pt idx="2">
                  <c:v>Teléfono</c:v>
                </c:pt>
                <c:pt idx="3">
                  <c:v>Web</c:v>
                </c:pt>
              </c:strCache>
            </c:strRef>
          </c:cat>
          <c:val>
            <c:numRef>
              <c:f>Análisis!$Q$45:$Q$49</c:f>
              <c:numCache>
                <c:formatCode>_-* #,##0\ [$€-C0A]_-;\-* #,##0\ [$€-C0A]_-;_-* "-"??\ [$€-C0A]_-;_-@_-</c:formatCode>
                <c:ptCount val="4"/>
                <c:pt idx="0">
                  <c:v>344280.13999999966</c:v>
                </c:pt>
                <c:pt idx="1">
                  <c:v>243947.29000000036</c:v>
                </c:pt>
                <c:pt idx="2">
                  <c:v>74743.92</c:v>
                </c:pt>
                <c:pt idx="3">
                  <c:v>513541.1599999984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1A-4429-8561-9A71FF092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552767"/>
        <c:axId val="165549407"/>
      </c:barChart>
      <c:catAx>
        <c:axId val="16555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549407"/>
        <c:crosses val="autoZero"/>
        <c:auto val="1"/>
        <c:lblAlgn val="ctr"/>
        <c:lblOffset val="100"/>
        <c:noMultiLvlLbl val="0"/>
      </c:catAx>
      <c:valAx>
        <c:axId val="1655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552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[DB.xlsx]Análisis!evolución_mensual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Evolución</a:t>
            </a:r>
            <a:r>
              <a:rPr lang="en-US" sz="1400" b="0" baseline="0"/>
              <a:t> de </a:t>
            </a:r>
            <a:r>
              <a:rPr lang="en-US" sz="1400" b="0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Análisis!$G$20:$G$21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Análisis!$F$22:$F$34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Análisis!$G$22:$G$34</c:f>
              <c:numCache>
                <c:formatCode>_-* #,##0.00\ [$€-C0A]_-;\-* #,##0.00\ [$€-C0A]_-;_-* "-"??\ [$€-C0A]_-;_-@_-</c:formatCode>
                <c:ptCount val="12"/>
                <c:pt idx="0">
                  <c:v>67578.349999999977</c:v>
                </c:pt>
                <c:pt idx="1">
                  <c:v>47587.539999999986</c:v>
                </c:pt>
                <c:pt idx="2">
                  <c:v>59869.389999999992</c:v>
                </c:pt>
                <c:pt idx="3">
                  <c:v>62925.89</c:v>
                </c:pt>
                <c:pt idx="4">
                  <c:v>53000.129999999983</c:v>
                </c:pt>
                <c:pt idx="5">
                  <c:v>35617.870000000003</c:v>
                </c:pt>
                <c:pt idx="6">
                  <c:v>54113.109999999971</c:v>
                </c:pt>
                <c:pt idx="7">
                  <c:v>50236.179999999993</c:v>
                </c:pt>
                <c:pt idx="8">
                  <c:v>42109.73</c:v>
                </c:pt>
                <c:pt idx="9">
                  <c:v>64560.779999999984</c:v>
                </c:pt>
                <c:pt idx="10">
                  <c:v>32394.430000000008</c:v>
                </c:pt>
                <c:pt idx="11">
                  <c:v>31354.900000000012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CC-484C-8E56-C9F4E8E51E11}"/>
            </c:ext>
          </c:extLst>
        </c:ser>
        <c:ser>
          <c:idx val="1"/>
          <c:order val="1"/>
          <c:tx>
            <c:strRef>
              <c:f>Análisis!$H$20:$H$21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>
              <a:softEdge rad="0"/>
            </a:effectLst>
          </c:spPr>
          <c:marker>
            <c:symbol val="none"/>
          </c:marker>
          <c:cat>
            <c:strRef>
              <c:f>Análisis!$F$22:$F$34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Análisis!$H$22:$H$34</c:f>
              <c:numCache>
                <c:formatCode>_-* #,##0.00\ [$€-C0A]_-;\-* #,##0.00\ [$€-C0A]_-;_-* "-"??\ [$€-C0A]_-;_-@_-</c:formatCode>
                <c:ptCount val="12"/>
                <c:pt idx="0">
                  <c:v>53609.250000000007</c:v>
                </c:pt>
                <c:pt idx="1">
                  <c:v>43088.279999999984</c:v>
                </c:pt>
                <c:pt idx="2">
                  <c:v>59699.200000000026</c:v>
                </c:pt>
                <c:pt idx="3">
                  <c:v>32531.170000000009</c:v>
                </c:pt>
                <c:pt idx="4">
                  <c:v>49440.19000000001</c:v>
                </c:pt>
                <c:pt idx="5">
                  <c:v>36725.46</c:v>
                </c:pt>
                <c:pt idx="6">
                  <c:v>48285.240000000013</c:v>
                </c:pt>
                <c:pt idx="7">
                  <c:v>64684.310000000005</c:v>
                </c:pt>
                <c:pt idx="8">
                  <c:v>38637.830000000009</c:v>
                </c:pt>
                <c:pt idx="9">
                  <c:v>51796.149999999965</c:v>
                </c:pt>
                <c:pt idx="10">
                  <c:v>37924.219999999994</c:v>
                </c:pt>
                <c:pt idx="11">
                  <c:v>58742.909999999982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CC-484C-8E56-C9F4E8E51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50288"/>
        <c:axId val="128250768"/>
      </c:lineChart>
      <c:catAx>
        <c:axId val="12825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250768"/>
        <c:crosses val="autoZero"/>
        <c:auto val="1"/>
        <c:lblAlgn val="ctr"/>
        <c:lblOffset val="100"/>
        <c:noMultiLvlLbl val="0"/>
      </c:catAx>
      <c:valAx>
        <c:axId val="12825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25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[DB.xlsx]Análisis!Ventas_categoría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alpha val="35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l"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085802469135803E-2"/>
              <c:y val="-5.9192129629629629E-3"/>
            </c:manualLayout>
          </c:layout>
          <c:spPr>
            <a:solidFill>
              <a:sysClr val="window" lastClr="FFFFFF">
                <a:alpha val="35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l"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"/>
                  <c:h val="8.3333333333333315E-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7572291203916949E-3"/>
              <c:y val="6.1368312757201649E-4"/>
            </c:manualLayout>
          </c:layout>
          <c:spPr>
            <a:solidFill>
              <a:sysClr val="window" lastClr="FFFFFF">
                <a:alpha val="35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l"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370788267474776"/>
                  <c:h val="8.3333333333333329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1095679012345677E-3"/>
              <c:y val="-3.9814814814814818E-5"/>
            </c:manualLayout>
          </c:layout>
          <c:spPr>
            <a:solidFill>
              <a:sysClr val="window" lastClr="FFFFFF">
                <a:alpha val="35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l"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"/>
                  <c:h val="8.3333333333333329E-2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2929629629629629E-2"/>
              <c:y val="5.5324074074074075E-4"/>
            </c:manualLayout>
          </c:layout>
          <c:spPr>
            <a:solidFill>
              <a:sysClr val="window" lastClr="FFFFFF">
                <a:alpha val="35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l"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"/>
                  <c:h val="8.3333333333333329E-2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4320987654321E-2"/>
              <c:y val="-5.3263888888888892E-3"/>
            </c:manualLayout>
          </c:layout>
          <c:spPr>
            <a:solidFill>
              <a:sysClr val="window" lastClr="FFFFFF">
                <a:alpha val="35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l"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"/>
                  <c:h val="8.3333333333333329E-2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Análisis!$P$20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6E-4519-A4E5-EA591B02488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66E-4519-A4E5-EA591B0248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6E-4519-A4E5-EA591B02488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6E-4519-A4E5-EA591B0248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E-4519-A4E5-EA591B02488A}"/>
              </c:ext>
            </c:extLst>
          </c:dPt>
          <c:dLbls>
            <c:dLbl>
              <c:idx val="0"/>
              <c:layout>
                <c:manualLayout>
                  <c:x val="-7.1095679012345677E-3"/>
                  <c:y val="-3.9814814814814818E-5"/>
                </c:manualLayout>
              </c:layout>
              <c:spPr>
                <a:solidFill>
                  <a:sysClr val="window" lastClr="FFFFFF">
                    <a:alpha val="3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"/>
                      <c:h val="8.33333333333333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66E-4519-A4E5-EA591B02488A}"/>
                </c:ext>
              </c:extLst>
            </c:dLbl>
            <c:dLbl>
              <c:idx val="1"/>
              <c:layout>
                <c:manualLayout>
                  <c:x val="-1.124320987654321E-2"/>
                  <c:y val="-5.3263888888888892E-3"/>
                </c:manualLayout>
              </c:layout>
              <c:spPr>
                <a:solidFill>
                  <a:sysClr val="window" lastClr="FFFFFF">
                    <a:alpha val="3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"/>
                      <c:h val="8.33333333333333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66E-4519-A4E5-EA591B02488A}"/>
                </c:ext>
              </c:extLst>
            </c:dLbl>
            <c:dLbl>
              <c:idx val="2"/>
              <c:layout>
                <c:manualLayout>
                  <c:x val="-8.7572291203916949E-3"/>
                  <c:y val="6.1368312757201649E-4"/>
                </c:manualLayout>
              </c:layout>
              <c:spPr>
                <a:solidFill>
                  <a:sysClr val="window" lastClr="FFFFFF">
                    <a:alpha val="3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370788267474776"/>
                      <c:h val="8.33333333333333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66E-4519-A4E5-EA591B02488A}"/>
                </c:ext>
              </c:extLst>
            </c:dLbl>
            <c:dLbl>
              <c:idx val="3"/>
              <c:layout>
                <c:manualLayout>
                  <c:x val="-1.0085802469135803E-2"/>
                  <c:y val="-5.9192129629629629E-3"/>
                </c:manualLayout>
              </c:layout>
              <c:spPr>
                <a:solidFill>
                  <a:sysClr val="window" lastClr="FFFFFF">
                    <a:alpha val="3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"/>
                      <c:h val="8.3333333333333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66E-4519-A4E5-EA591B02488A}"/>
                </c:ext>
              </c:extLst>
            </c:dLbl>
            <c:dLbl>
              <c:idx val="4"/>
              <c:layout>
                <c:manualLayout>
                  <c:x val="-1.2929629629629629E-2"/>
                  <c:y val="5.5324074074074075E-4"/>
                </c:manualLayout>
              </c:layout>
              <c:spPr>
                <a:solidFill>
                  <a:sysClr val="window" lastClr="FFFFFF">
                    <a:alpha val="3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"/>
                      <c:h val="8.33333333333333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6E-4519-A4E5-EA591B02488A}"/>
                </c:ext>
              </c:extLst>
            </c:dLbl>
            <c:spPr>
              <a:solidFill>
                <a:sysClr val="window" lastClr="FFFFFF">
                  <a:alpha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Análisis!$O$21:$O$26</c:f>
              <c:strCache>
                <c:ptCount val="5"/>
                <c:pt idx="0">
                  <c:v>Cocina</c:v>
                </c:pt>
                <c:pt idx="1">
                  <c:v>Deporte</c:v>
                </c:pt>
                <c:pt idx="2">
                  <c:v>Electrónica</c:v>
                </c:pt>
                <c:pt idx="3">
                  <c:v>Hogar</c:v>
                </c:pt>
                <c:pt idx="4">
                  <c:v>Ropa</c:v>
                </c:pt>
              </c:strCache>
            </c:strRef>
          </c:cat>
          <c:val>
            <c:numRef>
              <c:f>Análisis!$P$21:$P$26</c:f>
              <c:numCache>
                <c:formatCode>_-* #,##0\ [$€-C0A]_-;\-* #,##0\ [$€-C0A]_-;_-* "-"??\ [$€-C0A]_-;_-@_-</c:formatCode>
                <c:ptCount val="5"/>
                <c:pt idx="0">
                  <c:v>124134.74000000024</c:v>
                </c:pt>
                <c:pt idx="1">
                  <c:v>66028.259999999995</c:v>
                </c:pt>
                <c:pt idx="2">
                  <c:v>665112.39999999653</c:v>
                </c:pt>
                <c:pt idx="3">
                  <c:v>273406.79000000004</c:v>
                </c:pt>
                <c:pt idx="4">
                  <c:v>47830.319999999992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E-4519-A4E5-EA591B024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65463967"/>
        <c:axId val="165466847"/>
      </c:barChart>
      <c:catAx>
        <c:axId val="16546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466847"/>
        <c:crosses val="autoZero"/>
        <c:auto val="1"/>
        <c:lblAlgn val="ctr"/>
        <c:lblOffset val="100"/>
        <c:noMultiLvlLbl val="0"/>
      </c:catAx>
      <c:valAx>
        <c:axId val="1654668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[$€-C0A]_-;\-* #,##0\ [$€-C0A]_-;_-* &quot;-&quot;??\ [$€-C0A]_-;_-@_-" sourceLinked="1"/>
        <c:majorTickMark val="none"/>
        <c:minorTickMark val="none"/>
        <c:tickLblPos val="nextTo"/>
        <c:crossAx val="16546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[DB.xlsx]Análisis!Cantidad_categoría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Unidades por categoría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Análisis!$P$31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Análisis!$O$32:$O$37</c:f>
              <c:strCache>
                <c:ptCount val="5"/>
                <c:pt idx="0">
                  <c:v>Cocina</c:v>
                </c:pt>
                <c:pt idx="1">
                  <c:v>Deporte</c:v>
                </c:pt>
                <c:pt idx="2">
                  <c:v>Electrónica</c:v>
                </c:pt>
                <c:pt idx="3">
                  <c:v>Hogar</c:v>
                </c:pt>
                <c:pt idx="4">
                  <c:v>Ropa</c:v>
                </c:pt>
              </c:strCache>
            </c:strRef>
          </c:cat>
          <c:val>
            <c:numRef>
              <c:f>Análisis!$P$32:$P$37</c:f>
              <c:numCache>
                <c:formatCode>General</c:formatCode>
                <c:ptCount val="5"/>
                <c:pt idx="0">
                  <c:v>1895</c:v>
                </c:pt>
                <c:pt idx="1">
                  <c:v>1154</c:v>
                </c:pt>
                <c:pt idx="2">
                  <c:v>2447</c:v>
                </c:pt>
                <c:pt idx="3">
                  <c:v>1771</c:v>
                </c:pt>
                <c:pt idx="4">
                  <c:v>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4-47D2-8B44-61254577D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65463967"/>
        <c:axId val="165466847"/>
      </c:barChart>
      <c:catAx>
        <c:axId val="16546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466847"/>
        <c:crosses val="autoZero"/>
        <c:auto val="1"/>
        <c:lblAlgn val="ctr"/>
        <c:lblOffset val="100"/>
        <c:noMultiLvlLbl val="0"/>
      </c:catAx>
      <c:valAx>
        <c:axId val="1654668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463967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[DB.xlsx]Análisis!Evolución_dev_cancel</c:name>
    <c:fmtId val="19"/>
  </c:pivotSource>
  <c:chart>
    <c:title>
      <c:tx>
        <c:rich>
          <a:bodyPr rot="0" spcFirstLastPara="1" vertOverflow="ellipsis" vert="horz" wrap="square" anchor="t" anchorCtr="0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200"/>
              <a:t>Evolución devoluciones y cancelaciones</a:t>
            </a:r>
          </a:p>
        </c:rich>
      </c:tx>
      <c:layout>
        <c:manualLayout>
          <c:xMode val="edge"/>
          <c:yMode val="edge"/>
          <c:x val="0.13714910303194525"/>
          <c:y val="2.544948652655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518293617389878"/>
          <c:y val="0.23016905585959266"/>
          <c:w val="0.74603210739185188"/>
          <c:h val="0.493544011539730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Análisis!$U$48:$U$49</c:f>
              <c:strCache>
                <c:ptCount val="1"/>
                <c:pt idx="0">
                  <c:v>Cancelado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Análisis!$T$50:$T$62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Análisis!$U$50:$U$62</c:f>
              <c:numCache>
                <c:formatCode>_-* #,##0.00\ [$€-C0A]_-;\-* #,##0.00\ [$€-C0A]_-;_-* "-"??\ [$€-C0A]_-;_-@_-</c:formatCode>
                <c:ptCount val="12"/>
                <c:pt idx="0">
                  <c:v>12189.959999999997</c:v>
                </c:pt>
                <c:pt idx="1">
                  <c:v>9560.4799999999977</c:v>
                </c:pt>
                <c:pt idx="2">
                  <c:v>2042.1300000000003</c:v>
                </c:pt>
                <c:pt idx="3">
                  <c:v>11894.71</c:v>
                </c:pt>
                <c:pt idx="4">
                  <c:v>8999.4499999999989</c:v>
                </c:pt>
                <c:pt idx="5">
                  <c:v>4759.9199999999992</c:v>
                </c:pt>
                <c:pt idx="6">
                  <c:v>3195.63</c:v>
                </c:pt>
                <c:pt idx="7">
                  <c:v>6917.2000000000007</c:v>
                </c:pt>
                <c:pt idx="8">
                  <c:v>15706.4</c:v>
                </c:pt>
                <c:pt idx="9">
                  <c:v>15968.609999999997</c:v>
                </c:pt>
                <c:pt idx="10">
                  <c:v>9278.029999999997</c:v>
                </c:pt>
                <c:pt idx="11">
                  <c:v>11077.179999999995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5-46B5-A0A1-AC95640616FC}"/>
            </c:ext>
          </c:extLst>
        </c:ser>
        <c:ser>
          <c:idx val="1"/>
          <c:order val="1"/>
          <c:tx>
            <c:strRef>
              <c:f>Análisis!$V$48:$V$49</c:f>
              <c:strCache>
                <c:ptCount val="1"/>
                <c:pt idx="0">
                  <c:v>Devuelto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Análisis!$T$50:$T$62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Análisis!$V$50:$V$62</c:f>
              <c:numCache>
                <c:formatCode>_-* #,##0.00\ [$€-C0A]_-;\-* #,##0.00\ [$€-C0A]_-;_-* "-"??\ [$€-C0A]_-;_-@_-</c:formatCode>
                <c:ptCount val="12"/>
                <c:pt idx="0">
                  <c:v>2225.3200000000002</c:v>
                </c:pt>
                <c:pt idx="1">
                  <c:v>6360.9499999999989</c:v>
                </c:pt>
                <c:pt idx="2">
                  <c:v>9367.19</c:v>
                </c:pt>
                <c:pt idx="3">
                  <c:v>6032.19</c:v>
                </c:pt>
                <c:pt idx="4">
                  <c:v>13518.01</c:v>
                </c:pt>
                <c:pt idx="5">
                  <c:v>7431.6699999999983</c:v>
                </c:pt>
                <c:pt idx="6">
                  <c:v>4796.3599999999997</c:v>
                </c:pt>
                <c:pt idx="7">
                  <c:v>3417.7200000000003</c:v>
                </c:pt>
                <c:pt idx="8">
                  <c:v>8242.16</c:v>
                </c:pt>
                <c:pt idx="9">
                  <c:v>8910.1399999999976</c:v>
                </c:pt>
                <c:pt idx="10">
                  <c:v>7069.6099999999979</c:v>
                </c:pt>
                <c:pt idx="11">
                  <c:v>3836.69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5-46B5-A0A1-AC9564061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6186031"/>
        <c:axId val="1486186511"/>
      </c:barChart>
      <c:catAx>
        <c:axId val="148618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6186511"/>
        <c:crosses val="autoZero"/>
        <c:auto val="1"/>
        <c:lblAlgn val="ctr"/>
        <c:lblOffset val="100"/>
        <c:noMultiLvlLbl val="0"/>
      </c:catAx>
      <c:valAx>
        <c:axId val="148618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618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4327B">
                  <a:alpha val="73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D-4B27-8986-870EC33B0CBD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  <a:alpha val="14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D-4B27-8986-870EC33B0CBD}"/>
              </c:ext>
            </c:extLst>
          </c:dPt>
          <c:dLbls>
            <c:delete val="1"/>
          </c:dLbls>
          <c:val>
            <c:numRef>
              <c:f>Análisis!$B$77:$B$78</c:f>
              <c:numCache>
                <c:formatCode>0.00%</c:formatCode>
                <c:ptCount val="2"/>
                <c:pt idx="0">
                  <c:v>0.56310679611650483</c:v>
                </c:pt>
                <c:pt idx="1">
                  <c:v>0.43689320388349517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CD-4B27-8986-870EC33B0C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2">
                <a:lumMod val="75000"/>
                <a:alpha val="14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E8646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B0-4089-8622-8E7561A34229}"/>
              </c:ext>
            </c:extLst>
          </c:dPt>
          <c:dPt>
            <c:idx val="1"/>
            <c:bubble3D val="0"/>
            <c:spPr>
              <a:solidFill>
                <a:srgbClr val="E86464">
                  <a:alpha val="14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B0-4089-8622-8E7561A34229}"/>
              </c:ext>
            </c:extLst>
          </c:dPt>
          <c:val>
            <c:numRef>
              <c:f>Análisis!$E$77:$E$78</c:f>
              <c:numCache>
                <c:formatCode>0.00%</c:formatCode>
                <c:ptCount val="2"/>
                <c:pt idx="0">
                  <c:v>6.8198031212477486E-2</c:v>
                </c:pt>
                <c:pt idx="1">
                  <c:v>0.93180196878752253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B0-4089-8622-8E7561A34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[DB.xlsx]Análisis!5_más_pedidos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Análisis!$F$45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Análisis!$E$46:$E$51</c:f>
              <c:strCache>
                <c:ptCount val="5"/>
                <c:pt idx="0">
                  <c:v>Batidora de Vaso</c:v>
                </c:pt>
                <c:pt idx="1">
                  <c:v>Cafetera Espresso</c:v>
                </c:pt>
                <c:pt idx="2">
                  <c:v>Mancuernas 10kg</c:v>
                </c:pt>
                <c:pt idx="3">
                  <c:v>Ratón Inalámbrico</c:v>
                </c:pt>
                <c:pt idx="4">
                  <c:v>Sudadera Fleece</c:v>
                </c:pt>
              </c:strCache>
            </c:strRef>
          </c:cat>
          <c:val>
            <c:numRef>
              <c:f>Análisis!$F$46:$F$51</c:f>
              <c:numCache>
                <c:formatCode>General</c:formatCode>
                <c:ptCount val="5"/>
                <c:pt idx="0">
                  <c:v>348</c:v>
                </c:pt>
                <c:pt idx="1">
                  <c:v>346</c:v>
                </c:pt>
                <c:pt idx="2">
                  <c:v>336</c:v>
                </c:pt>
                <c:pt idx="3">
                  <c:v>372</c:v>
                </c:pt>
                <c:pt idx="4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C-4A08-BF3C-08432A48A3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9400447"/>
        <c:axId val="1269400927"/>
      </c:barChart>
      <c:catAx>
        <c:axId val="126940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9400927"/>
        <c:crosses val="autoZero"/>
        <c:auto val="1"/>
        <c:lblAlgn val="ctr"/>
        <c:lblOffset val="100"/>
        <c:noMultiLvlLbl val="0"/>
      </c:catAx>
      <c:valAx>
        <c:axId val="126940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940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[DB.xlsx]Análisis!5_menos_pedidos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Análisis!$F$56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Análisis!$E$57:$E$62</c:f>
              <c:strCache>
                <c:ptCount val="5"/>
                <c:pt idx="0">
                  <c:v>Bicicleta Estática</c:v>
                </c:pt>
                <c:pt idx="1">
                  <c:v>Colchón Viscoelástico</c:v>
                </c:pt>
                <c:pt idx="2">
                  <c:v>Laptop Air 13</c:v>
                </c:pt>
                <c:pt idx="3">
                  <c:v>Tablet Pro</c:v>
                </c:pt>
                <c:pt idx="4">
                  <c:v>Zapatillas Running</c:v>
                </c:pt>
              </c:strCache>
            </c:strRef>
          </c:cat>
          <c:val>
            <c:numRef>
              <c:f>Análisis!$F$57:$F$62</c:f>
              <c:numCache>
                <c:formatCode>General</c:formatCode>
                <c:ptCount val="5"/>
                <c:pt idx="0">
                  <c:v>255</c:v>
                </c:pt>
                <c:pt idx="1">
                  <c:v>253</c:v>
                </c:pt>
                <c:pt idx="2">
                  <c:v>258</c:v>
                </c:pt>
                <c:pt idx="3">
                  <c:v>259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5-4918-925E-D32A346EB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00576"/>
        <c:axId val="152607776"/>
      </c:barChart>
      <c:catAx>
        <c:axId val="15260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607776"/>
        <c:crosses val="autoZero"/>
        <c:auto val="1"/>
        <c:lblAlgn val="ctr"/>
        <c:lblOffset val="100"/>
        <c:noMultiLvlLbl val="0"/>
      </c:catAx>
      <c:valAx>
        <c:axId val="1526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60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18" Type="http://schemas.openxmlformats.org/officeDocument/2006/relationships/image" Target="../media/image7.png"/><Relationship Id="rId26" Type="http://schemas.openxmlformats.org/officeDocument/2006/relationships/chart" Target="../charts/chart16.xml"/><Relationship Id="rId3" Type="http://schemas.openxmlformats.org/officeDocument/2006/relationships/chart" Target="../charts/chart3.xml"/><Relationship Id="rId21" Type="http://schemas.openxmlformats.org/officeDocument/2006/relationships/image" Target="../media/image10.svg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17" Type="http://schemas.openxmlformats.org/officeDocument/2006/relationships/image" Target="../media/image6.svg"/><Relationship Id="rId25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image" Target="../media/image5.png"/><Relationship Id="rId20" Type="http://schemas.openxmlformats.org/officeDocument/2006/relationships/image" Target="../media/image9.png"/><Relationship Id="rId1" Type="http://schemas.openxmlformats.org/officeDocument/2006/relationships/chart" Target="../charts/chart1.xml"/><Relationship Id="rId6" Type="http://schemas.openxmlformats.org/officeDocument/2006/relationships/image" Target="../media/image2.emf"/><Relationship Id="rId11" Type="http://schemas.openxmlformats.org/officeDocument/2006/relationships/chart" Target="../charts/chart9.xml"/><Relationship Id="rId24" Type="http://schemas.openxmlformats.org/officeDocument/2006/relationships/chart" Target="../charts/chart14.xml"/><Relationship Id="rId5" Type="http://schemas.openxmlformats.org/officeDocument/2006/relationships/image" Target="../media/image1.emf"/><Relationship Id="rId15" Type="http://schemas.openxmlformats.org/officeDocument/2006/relationships/image" Target="../media/image4.svg"/><Relationship Id="rId23" Type="http://schemas.openxmlformats.org/officeDocument/2006/relationships/chart" Target="../charts/chart13.xml"/><Relationship Id="rId10" Type="http://schemas.openxmlformats.org/officeDocument/2006/relationships/chart" Target="../charts/chart8.xml"/><Relationship Id="rId19" Type="http://schemas.openxmlformats.org/officeDocument/2006/relationships/image" Target="../media/image8.svg"/><Relationship Id="rId4" Type="http://schemas.openxmlformats.org/officeDocument/2006/relationships/chart" Target="../charts/chart4.xml"/><Relationship Id="rId9" Type="http://schemas.openxmlformats.org/officeDocument/2006/relationships/chart" Target="../charts/chart7.xml"/><Relationship Id="rId14" Type="http://schemas.openxmlformats.org/officeDocument/2006/relationships/image" Target="../media/image3.png"/><Relationship Id="rId2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140634</xdr:rowOff>
    </xdr:from>
    <xdr:to>
      <xdr:col>23</xdr:col>
      <xdr:colOff>66675</xdr:colOff>
      <xdr:row>52</xdr:row>
      <xdr:rowOff>73959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EDC7C04-72F9-F4BA-2DC9-BBA878A1F8BB}"/>
            </a:ext>
          </a:extLst>
        </xdr:cNvPr>
        <xdr:cNvSpPr>
          <a:spLocks/>
        </xdr:cNvSpPr>
      </xdr:nvSpPr>
      <xdr:spPr>
        <a:xfrm>
          <a:off x="342900" y="140634"/>
          <a:ext cx="17249775" cy="9839325"/>
        </a:xfrm>
        <a:prstGeom prst="roundRect">
          <a:avLst>
            <a:gd name="adj" fmla="val 3907"/>
          </a:avLst>
        </a:prstGeom>
        <a:gradFill flip="none" rotWithShape="1">
          <a:gsLst>
            <a:gs pos="0">
              <a:srgbClr val="BFF3E2">
                <a:shade val="30000"/>
                <a:satMod val="115000"/>
              </a:srgbClr>
            </a:gs>
            <a:gs pos="50000">
              <a:srgbClr val="BFF3E2">
                <a:shade val="67500"/>
                <a:satMod val="115000"/>
              </a:srgbClr>
            </a:gs>
            <a:gs pos="100000">
              <a:srgbClr val="BFF3E2">
                <a:shade val="100000"/>
                <a:satMod val="115000"/>
              </a:srgbClr>
            </a:gs>
          </a:gsLst>
          <a:path path="circle">
            <a:fillToRect l="100000" b="100000"/>
          </a:path>
          <a:tileRect t="-100000" r="-100000"/>
        </a:gradFill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36641</xdr:colOff>
      <xdr:row>20</xdr:row>
      <xdr:rowOff>14654</xdr:rowOff>
    </xdr:from>
    <xdr:to>
      <xdr:col>22</xdr:col>
      <xdr:colOff>547184</xdr:colOff>
      <xdr:row>51</xdr:row>
      <xdr:rowOff>27073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7864A6D6-612C-F6A5-7F23-8FC4144F69A8}"/>
            </a:ext>
          </a:extLst>
        </xdr:cNvPr>
        <xdr:cNvSpPr/>
      </xdr:nvSpPr>
      <xdr:spPr>
        <a:xfrm>
          <a:off x="14514641" y="3824654"/>
          <a:ext cx="2796543" cy="5917919"/>
        </a:xfrm>
        <a:prstGeom prst="roundRect">
          <a:avLst>
            <a:gd name="adj" fmla="val 7952"/>
          </a:avLst>
        </a:prstGeom>
        <a:solidFill>
          <a:schemeClr val="bg1">
            <a:lumMod val="85000"/>
            <a:alpha val="46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0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48901</xdr:colOff>
      <xdr:row>20</xdr:row>
      <xdr:rowOff>68121</xdr:rowOff>
    </xdr:from>
    <xdr:to>
      <xdr:col>22</xdr:col>
      <xdr:colOff>554940</xdr:colOff>
      <xdr:row>22</xdr:row>
      <xdr:rowOff>146611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36B1E87C-56C4-4A70-ADBB-DA04ACD8B7F4}"/>
            </a:ext>
          </a:extLst>
        </xdr:cNvPr>
        <xdr:cNvSpPr txBox="1"/>
      </xdr:nvSpPr>
      <xdr:spPr>
        <a:xfrm>
          <a:off x="14526901" y="3878121"/>
          <a:ext cx="2792039" cy="4594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ES" sz="1600" b="1">
              <a:solidFill>
                <a:schemeClr val="tx1">
                  <a:lumMod val="65000"/>
                  <a:lumOff val="35000"/>
                </a:schemeClr>
              </a:solidFill>
            </a:rPr>
            <a:t>Pedidos por periodo</a:t>
          </a:r>
        </a:p>
      </xdr:txBody>
    </xdr:sp>
    <xdr:clientData/>
  </xdr:twoCellAnchor>
  <xdr:twoCellAnchor>
    <xdr:from>
      <xdr:col>20</xdr:col>
      <xdr:colOff>728531</xdr:colOff>
      <xdr:row>25</xdr:row>
      <xdr:rowOff>9176</xdr:rowOff>
    </xdr:from>
    <xdr:to>
      <xdr:col>22</xdr:col>
      <xdr:colOff>406008</xdr:colOff>
      <xdr:row>49</xdr:row>
      <xdr:rowOff>64128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E0FBAA00-CEC0-9BBB-500E-63D1FA8619E6}"/>
            </a:ext>
          </a:extLst>
        </xdr:cNvPr>
        <xdr:cNvGrpSpPr/>
      </xdr:nvGrpSpPr>
      <xdr:grpSpPr>
        <a:xfrm>
          <a:off x="15968531" y="4771676"/>
          <a:ext cx="1201477" cy="4626952"/>
          <a:chOff x="2705100" y="4324350"/>
          <a:chExt cx="1104900" cy="4124325"/>
        </a:xfrm>
      </xdr:grpSpPr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6FF4603E-7A41-4566-846F-6ED2C33AA044}"/>
              </a:ext>
            </a:extLst>
          </xdr:cNvPr>
          <xdr:cNvSpPr txBox="1"/>
        </xdr:nvSpPr>
        <xdr:spPr>
          <a:xfrm>
            <a:off x="2705100" y="4324350"/>
            <a:ext cx="1104900" cy="5810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s-ES" sz="1200" b="1">
                <a:solidFill>
                  <a:schemeClr val="tx1">
                    <a:lumMod val="65000"/>
                    <a:lumOff val="35000"/>
                  </a:schemeClr>
                </a:solidFill>
              </a:rPr>
              <a:t>Pedidos Completados</a:t>
            </a: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62924BAB-DE1D-4821-A126-4420E773C4F2}"/>
              </a:ext>
            </a:extLst>
          </xdr:cNvPr>
          <xdr:cNvSpPr txBox="1"/>
        </xdr:nvSpPr>
        <xdr:spPr>
          <a:xfrm>
            <a:off x="2705100" y="5569224"/>
            <a:ext cx="1104900" cy="28691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s-ES" sz="1200" b="1">
                <a:solidFill>
                  <a:schemeClr val="tx1">
                    <a:lumMod val="65000"/>
                    <a:lumOff val="35000"/>
                  </a:schemeClr>
                </a:solidFill>
              </a:rPr>
              <a:t>Pedidos Activos</a:t>
            </a:r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5D77A73A-D205-4BA9-9910-6AB54559E158}"/>
              </a:ext>
            </a:extLst>
          </xdr:cNvPr>
          <xdr:cNvSpPr txBox="1"/>
        </xdr:nvSpPr>
        <xdr:spPr>
          <a:xfrm>
            <a:off x="2705100" y="6734175"/>
            <a:ext cx="1104900" cy="5810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s-ES" sz="1200" b="1">
                <a:solidFill>
                  <a:schemeClr val="tx1">
                    <a:lumMod val="65000"/>
                    <a:lumOff val="35000"/>
                  </a:schemeClr>
                </a:solidFill>
              </a:rPr>
              <a:t>Pedidos Cancelados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10073030-2091-4D22-8E82-03843AA28148}"/>
              </a:ext>
            </a:extLst>
          </xdr:cNvPr>
          <xdr:cNvSpPr txBox="1"/>
        </xdr:nvSpPr>
        <xdr:spPr>
          <a:xfrm>
            <a:off x="2705100" y="7867650"/>
            <a:ext cx="1104900" cy="5810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s-ES" sz="1200" b="1">
                <a:solidFill>
                  <a:schemeClr val="tx1">
                    <a:lumMod val="65000"/>
                    <a:lumOff val="35000"/>
                  </a:schemeClr>
                </a:solidFill>
              </a:rPr>
              <a:t>Pedidos Devueltos</a:t>
            </a:r>
          </a:p>
        </xdr:txBody>
      </xdr:sp>
    </xdr:grpSp>
    <xdr:clientData/>
  </xdr:twoCellAnchor>
  <xdr:twoCellAnchor>
    <xdr:from>
      <xdr:col>19</xdr:col>
      <xdr:colOff>111925</xdr:colOff>
      <xdr:row>22</xdr:row>
      <xdr:rowOff>112959</xdr:rowOff>
    </xdr:from>
    <xdr:to>
      <xdr:col>21</xdr:col>
      <xdr:colOff>290606</xdr:colOff>
      <xdr:row>50</xdr:row>
      <xdr:rowOff>78830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862556AF-2BE6-78A2-698E-35074E821B94}"/>
            </a:ext>
          </a:extLst>
        </xdr:cNvPr>
        <xdr:cNvGrpSpPr/>
      </xdr:nvGrpSpPr>
      <xdr:grpSpPr>
        <a:xfrm>
          <a:off x="14589925" y="4303959"/>
          <a:ext cx="1702681" cy="5299871"/>
          <a:chOff x="646111" y="4030450"/>
          <a:chExt cx="1565816" cy="4724144"/>
        </a:xfrm>
      </xdr:grpSpPr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4A688E22-0E66-4008-A7B9-793FAA1018D2}"/>
              </a:ext>
            </a:extLst>
          </xdr:cNvPr>
          <xdr:cNvGraphicFramePr>
            <a:graphicFrameLocks/>
          </xdr:cNvGraphicFramePr>
        </xdr:nvGraphicFramePr>
        <xdr:xfrm>
          <a:off x="815026" y="5225046"/>
          <a:ext cx="1082344" cy="11288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Análisis!E11">
        <xdr:nvSpPr>
          <xdr:cNvPr id="22" name="CuadroTexto 21">
            <a:extLst>
              <a:ext uri="{FF2B5EF4-FFF2-40B4-BE49-F238E27FC236}">
                <a16:creationId xmlns:a16="http://schemas.microsoft.com/office/drawing/2014/main" id="{19DA6FB6-3713-D255-02DB-50EF911AA42E}"/>
              </a:ext>
            </a:extLst>
          </xdr:cNvPr>
          <xdr:cNvSpPr txBox="1"/>
        </xdr:nvSpPr>
        <xdr:spPr>
          <a:xfrm>
            <a:off x="1056665" y="5657098"/>
            <a:ext cx="762000" cy="381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7DC1486-5C4B-4C47-A2F9-EC54ADF1AC0E}" type="TxLink">
              <a:rPr lang="en-US" sz="1400" b="1" i="0" u="none" strike="noStrike">
                <a:solidFill>
                  <a:srgbClr val="000000"/>
                </a:solidFill>
                <a:latin typeface="Aptos Narrow"/>
              </a:rPr>
              <a:pPr algn="ctr"/>
              <a:t>31,4%</a:t>
            </a:fld>
            <a:endParaRPr lang="es-ES" sz="1400" b="1"/>
          </a:p>
        </xdr:txBody>
      </xdr:sp>
      <xdr:graphicFrame macro="">
        <xdr:nvGraphicFramePr>
          <xdr:cNvPr id="24" name="Gráfico 23">
            <a:extLst>
              <a:ext uri="{FF2B5EF4-FFF2-40B4-BE49-F238E27FC236}">
                <a16:creationId xmlns:a16="http://schemas.microsoft.com/office/drawing/2014/main" id="{C88EE891-9F3F-4B9E-8E4A-E13CA49408CA}"/>
              </a:ext>
            </a:extLst>
          </xdr:cNvPr>
          <xdr:cNvGraphicFramePr>
            <a:graphicFrameLocks/>
          </xdr:cNvGraphicFramePr>
        </xdr:nvGraphicFramePr>
        <xdr:xfrm>
          <a:off x="646111" y="4030450"/>
          <a:ext cx="1565816" cy="12483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Análisis!H11">
        <xdr:nvSpPr>
          <xdr:cNvPr id="25" name="CuadroTexto 24">
            <a:extLst>
              <a:ext uri="{FF2B5EF4-FFF2-40B4-BE49-F238E27FC236}">
                <a16:creationId xmlns:a16="http://schemas.microsoft.com/office/drawing/2014/main" id="{CBAA9B9D-056C-45E1-BC7C-85B020885B7F}"/>
              </a:ext>
            </a:extLst>
          </xdr:cNvPr>
          <xdr:cNvSpPr txBox="1"/>
        </xdr:nvSpPr>
        <xdr:spPr>
          <a:xfrm>
            <a:off x="1053645" y="4441929"/>
            <a:ext cx="762000" cy="381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5603AC7-9671-40B8-82C9-3612DC6F7ACA}" type="TxLink">
              <a:rPr lang="en-US" sz="14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pPr marL="0" indent="0" algn="ctr"/>
              <a:t>58,4%</a:t>
            </a:fld>
            <a:endParaRPr lang="es-E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579E7918-58F7-4B79-AA82-FEC31CADAD89}"/>
              </a:ext>
            </a:extLst>
          </xdr:cNvPr>
          <xdr:cNvGraphicFramePr>
            <a:graphicFrameLocks/>
          </xdr:cNvGraphicFramePr>
        </xdr:nvGraphicFramePr>
        <xdr:xfrm>
          <a:off x="880352" y="6500271"/>
          <a:ext cx="1058288" cy="11751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Análisis!K11">
        <xdr:nvSpPr>
          <xdr:cNvPr id="27" name="CuadroTexto 26">
            <a:extLst>
              <a:ext uri="{FF2B5EF4-FFF2-40B4-BE49-F238E27FC236}">
                <a16:creationId xmlns:a16="http://schemas.microsoft.com/office/drawing/2014/main" id="{9DDA554C-EF15-41FA-A362-4EA160199EC3}"/>
              </a:ext>
            </a:extLst>
          </xdr:cNvPr>
          <xdr:cNvSpPr txBox="1"/>
        </xdr:nvSpPr>
        <xdr:spPr>
          <a:xfrm>
            <a:off x="1060863" y="6898444"/>
            <a:ext cx="762000" cy="381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67774C5-E5B2-472A-A4F3-4DE695BBAF9B}" type="TxLink">
              <a:rPr lang="en-US" sz="14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pPr marL="0" indent="0" algn="ctr"/>
              <a:t>6,1%</a:t>
            </a:fld>
            <a:endParaRPr lang="es-E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aphicFrame macro="">
        <xdr:nvGraphicFramePr>
          <xdr:cNvPr id="29" name="Gráfico 28">
            <a:extLst>
              <a:ext uri="{FF2B5EF4-FFF2-40B4-BE49-F238E27FC236}">
                <a16:creationId xmlns:a16="http://schemas.microsoft.com/office/drawing/2014/main" id="{0B78B5F6-7153-46AB-AF94-7666C1230FEF}"/>
              </a:ext>
            </a:extLst>
          </xdr:cNvPr>
          <xdr:cNvGraphicFramePr>
            <a:graphicFrameLocks/>
          </xdr:cNvGraphicFramePr>
        </xdr:nvGraphicFramePr>
        <xdr:xfrm>
          <a:off x="778782" y="7720247"/>
          <a:ext cx="1262558" cy="10343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Análisis!N11">
        <xdr:nvSpPr>
          <xdr:cNvPr id="28" name="CuadroTexto 27">
            <a:extLst>
              <a:ext uri="{FF2B5EF4-FFF2-40B4-BE49-F238E27FC236}">
                <a16:creationId xmlns:a16="http://schemas.microsoft.com/office/drawing/2014/main" id="{A38C4D8C-6C23-47AE-8019-F9DD8CD7A40B}"/>
              </a:ext>
            </a:extLst>
          </xdr:cNvPr>
          <xdr:cNvSpPr txBox="1"/>
        </xdr:nvSpPr>
        <xdr:spPr>
          <a:xfrm>
            <a:off x="1053088" y="8043285"/>
            <a:ext cx="762000" cy="381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7B90FC5-4EBC-477B-9D91-BFACE2AA5BA5}" type="TxLink">
              <a:rPr lang="en-US" sz="14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pPr marL="0" indent="0" algn="ctr"/>
              <a:t>4,1%</a:t>
            </a:fld>
            <a:endParaRPr lang="es-E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139519</xdr:colOff>
      <xdr:row>20</xdr:row>
      <xdr:rowOff>9887</xdr:rowOff>
    </xdr:from>
    <xdr:to>
      <xdr:col>13</xdr:col>
      <xdr:colOff>433136</xdr:colOff>
      <xdr:row>39</xdr:row>
      <xdr:rowOff>171685</xdr:rowOff>
    </xdr:to>
    <xdr:grpSp>
      <xdr:nvGrpSpPr>
        <xdr:cNvPr id="130" name="Grupo 129">
          <a:extLst>
            <a:ext uri="{FF2B5EF4-FFF2-40B4-BE49-F238E27FC236}">
              <a16:creationId xmlns:a16="http://schemas.microsoft.com/office/drawing/2014/main" id="{DFA2E51C-3626-EF57-CBD0-11BF2BB16BE9}"/>
            </a:ext>
          </a:extLst>
        </xdr:cNvPr>
        <xdr:cNvGrpSpPr/>
      </xdr:nvGrpSpPr>
      <xdr:grpSpPr>
        <a:xfrm>
          <a:off x="3187519" y="3819887"/>
          <a:ext cx="7151617" cy="3781298"/>
          <a:chOff x="3187519" y="3819887"/>
          <a:chExt cx="7151617" cy="3781298"/>
        </a:xfrm>
      </xdr:grpSpPr>
      <xdr:grpSp>
        <xdr:nvGrpSpPr>
          <xdr:cNvPr id="49" name="Grupo 48">
            <a:extLst>
              <a:ext uri="{FF2B5EF4-FFF2-40B4-BE49-F238E27FC236}">
                <a16:creationId xmlns:a16="http://schemas.microsoft.com/office/drawing/2014/main" id="{87009E0A-97A8-49EC-A1AA-639BA80DE891}"/>
              </a:ext>
            </a:extLst>
          </xdr:cNvPr>
          <xdr:cNvGrpSpPr/>
        </xdr:nvGrpSpPr>
        <xdr:grpSpPr>
          <a:xfrm>
            <a:off x="3187519" y="5765185"/>
            <a:ext cx="3672000" cy="1836000"/>
            <a:chOff x="13365242" y="2219325"/>
            <a:chExt cx="3672000" cy="1836000"/>
          </a:xfrm>
        </xdr:grpSpPr>
        <xdr:sp macro="" textlink="">
          <xdr:nvSpPr>
            <xdr:cNvPr id="50" name="Rectángulo: esquinas redondeadas 49">
              <a:extLst>
                <a:ext uri="{FF2B5EF4-FFF2-40B4-BE49-F238E27FC236}">
                  <a16:creationId xmlns:a16="http://schemas.microsoft.com/office/drawing/2014/main" id="{224CE2EE-07C3-1A97-803A-748FCAE8CF8E}"/>
                </a:ext>
              </a:extLst>
            </xdr:cNvPr>
            <xdr:cNvSpPr/>
          </xdr:nvSpPr>
          <xdr:spPr>
            <a:xfrm>
              <a:off x="13365242" y="2219325"/>
              <a:ext cx="3672000" cy="1836000"/>
            </a:xfrm>
            <a:prstGeom prst="roundRect">
              <a:avLst>
                <a:gd name="adj" fmla="val 7952"/>
              </a:avLst>
            </a:prstGeom>
            <a:solidFill>
              <a:schemeClr val="bg1">
                <a:lumMod val="85000"/>
                <a:alpha val="46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endParaRPr lang="es-ES" sz="20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045EA032-25B9-7DCE-D55B-62EC7BF5C016}"/>
                </a:ext>
              </a:extLst>
            </xdr:cNvPr>
            <xdr:cNvSpPr txBox="1"/>
          </xdr:nvSpPr>
          <xdr:spPr>
            <a:xfrm>
              <a:off x="13411201" y="2276474"/>
              <a:ext cx="3581400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s-ES" sz="1400" b="0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rPr>
                <a:t>Productos</a:t>
              </a:r>
              <a:r>
                <a:rPr lang="es-ES" sz="1100" b="1"/>
                <a:t> </a:t>
              </a:r>
              <a:r>
                <a:rPr lang="es-ES" sz="1400" b="0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rPr>
                <a:t>con menor cantidad de pedidos</a:t>
              </a:r>
            </a:p>
          </xdr:txBody>
        </xdr:sp>
      </xdr:grpSp>
      <xdr:grpSp>
        <xdr:nvGrpSpPr>
          <xdr:cNvPr id="73" name="Grupo 72">
            <a:extLst>
              <a:ext uri="{FF2B5EF4-FFF2-40B4-BE49-F238E27FC236}">
                <a16:creationId xmlns:a16="http://schemas.microsoft.com/office/drawing/2014/main" id="{7BA7DC50-82AF-6453-B3C4-C348D171BC50}"/>
              </a:ext>
            </a:extLst>
          </xdr:cNvPr>
          <xdr:cNvGrpSpPr/>
        </xdr:nvGrpSpPr>
        <xdr:grpSpPr>
          <a:xfrm>
            <a:off x="3191299" y="3819887"/>
            <a:ext cx="3672000" cy="1836000"/>
            <a:chOff x="13365242" y="2219325"/>
            <a:chExt cx="3672000" cy="1836000"/>
          </a:xfrm>
        </xdr:grpSpPr>
        <xdr:sp macro="" textlink="">
          <xdr:nvSpPr>
            <xdr:cNvPr id="75" name="Rectángulo: esquinas redondeadas 74">
              <a:extLst>
                <a:ext uri="{FF2B5EF4-FFF2-40B4-BE49-F238E27FC236}">
                  <a16:creationId xmlns:a16="http://schemas.microsoft.com/office/drawing/2014/main" id="{1E13F8E9-FB01-080F-BF3B-C6F4DF1CD1B8}"/>
                </a:ext>
              </a:extLst>
            </xdr:cNvPr>
            <xdr:cNvSpPr/>
          </xdr:nvSpPr>
          <xdr:spPr>
            <a:xfrm>
              <a:off x="13365242" y="2219325"/>
              <a:ext cx="3672000" cy="1836000"/>
            </a:xfrm>
            <a:prstGeom prst="roundRect">
              <a:avLst>
                <a:gd name="adj" fmla="val 7952"/>
              </a:avLst>
            </a:prstGeom>
            <a:solidFill>
              <a:schemeClr val="bg1">
                <a:lumMod val="85000"/>
                <a:alpha val="46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endParaRPr lang="es-ES" sz="20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76" name="CuadroTexto 75">
              <a:extLst>
                <a:ext uri="{FF2B5EF4-FFF2-40B4-BE49-F238E27FC236}">
                  <a16:creationId xmlns:a16="http://schemas.microsoft.com/office/drawing/2014/main" id="{2FB4BE6C-DA4C-8CC6-DF87-D227061F06A5}"/>
                </a:ext>
              </a:extLst>
            </xdr:cNvPr>
            <xdr:cNvSpPr txBox="1"/>
          </xdr:nvSpPr>
          <xdr:spPr>
            <a:xfrm>
              <a:off x="13411200" y="2276474"/>
              <a:ext cx="359092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s-ES" sz="1400" b="0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rPr>
                <a:t>Productos</a:t>
              </a:r>
              <a:r>
                <a:rPr lang="es-ES" sz="1100" b="1"/>
                <a:t> </a:t>
              </a:r>
              <a:r>
                <a:rPr lang="es-ES" sz="1400" b="0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rPr>
                <a:t>con mayor cantidad de pedidos</a:t>
              </a:r>
            </a:p>
          </xdr:txBody>
        </xdr:sp>
      </xdr:grpSp>
      <xdr:grpSp>
        <xdr:nvGrpSpPr>
          <xdr:cNvPr id="84" name="Grupo 83">
            <a:extLst>
              <a:ext uri="{FF2B5EF4-FFF2-40B4-BE49-F238E27FC236}">
                <a16:creationId xmlns:a16="http://schemas.microsoft.com/office/drawing/2014/main" id="{F890D467-9AE0-8378-2883-C702B30631C5}"/>
              </a:ext>
            </a:extLst>
          </xdr:cNvPr>
          <xdr:cNvGrpSpPr/>
        </xdr:nvGrpSpPr>
        <xdr:grpSpPr>
          <a:xfrm>
            <a:off x="6972300" y="3821850"/>
            <a:ext cx="3132000" cy="1836000"/>
            <a:chOff x="1181100" y="6429375"/>
            <a:chExt cx="3132000" cy="1836000"/>
          </a:xfrm>
        </xdr:grpSpPr>
        <xdr:grpSp>
          <xdr:nvGrpSpPr>
            <xdr:cNvPr id="48" name="Grupo 47">
              <a:extLst>
                <a:ext uri="{FF2B5EF4-FFF2-40B4-BE49-F238E27FC236}">
                  <a16:creationId xmlns:a16="http://schemas.microsoft.com/office/drawing/2014/main" id="{7CD951FB-3975-65FC-A118-C636CE510D15}"/>
                </a:ext>
              </a:extLst>
            </xdr:cNvPr>
            <xdr:cNvGrpSpPr/>
          </xdr:nvGrpSpPr>
          <xdr:grpSpPr>
            <a:xfrm>
              <a:off x="1181100" y="6429375"/>
              <a:ext cx="3132000" cy="1836000"/>
              <a:chOff x="13611225" y="2219325"/>
              <a:chExt cx="3132000" cy="1836000"/>
            </a:xfrm>
          </xdr:grpSpPr>
          <xdr:sp macro="" textlink="">
            <xdr:nvSpPr>
              <xdr:cNvPr id="43" name="Rectángulo: esquinas redondeadas 42">
                <a:extLst>
                  <a:ext uri="{FF2B5EF4-FFF2-40B4-BE49-F238E27FC236}">
                    <a16:creationId xmlns:a16="http://schemas.microsoft.com/office/drawing/2014/main" id="{CCBDD0B4-0B4F-432D-805A-F98CA7DE1843}"/>
                  </a:ext>
                </a:extLst>
              </xdr:cNvPr>
              <xdr:cNvSpPr/>
            </xdr:nvSpPr>
            <xdr:spPr>
              <a:xfrm>
                <a:off x="13611225" y="2219325"/>
                <a:ext cx="3132000" cy="1836000"/>
              </a:xfrm>
              <a:prstGeom prst="roundRect">
                <a:avLst>
                  <a:gd name="adj" fmla="val 7952"/>
                </a:avLst>
              </a:prstGeom>
              <a:solidFill>
                <a:schemeClr val="bg1">
                  <a:lumMod val="85000"/>
                  <a:alpha val="46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endParaRPr lang="es-ES" sz="2000" b="1" i="0" u="none" strike="noStrike">
                  <a:solidFill>
                    <a:srgbClr val="0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46" name="CuadroTexto 45">
                <a:extLst>
                  <a:ext uri="{FF2B5EF4-FFF2-40B4-BE49-F238E27FC236}">
                    <a16:creationId xmlns:a16="http://schemas.microsoft.com/office/drawing/2014/main" id="{3967CF7B-A2F1-AED0-2316-40058828CE23}"/>
                  </a:ext>
                </a:extLst>
              </xdr:cNvPr>
              <xdr:cNvSpPr txBox="1"/>
            </xdr:nvSpPr>
            <xdr:spPr>
              <a:xfrm>
                <a:off x="13658850" y="2276474"/>
                <a:ext cx="305752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s-ES" sz="14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Productos</a:t>
                </a:r>
                <a:r>
                  <a:rPr lang="es-ES" sz="1100" b="1"/>
                  <a:t> </a:t>
                </a:r>
                <a:r>
                  <a:rPr lang="es-ES" sz="14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mejor valorados</a:t>
                </a:r>
              </a:p>
            </xdr:txBody>
          </xdr:sp>
        </xdr:grpSp>
        <xdr:pic>
          <xdr:nvPicPr>
            <xdr:cNvPr id="82" name="Imagen 81">
              <a:extLst>
                <a:ext uri="{FF2B5EF4-FFF2-40B4-BE49-F238E27FC236}">
                  <a16:creationId xmlns:a16="http://schemas.microsoft.com/office/drawing/2014/main" id="{7862DC73-BED7-D4E7-94B2-228C8C40794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59877" y="6780335"/>
              <a:ext cx="2819400" cy="13430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85" name="Grupo 84">
            <a:extLst>
              <a:ext uri="{FF2B5EF4-FFF2-40B4-BE49-F238E27FC236}">
                <a16:creationId xmlns:a16="http://schemas.microsoft.com/office/drawing/2014/main" id="{2908EAAD-B983-71F3-0491-E242DA88FB45}"/>
              </a:ext>
            </a:extLst>
          </xdr:cNvPr>
          <xdr:cNvGrpSpPr/>
        </xdr:nvGrpSpPr>
        <xdr:grpSpPr>
          <a:xfrm>
            <a:off x="6757737" y="5764950"/>
            <a:ext cx="3581399" cy="1836000"/>
            <a:chOff x="4791075" y="6448425"/>
            <a:chExt cx="3581399" cy="1836000"/>
          </a:xfrm>
        </xdr:grpSpPr>
        <xdr:grpSp>
          <xdr:nvGrpSpPr>
            <xdr:cNvPr id="79" name="Grupo 78">
              <a:extLst>
                <a:ext uri="{FF2B5EF4-FFF2-40B4-BE49-F238E27FC236}">
                  <a16:creationId xmlns:a16="http://schemas.microsoft.com/office/drawing/2014/main" id="{A8AA176D-2F94-477D-AB30-A3A6234D3FA5}"/>
                </a:ext>
              </a:extLst>
            </xdr:cNvPr>
            <xdr:cNvGrpSpPr/>
          </xdr:nvGrpSpPr>
          <xdr:grpSpPr>
            <a:xfrm>
              <a:off x="4791075" y="6448425"/>
              <a:ext cx="3581399" cy="1836000"/>
              <a:chOff x="13411200" y="2228850"/>
              <a:chExt cx="3581399" cy="1836000"/>
            </a:xfrm>
          </xdr:grpSpPr>
          <xdr:sp macro="" textlink="">
            <xdr:nvSpPr>
              <xdr:cNvPr id="80" name="Rectángulo: esquinas redondeadas 79">
                <a:extLst>
                  <a:ext uri="{FF2B5EF4-FFF2-40B4-BE49-F238E27FC236}">
                    <a16:creationId xmlns:a16="http://schemas.microsoft.com/office/drawing/2014/main" id="{11B8A837-BB3E-4AA5-9770-55F0B8B104F6}"/>
                  </a:ext>
                </a:extLst>
              </xdr:cNvPr>
              <xdr:cNvSpPr/>
            </xdr:nvSpPr>
            <xdr:spPr>
              <a:xfrm>
                <a:off x="13631941" y="2228850"/>
                <a:ext cx="3132000" cy="1836000"/>
              </a:xfrm>
              <a:prstGeom prst="roundRect">
                <a:avLst>
                  <a:gd name="adj" fmla="val 7952"/>
                </a:avLst>
              </a:prstGeom>
              <a:solidFill>
                <a:schemeClr val="bg1">
                  <a:lumMod val="85000"/>
                  <a:alpha val="46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endParaRPr lang="es-ES" sz="2000" b="1" i="0" u="none" strike="noStrike">
                  <a:solidFill>
                    <a:srgbClr val="0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81" name="CuadroTexto 80">
                <a:extLst>
                  <a:ext uri="{FF2B5EF4-FFF2-40B4-BE49-F238E27FC236}">
                    <a16:creationId xmlns:a16="http://schemas.microsoft.com/office/drawing/2014/main" id="{4EE18F4C-37F3-51FC-25BB-5CD1C326182D}"/>
                  </a:ext>
                </a:extLst>
              </xdr:cNvPr>
              <xdr:cNvSpPr txBox="1"/>
            </xdr:nvSpPr>
            <xdr:spPr>
              <a:xfrm>
                <a:off x="13411200" y="2276474"/>
                <a:ext cx="3581399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s-ES" sz="14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Productos</a:t>
                </a:r>
                <a:r>
                  <a:rPr lang="es-ES" sz="1100" b="1"/>
                  <a:t> </a:t>
                </a:r>
                <a:r>
                  <a:rPr lang="es-ES" sz="14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peor valorados</a:t>
                </a:r>
              </a:p>
            </xdr:txBody>
          </xdr:sp>
        </xdr:grpSp>
        <xdr:pic>
          <xdr:nvPicPr>
            <xdr:cNvPr id="83" name="Imagen 82">
              <a:extLst>
                <a:ext uri="{FF2B5EF4-FFF2-40B4-BE49-F238E27FC236}">
                  <a16:creationId xmlns:a16="http://schemas.microsoft.com/office/drawing/2014/main" id="{C97AAD29-4553-B212-2598-B38779BAC9D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186729" y="6785463"/>
              <a:ext cx="2819400" cy="13430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9</xdr:col>
      <xdr:colOff>124558</xdr:colOff>
      <xdr:row>40</xdr:row>
      <xdr:rowOff>43962</xdr:rowOff>
    </xdr:from>
    <xdr:to>
      <xdr:col>13</xdr:col>
      <xdr:colOff>208558</xdr:colOff>
      <xdr:row>51</xdr:row>
      <xdr:rowOff>1478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9EC72838-C44F-3376-1924-B687C4BB7453}"/>
            </a:ext>
          </a:extLst>
        </xdr:cNvPr>
        <xdr:cNvGrpSpPr/>
      </xdr:nvGrpSpPr>
      <xdr:grpSpPr>
        <a:xfrm>
          <a:off x="6982558" y="7663962"/>
          <a:ext cx="3132000" cy="2053016"/>
          <a:chOff x="514350" y="7815817"/>
          <a:chExt cx="2584311" cy="1717584"/>
        </a:xfrm>
      </xdr:grpSpPr>
      <xdr:sp macro="" textlink="">
        <xdr:nvSpPr>
          <xdr:cNvPr id="86" name="Rectángulo: esquinas redondeadas 85">
            <a:extLst>
              <a:ext uri="{FF2B5EF4-FFF2-40B4-BE49-F238E27FC236}">
                <a16:creationId xmlns:a16="http://schemas.microsoft.com/office/drawing/2014/main" id="{81FAC95E-BED4-4038-80DF-C8F38513CC33}"/>
              </a:ext>
            </a:extLst>
          </xdr:cNvPr>
          <xdr:cNvSpPr/>
        </xdr:nvSpPr>
        <xdr:spPr>
          <a:xfrm>
            <a:off x="514350" y="7815817"/>
            <a:ext cx="2584311" cy="1717584"/>
          </a:xfrm>
          <a:prstGeom prst="roundRect">
            <a:avLst>
              <a:gd name="adj" fmla="val 7952"/>
            </a:avLst>
          </a:prstGeom>
          <a:solidFill>
            <a:schemeClr val="bg1">
              <a:lumMod val="85000"/>
              <a:alpha val="46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es-ES" sz="2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aphicFrame macro="">
        <xdr:nvGraphicFramePr>
          <xdr:cNvPr id="33" name="Gráfico 32">
            <a:extLst>
              <a:ext uri="{FF2B5EF4-FFF2-40B4-BE49-F238E27FC236}">
                <a16:creationId xmlns:a16="http://schemas.microsoft.com/office/drawing/2014/main" id="{44C861DB-04BB-40BF-9576-861A8B5D06E1}"/>
              </a:ext>
            </a:extLst>
          </xdr:cNvPr>
          <xdr:cNvGraphicFramePr>
            <a:graphicFrameLocks/>
          </xdr:cNvGraphicFramePr>
        </xdr:nvGraphicFramePr>
        <xdr:xfrm>
          <a:off x="563268" y="7869467"/>
          <a:ext cx="2520000" cy="163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13</xdr:col>
      <xdr:colOff>300404</xdr:colOff>
      <xdr:row>42</xdr:row>
      <xdr:rowOff>170019</xdr:rowOff>
    </xdr:from>
    <xdr:to>
      <xdr:col>18</xdr:col>
      <xdr:colOff>754673</xdr:colOff>
      <xdr:row>51</xdr:row>
      <xdr:rowOff>7327</xdr:rowOff>
    </xdr:to>
    <xdr:grpSp>
      <xdr:nvGrpSpPr>
        <xdr:cNvPr id="89" name="Grupo 88">
          <a:extLst>
            <a:ext uri="{FF2B5EF4-FFF2-40B4-BE49-F238E27FC236}">
              <a16:creationId xmlns:a16="http://schemas.microsoft.com/office/drawing/2014/main" id="{91529ADA-FDFA-F22E-1902-F436A49F18E7}"/>
            </a:ext>
          </a:extLst>
        </xdr:cNvPr>
        <xdr:cNvGrpSpPr/>
      </xdr:nvGrpSpPr>
      <xdr:grpSpPr>
        <a:xfrm>
          <a:off x="10206404" y="8171019"/>
          <a:ext cx="4264269" cy="1551808"/>
          <a:chOff x="752475" y="2419347"/>
          <a:chExt cx="2655362" cy="1528522"/>
        </a:xfrm>
      </xdr:grpSpPr>
      <xdr:sp macro="" textlink="">
        <xdr:nvSpPr>
          <xdr:cNvPr id="88" name="Rectángulo: esquinas redondeadas 87">
            <a:extLst>
              <a:ext uri="{FF2B5EF4-FFF2-40B4-BE49-F238E27FC236}">
                <a16:creationId xmlns:a16="http://schemas.microsoft.com/office/drawing/2014/main" id="{C1EF495B-BEF5-4F16-8A08-3157B01349C8}"/>
              </a:ext>
            </a:extLst>
          </xdr:cNvPr>
          <xdr:cNvSpPr/>
        </xdr:nvSpPr>
        <xdr:spPr>
          <a:xfrm>
            <a:off x="752475" y="2419347"/>
            <a:ext cx="2617699" cy="1528522"/>
          </a:xfrm>
          <a:prstGeom prst="roundRect">
            <a:avLst>
              <a:gd name="adj" fmla="val 7952"/>
            </a:avLst>
          </a:prstGeom>
          <a:solidFill>
            <a:schemeClr val="bg1">
              <a:lumMod val="85000"/>
              <a:alpha val="46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es-ES" sz="2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aphicFrame macro="">
        <xdr:nvGraphicFramePr>
          <xdr:cNvPr id="32" name="Gráfico 31">
            <a:extLst>
              <a:ext uri="{FF2B5EF4-FFF2-40B4-BE49-F238E27FC236}">
                <a16:creationId xmlns:a16="http://schemas.microsoft.com/office/drawing/2014/main" id="{683EAB7E-95A7-447D-AEFB-2EEBF1F78689}"/>
              </a:ext>
            </a:extLst>
          </xdr:cNvPr>
          <xdr:cNvGraphicFramePr>
            <a:graphicFrameLocks/>
          </xdr:cNvGraphicFramePr>
        </xdr:nvGraphicFramePr>
        <xdr:xfrm>
          <a:off x="887837" y="2463006"/>
          <a:ext cx="2520000" cy="14400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0</xdr:col>
      <xdr:colOff>477918</xdr:colOff>
      <xdr:row>1</xdr:row>
      <xdr:rowOff>95250</xdr:rowOff>
    </xdr:from>
    <xdr:to>
      <xdr:col>3</xdr:col>
      <xdr:colOff>646043</xdr:colOff>
      <xdr:row>50</xdr:row>
      <xdr:rowOff>190499</xdr:rowOff>
    </xdr:to>
    <xdr:sp macro="" textlink="">
      <xdr:nvSpPr>
        <xdr:cNvPr id="93" name="Rectángulo: esquinas redondeadas 92">
          <a:extLst>
            <a:ext uri="{FF2B5EF4-FFF2-40B4-BE49-F238E27FC236}">
              <a16:creationId xmlns:a16="http://schemas.microsoft.com/office/drawing/2014/main" id="{C9BA474D-6AAF-43CA-AFB5-53A0FEEF0D7D}"/>
            </a:ext>
          </a:extLst>
        </xdr:cNvPr>
        <xdr:cNvSpPr/>
      </xdr:nvSpPr>
      <xdr:spPr>
        <a:xfrm>
          <a:off x="477918" y="285750"/>
          <a:ext cx="2454125" cy="9429749"/>
        </a:xfrm>
        <a:prstGeom prst="roundRect">
          <a:avLst>
            <a:gd name="adj" fmla="val 7952"/>
          </a:avLst>
        </a:prstGeom>
        <a:solidFill>
          <a:schemeClr val="bg1">
            <a:lumMod val="85000"/>
            <a:alpha val="46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0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609186</xdr:colOff>
      <xdr:row>3</xdr:row>
      <xdr:rowOff>24848</xdr:rowOff>
    </xdr:from>
    <xdr:to>
      <xdr:col>3</xdr:col>
      <xdr:colOff>485361</xdr:colOff>
      <xdr:row>12</xdr:row>
      <xdr:rowOff>16565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DB733999-8ABA-122F-60E1-6C9E4AF0B248}"/>
            </a:ext>
          </a:extLst>
        </xdr:cNvPr>
        <xdr:cNvSpPr txBox="1"/>
      </xdr:nvSpPr>
      <xdr:spPr>
        <a:xfrm>
          <a:off x="609186" y="596348"/>
          <a:ext cx="2162175" cy="1706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3000" b="1">
              <a:solidFill>
                <a:schemeClr val="accent1">
                  <a:lumMod val="75000"/>
                </a:schemeClr>
              </a:solidFill>
            </a:rPr>
            <a:t>Análisis</a:t>
          </a:r>
          <a:r>
            <a:rPr lang="es-ES" sz="3000" b="1" baseline="0">
              <a:solidFill>
                <a:schemeClr val="accent1">
                  <a:lumMod val="75000"/>
                </a:schemeClr>
              </a:solidFill>
            </a:rPr>
            <a:t> de Venta</a:t>
          </a:r>
        </a:p>
      </xdr:txBody>
    </xdr:sp>
    <xdr:clientData/>
  </xdr:twoCellAnchor>
  <xdr:twoCellAnchor>
    <xdr:from>
      <xdr:col>13</xdr:col>
      <xdr:colOff>291639</xdr:colOff>
      <xdr:row>31</xdr:row>
      <xdr:rowOff>83980</xdr:rowOff>
    </xdr:from>
    <xdr:to>
      <xdr:col>18</xdr:col>
      <xdr:colOff>693639</xdr:colOff>
      <xdr:row>42</xdr:row>
      <xdr:rowOff>144341</xdr:rowOff>
    </xdr:to>
    <xdr:grpSp>
      <xdr:nvGrpSpPr>
        <xdr:cNvPr id="98" name="Grupo 97">
          <a:extLst>
            <a:ext uri="{FF2B5EF4-FFF2-40B4-BE49-F238E27FC236}">
              <a16:creationId xmlns:a16="http://schemas.microsoft.com/office/drawing/2014/main" id="{C3E737EA-E2DB-16B4-9DBD-943BE19F362F}"/>
            </a:ext>
          </a:extLst>
        </xdr:cNvPr>
        <xdr:cNvGrpSpPr/>
      </xdr:nvGrpSpPr>
      <xdr:grpSpPr>
        <a:xfrm>
          <a:off x="10197639" y="5989480"/>
          <a:ext cx="4212000" cy="2155861"/>
          <a:chOff x="10239373" y="7143750"/>
          <a:chExt cx="4852230" cy="2565384"/>
        </a:xfrm>
      </xdr:grpSpPr>
      <xdr:sp macro="" textlink="">
        <xdr:nvSpPr>
          <xdr:cNvPr id="96" name="Rectángulo: esquinas redondeadas 95">
            <a:extLst>
              <a:ext uri="{FF2B5EF4-FFF2-40B4-BE49-F238E27FC236}">
                <a16:creationId xmlns:a16="http://schemas.microsoft.com/office/drawing/2014/main" id="{AD12032A-627A-464B-827F-98035BAA8417}"/>
              </a:ext>
            </a:extLst>
          </xdr:cNvPr>
          <xdr:cNvSpPr/>
        </xdr:nvSpPr>
        <xdr:spPr>
          <a:xfrm>
            <a:off x="10239373" y="7143750"/>
            <a:ext cx="4852230" cy="2484632"/>
          </a:xfrm>
          <a:prstGeom prst="roundRect">
            <a:avLst>
              <a:gd name="adj" fmla="val 7952"/>
            </a:avLst>
          </a:prstGeom>
          <a:solidFill>
            <a:schemeClr val="bg1">
              <a:lumMod val="85000"/>
              <a:alpha val="46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es-ES" sz="2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aphicFrame macro="">
        <xdr:nvGraphicFramePr>
          <xdr:cNvPr id="36" name="Gráfico 35">
            <a:extLst>
              <a:ext uri="{FF2B5EF4-FFF2-40B4-BE49-F238E27FC236}">
                <a16:creationId xmlns:a16="http://schemas.microsoft.com/office/drawing/2014/main" id="{B6E6F215-DC5C-4E99-9B21-811A18A296D5}"/>
              </a:ext>
            </a:extLst>
          </xdr:cNvPr>
          <xdr:cNvGraphicFramePr>
            <a:graphicFrameLocks/>
          </xdr:cNvGraphicFramePr>
        </xdr:nvGraphicFramePr>
        <xdr:xfrm>
          <a:off x="10267952" y="7189135"/>
          <a:ext cx="4748784" cy="25199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13</xdr:col>
      <xdr:colOff>248391</xdr:colOff>
      <xdr:row>20</xdr:row>
      <xdr:rowOff>14827</xdr:rowOff>
    </xdr:from>
    <xdr:to>
      <xdr:col>18</xdr:col>
      <xdr:colOff>698740</xdr:colOff>
      <xdr:row>31</xdr:row>
      <xdr:rowOff>7327</xdr:rowOff>
    </xdr:to>
    <xdr:grpSp>
      <xdr:nvGrpSpPr>
        <xdr:cNvPr id="97" name="Grupo 96">
          <a:extLst>
            <a:ext uri="{FF2B5EF4-FFF2-40B4-BE49-F238E27FC236}">
              <a16:creationId xmlns:a16="http://schemas.microsoft.com/office/drawing/2014/main" id="{7D656B40-CD1A-83BC-7ED2-A586FA2B952B}"/>
            </a:ext>
          </a:extLst>
        </xdr:cNvPr>
        <xdr:cNvGrpSpPr/>
      </xdr:nvGrpSpPr>
      <xdr:grpSpPr>
        <a:xfrm>
          <a:off x="10154391" y="3824827"/>
          <a:ext cx="4260349" cy="2088000"/>
          <a:chOff x="10190088" y="4429125"/>
          <a:chExt cx="4342900" cy="2573847"/>
        </a:xfrm>
      </xdr:grpSpPr>
      <xdr:sp macro="" textlink="">
        <xdr:nvSpPr>
          <xdr:cNvPr id="95" name="Rectángulo: esquinas redondeadas 94">
            <a:extLst>
              <a:ext uri="{FF2B5EF4-FFF2-40B4-BE49-F238E27FC236}">
                <a16:creationId xmlns:a16="http://schemas.microsoft.com/office/drawing/2014/main" id="{C3EFCA21-E5F1-4E83-B26A-03AFE4B01448}"/>
              </a:ext>
            </a:extLst>
          </xdr:cNvPr>
          <xdr:cNvSpPr/>
        </xdr:nvSpPr>
        <xdr:spPr>
          <a:xfrm>
            <a:off x="10239374" y="4429125"/>
            <a:ext cx="4293614" cy="2573847"/>
          </a:xfrm>
          <a:prstGeom prst="roundRect">
            <a:avLst>
              <a:gd name="adj" fmla="val 7952"/>
            </a:avLst>
          </a:prstGeom>
          <a:solidFill>
            <a:schemeClr val="bg1">
              <a:lumMod val="85000"/>
              <a:alpha val="46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es-ES" sz="2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aphicFrame macro="">
        <xdr:nvGraphicFramePr>
          <xdr:cNvPr id="35" name="Gráfico 34">
            <a:extLst>
              <a:ext uri="{FF2B5EF4-FFF2-40B4-BE49-F238E27FC236}">
                <a16:creationId xmlns:a16="http://schemas.microsoft.com/office/drawing/2014/main" id="{267E3770-2C53-4F8D-9FD7-387D42A7CC88}"/>
              </a:ext>
            </a:extLst>
          </xdr:cNvPr>
          <xdr:cNvGraphicFramePr>
            <a:graphicFrameLocks/>
          </xdr:cNvGraphicFramePr>
        </xdr:nvGraphicFramePr>
        <xdr:xfrm>
          <a:off x="10190088" y="4451051"/>
          <a:ext cx="4320000" cy="24796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7</xdr:col>
      <xdr:colOff>110158</xdr:colOff>
      <xdr:row>8</xdr:row>
      <xdr:rowOff>100634</xdr:rowOff>
    </xdr:from>
    <xdr:to>
      <xdr:col>13</xdr:col>
      <xdr:colOff>579560</xdr:colOff>
      <xdr:row>19</xdr:row>
      <xdr:rowOff>165134</xdr:rowOff>
    </xdr:to>
    <xdr:grpSp>
      <xdr:nvGrpSpPr>
        <xdr:cNvPr id="104" name="Grupo 103">
          <a:extLst>
            <a:ext uri="{FF2B5EF4-FFF2-40B4-BE49-F238E27FC236}">
              <a16:creationId xmlns:a16="http://schemas.microsoft.com/office/drawing/2014/main" id="{AC4D6A9D-D652-D3FF-EA55-2330FD66A4F4}"/>
            </a:ext>
          </a:extLst>
        </xdr:cNvPr>
        <xdr:cNvGrpSpPr/>
      </xdr:nvGrpSpPr>
      <xdr:grpSpPr>
        <a:xfrm>
          <a:off x="5444158" y="1624634"/>
          <a:ext cx="5041402" cy="2160000"/>
          <a:chOff x="12068174" y="2000250"/>
          <a:chExt cx="5191126" cy="2160000"/>
        </a:xfrm>
      </xdr:grpSpPr>
      <xdr:sp macro="" textlink="">
        <xdr:nvSpPr>
          <xdr:cNvPr id="101" name="Rectángulo: esquinas redondeadas 100">
            <a:extLst>
              <a:ext uri="{FF2B5EF4-FFF2-40B4-BE49-F238E27FC236}">
                <a16:creationId xmlns:a16="http://schemas.microsoft.com/office/drawing/2014/main" id="{8C9DF215-79EF-47C2-9C89-4A051C5A99E3}"/>
              </a:ext>
            </a:extLst>
          </xdr:cNvPr>
          <xdr:cNvSpPr/>
        </xdr:nvSpPr>
        <xdr:spPr>
          <a:xfrm>
            <a:off x="12068174" y="2016369"/>
            <a:ext cx="5191126" cy="2088000"/>
          </a:xfrm>
          <a:prstGeom prst="roundRect">
            <a:avLst>
              <a:gd name="adj" fmla="val 7952"/>
            </a:avLst>
          </a:prstGeom>
          <a:solidFill>
            <a:schemeClr val="bg1">
              <a:lumMod val="85000"/>
              <a:alpha val="46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es-ES" sz="2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aphicFrame macro="">
        <xdr:nvGraphicFramePr>
          <xdr:cNvPr id="17" name="Gráfico 16">
            <a:extLst>
              <a:ext uri="{FF2B5EF4-FFF2-40B4-BE49-F238E27FC236}">
                <a16:creationId xmlns:a16="http://schemas.microsoft.com/office/drawing/2014/main" id="{628CF886-BFA6-4A61-8065-E49FE71EDA57}"/>
              </a:ext>
            </a:extLst>
          </xdr:cNvPr>
          <xdr:cNvGraphicFramePr>
            <a:graphicFrameLocks/>
          </xdr:cNvGraphicFramePr>
        </xdr:nvGraphicFramePr>
        <xdr:xfrm>
          <a:off x="12153898" y="2000250"/>
          <a:ext cx="504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13</xdr:col>
      <xdr:colOff>668348</xdr:colOff>
      <xdr:row>8</xdr:row>
      <xdr:rowOff>123791</xdr:rowOff>
    </xdr:from>
    <xdr:to>
      <xdr:col>18</xdr:col>
      <xdr:colOff>170348</xdr:colOff>
      <xdr:row>19</xdr:row>
      <xdr:rowOff>116291</xdr:rowOff>
    </xdr:to>
    <xdr:grpSp>
      <xdr:nvGrpSpPr>
        <xdr:cNvPr id="105" name="Grupo 104">
          <a:extLst>
            <a:ext uri="{FF2B5EF4-FFF2-40B4-BE49-F238E27FC236}">
              <a16:creationId xmlns:a16="http://schemas.microsoft.com/office/drawing/2014/main" id="{4099723C-A4F3-020A-7A31-E14014ED2A63}"/>
            </a:ext>
          </a:extLst>
        </xdr:cNvPr>
        <xdr:cNvGrpSpPr/>
      </xdr:nvGrpSpPr>
      <xdr:grpSpPr>
        <a:xfrm>
          <a:off x="10574348" y="1647791"/>
          <a:ext cx="3312000" cy="2088000"/>
          <a:chOff x="7267572" y="2102094"/>
          <a:chExt cx="4038469" cy="2061783"/>
        </a:xfrm>
      </xdr:grpSpPr>
      <xdr:sp macro="" textlink="">
        <xdr:nvSpPr>
          <xdr:cNvPr id="102" name="Rectángulo: esquinas redondeadas 101">
            <a:extLst>
              <a:ext uri="{FF2B5EF4-FFF2-40B4-BE49-F238E27FC236}">
                <a16:creationId xmlns:a16="http://schemas.microsoft.com/office/drawing/2014/main" id="{9CBCCA8D-1E29-4531-B030-C9987477938A}"/>
              </a:ext>
            </a:extLst>
          </xdr:cNvPr>
          <xdr:cNvSpPr/>
        </xdr:nvSpPr>
        <xdr:spPr>
          <a:xfrm>
            <a:off x="7267572" y="2102094"/>
            <a:ext cx="4038469" cy="2061783"/>
          </a:xfrm>
          <a:prstGeom prst="roundRect">
            <a:avLst>
              <a:gd name="adj" fmla="val 7952"/>
            </a:avLst>
          </a:prstGeom>
          <a:solidFill>
            <a:schemeClr val="bg1">
              <a:lumMod val="85000"/>
              <a:alpha val="46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es-ES" sz="2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F41F11F7-CDFC-4CC0-AB6D-6B8C0DA8644B}"/>
              </a:ext>
            </a:extLst>
          </xdr:cNvPr>
          <xdr:cNvGraphicFramePr>
            <a:graphicFrameLocks/>
          </xdr:cNvGraphicFramePr>
        </xdr:nvGraphicFramePr>
        <xdr:xfrm>
          <a:off x="7346731" y="2156977"/>
          <a:ext cx="3600000" cy="194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18</xdr:col>
      <xdr:colOff>247650</xdr:colOff>
      <xdr:row>8</xdr:row>
      <xdr:rowOff>112275</xdr:rowOff>
    </xdr:from>
    <xdr:to>
      <xdr:col>22</xdr:col>
      <xdr:colOff>511650</xdr:colOff>
      <xdr:row>19</xdr:row>
      <xdr:rowOff>104775</xdr:rowOff>
    </xdr:to>
    <xdr:grpSp>
      <xdr:nvGrpSpPr>
        <xdr:cNvPr id="106" name="Grupo 105">
          <a:extLst>
            <a:ext uri="{FF2B5EF4-FFF2-40B4-BE49-F238E27FC236}">
              <a16:creationId xmlns:a16="http://schemas.microsoft.com/office/drawing/2014/main" id="{A28C0BBB-B098-00A1-4F26-4DDBBBF36A5D}"/>
            </a:ext>
          </a:extLst>
        </xdr:cNvPr>
        <xdr:cNvGrpSpPr/>
      </xdr:nvGrpSpPr>
      <xdr:grpSpPr>
        <a:xfrm>
          <a:off x="13963650" y="1636275"/>
          <a:ext cx="3312000" cy="2088000"/>
          <a:chOff x="3409950" y="2112309"/>
          <a:chExt cx="3737370" cy="2061783"/>
        </a:xfrm>
      </xdr:grpSpPr>
      <xdr:sp macro="" textlink="">
        <xdr:nvSpPr>
          <xdr:cNvPr id="103" name="Rectángulo: esquinas redondeadas 102">
            <a:extLst>
              <a:ext uri="{FF2B5EF4-FFF2-40B4-BE49-F238E27FC236}">
                <a16:creationId xmlns:a16="http://schemas.microsoft.com/office/drawing/2014/main" id="{471BA747-6E6B-4841-8966-90D628E012B9}"/>
              </a:ext>
            </a:extLst>
          </xdr:cNvPr>
          <xdr:cNvSpPr/>
        </xdr:nvSpPr>
        <xdr:spPr>
          <a:xfrm>
            <a:off x="3409950" y="2112309"/>
            <a:ext cx="3737370" cy="2061783"/>
          </a:xfrm>
          <a:prstGeom prst="roundRect">
            <a:avLst>
              <a:gd name="adj" fmla="val 7952"/>
            </a:avLst>
          </a:prstGeom>
          <a:solidFill>
            <a:schemeClr val="bg1">
              <a:lumMod val="85000"/>
              <a:alpha val="46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es-ES" sz="2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aphicFrame macro="">
        <xdr:nvGraphicFramePr>
          <xdr:cNvPr id="18" name="Gráfico 17">
            <a:extLst>
              <a:ext uri="{FF2B5EF4-FFF2-40B4-BE49-F238E27FC236}">
                <a16:creationId xmlns:a16="http://schemas.microsoft.com/office/drawing/2014/main" id="{2114DE9E-4EF5-4A6C-9216-ABAC05C42EE2}"/>
              </a:ext>
            </a:extLst>
          </xdr:cNvPr>
          <xdr:cNvGraphicFramePr>
            <a:graphicFrameLocks/>
          </xdr:cNvGraphicFramePr>
        </xdr:nvGraphicFramePr>
        <xdr:xfrm>
          <a:off x="3495676" y="2171699"/>
          <a:ext cx="3600450" cy="19439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  <xdr:twoCellAnchor>
    <xdr:from>
      <xdr:col>0</xdr:col>
      <xdr:colOff>688123</xdr:colOff>
      <xdr:row>18</xdr:row>
      <xdr:rowOff>8794</xdr:rowOff>
    </xdr:from>
    <xdr:to>
      <xdr:col>3</xdr:col>
      <xdr:colOff>419794</xdr:colOff>
      <xdr:row>42</xdr:row>
      <xdr:rowOff>97403</xdr:rowOff>
    </xdr:to>
    <xdr:grpSp>
      <xdr:nvGrpSpPr>
        <xdr:cNvPr id="108" name="Grupo 107">
          <a:extLst>
            <a:ext uri="{FF2B5EF4-FFF2-40B4-BE49-F238E27FC236}">
              <a16:creationId xmlns:a16="http://schemas.microsoft.com/office/drawing/2014/main" id="{1CFA4962-47CF-D817-D25E-07DD60DF90A1}"/>
            </a:ext>
          </a:extLst>
        </xdr:cNvPr>
        <xdr:cNvGrpSpPr/>
      </xdr:nvGrpSpPr>
      <xdr:grpSpPr>
        <a:xfrm>
          <a:off x="688123" y="3437794"/>
          <a:ext cx="2017671" cy="4660609"/>
          <a:chOff x="742947" y="3676651"/>
          <a:chExt cx="2017671" cy="4660609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0" name="Meses (fecha_compra)">
                <a:extLst>
                  <a:ext uri="{FF2B5EF4-FFF2-40B4-BE49-F238E27FC236}">
                    <a16:creationId xmlns:a16="http://schemas.microsoft.com/office/drawing/2014/main" id="{BB10F87B-CF3C-4C72-84A3-E026DF929804}"/>
                  </a:ext>
                </a:extLst>
              </xdr:cNvPr>
              <xdr:cNvGraphicFramePr/>
            </xdr:nvGraphicFramePr>
            <xdr:xfrm>
              <a:off x="742949" y="4579284"/>
              <a:ext cx="2016000" cy="1800000"/>
            </xdr:xfrm>
            <a:graphic>
              <a:graphicData uri="http://schemas.microsoft.com/office/drawing/2010/slicer">
                <sle:slicer xmlns:sle="http://schemas.microsoft.com/office/drawing/2010/slicer" name="Meses (fecha_compra)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88125" y="4340427"/>
                <a:ext cx="2016000" cy="180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E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1" name="estado_entrega">
                <a:extLst>
                  <a:ext uri="{FF2B5EF4-FFF2-40B4-BE49-F238E27FC236}">
                    <a16:creationId xmlns:a16="http://schemas.microsoft.com/office/drawing/2014/main" id="{C66F0BC9-2C37-4E2D-B271-950B31B4ADDE}"/>
                  </a:ext>
                </a:extLst>
              </xdr:cNvPr>
              <xdr:cNvGraphicFramePr/>
            </xdr:nvGraphicFramePr>
            <xdr:xfrm>
              <a:off x="742947" y="6537260"/>
              <a:ext cx="2016000" cy="1800000"/>
            </xdr:xfrm>
            <a:graphic>
              <a:graphicData uri="http://schemas.microsoft.com/office/drawing/2010/slicer">
                <sle:slicer xmlns:sle="http://schemas.microsoft.com/office/drawing/2010/slicer" name="estado_entreg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88123" y="6298403"/>
                <a:ext cx="2016000" cy="180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E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7" name="Años (fecha_compra)">
                <a:extLst>
                  <a:ext uri="{FF2B5EF4-FFF2-40B4-BE49-F238E27FC236}">
                    <a16:creationId xmlns:a16="http://schemas.microsoft.com/office/drawing/2014/main" id="{AE0AB4E3-17CA-4495-8176-F7663486C064}"/>
                  </a:ext>
                </a:extLst>
              </xdr:cNvPr>
              <xdr:cNvGraphicFramePr/>
            </xdr:nvGraphicFramePr>
            <xdr:xfrm>
              <a:off x="744618" y="3676651"/>
              <a:ext cx="2016000" cy="704850"/>
            </xdr:xfrm>
            <a:graphic>
              <a:graphicData uri="http://schemas.microsoft.com/office/drawing/2010/slicer">
                <sle:slicer xmlns:sle="http://schemas.microsoft.com/office/drawing/2010/slicer" name="Años (fecha_compra)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89794" y="3437794"/>
                <a:ext cx="2016000" cy="7048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E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>
    <xdr:from>
      <xdr:col>4</xdr:col>
      <xdr:colOff>142875</xdr:colOff>
      <xdr:row>2</xdr:row>
      <xdr:rowOff>96258</xdr:rowOff>
    </xdr:from>
    <xdr:to>
      <xdr:col>22</xdr:col>
      <xdr:colOff>466725</xdr:colOff>
      <xdr:row>7</xdr:row>
      <xdr:rowOff>115957</xdr:rowOff>
    </xdr:to>
    <xdr:grpSp>
      <xdr:nvGrpSpPr>
        <xdr:cNvPr id="117" name="Grupo 116">
          <a:extLst>
            <a:ext uri="{FF2B5EF4-FFF2-40B4-BE49-F238E27FC236}">
              <a16:creationId xmlns:a16="http://schemas.microsoft.com/office/drawing/2014/main" id="{0DF95159-4392-5423-B690-213CF8A7383E}"/>
            </a:ext>
          </a:extLst>
        </xdr:cNvPr>
        <xdr:cNvGrpSpPr/>
      </xdr:nvGrpSpPr>
      <xdr:grpSpPr>
        <a:xfrm>
          <a:off x="3190875" y="477258"/>
          <a:ext cx="14039850" cy="972199"/>
          <a:chOff x="3190875" y="742301"/>
          <a:chExt cx="14039850" cy="972199"/>
        </a:xfrm>
      </xdr:grpSpPr>
      <xdr:grpSp>
        <xdr:nvGrpSpPr>
          <xdr:cNvPr id="112" name="Grupo 111">
            <a:extLst>
              <a:ext uri="{FF2B5EF4-FFF2-40B4-BE49-F238E27FC236}">
                <a16:creationId xmlns:a16="http://schemas.microsoft.com/office/drawing/2014/main" id="{DEC71B7F-0B7D-5B01-67FF-9A14BD3E182E}"/>
              </a:ext>
            </a:extLst>
          </xdr:cNvPr>
          <xdr:cNvGrpSpPr/>
        </xdr:nvGrpSpPr>
        <xdr:grpSpPr>
          <a:xfrm>
            <a:off x="3190875" y="742301"/>
            <a:ext cx="14039850" cy="972199"/>
            <a:chOff x="2305050" y="742301"/>
            <a:chExt cx="14039850" cy="972199"/>
          </a:xfrm>
        </xdr:grpSpPr>
        <xdr:grpSp>
          <xdr:nvGrpSpPr>
            <xdr:cNvPr id="111" name="Grupo 110">
              <a:extLst>
                <a:ext uri="{FF2B5EF4-FFF2-40B4-BE49-F238E27FC236}">
                  <a16:creationId xmlns:a16="http://schemas.microsoft.com/office/drawing/2014/main" id="{348C0475-A80A-B866-04C2-EB86CA8E664E}"/>
                </a:ext>
              </a:extLst>
            </xdr:cNvPr>
            <xdr:cNvGrpSpPr/>
          </xdr:nvGrpSpPr>
          <xdr:grpSpPr>
            <a:xfrm>
              <a:off x="2305050" y="742301"/>
              <a:ext cx="14039850" cy="972199"/>
              <a:chOff x="2305050" y="742301"/>
              <a:chExt cx="14039850" cy="972199"/>
            </a:xfrm>
          </xdr:grpSpPr>
          <xdr:grpSp>
            <xdr:nvGrpSpPr>
              <xdr:cNvPr id="60" name="Grupo 59">
                <a:extLst>
                  <a:ext uri="{FF2B5EF4-FFF2-40B4-BE49-F238E27FC236}">
                    <a16:creationId xmlns:a16="http://schemas.microsoft.com/office/drawing/2014/main" id="{1FBFB95F-F494-2013-0728-D8FC943C6EE3}"/>
                  </a:ext>
                </a:extLst>
              </xdr:cNvPr>
              <xdr:cNvGrpSpPr/>
            </xdr:nvGrpSpPr>
            <xdr:grpSpPr>
              <a:xfrm>
                <a:off x="2305050" y="746312"/>
                <a:ext cx="11379573" cy="968188"/>
                <a:chOff x="3609974" y="584387"/>
                <a:chExt cx="11379573" cy="968188"/>
              </a:xfrm>
            </xdr:grpSpPr>
            <xdr:sp macro="" textlink="Análisis!N9">
              <xdr:nvSpPr>
                <xdr:cNvPr id="38" name="Rectángulo: esquinas redondeadas 37">
                  <a:extLst>
                    <a:ext uri="{FF2B5EF4-FFF2-40B4-BE49-F238E27FC236}">
                      <a16:creationId xmlns:a16="http://schemas.microsoft.com/office/drawing/2014/main" id="{E3057AE9-5835-4294-96C5-3C7A6D59880F}"/>
                    </a:ext>
                  </a:extLst>
                </xdr:cNvPr>
                <xdr:cNvSpPr/>
              </xdr:nvSpPr>
              <xdr:spPr>
                <a:xfrm>
                  <a:off x="12789272" y="584387"/>
                  <a:ext cx="2200275" cy="952500"/>
                </a:xfrm>
                <a:prstGeom prst="roundRect">
                  <a:avLst/>
                </a:prstGeom>
                <a:solidFill>
                  <a:schemeClr val="bg1">
                    <a:lumMod val="8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indent="0" algn="ctr"/>
                  <a:fld id="{A91D5BDA-2204-44F2-BA64-72A7E5184EC1}" type="TxLink">
                    <a:rPr lang="en-US" sz="2000" b="1" i="0" u="none" strike="noStrike">
                      <a:solidFill>
                        <a:srgbClr val="000000"/>
                      </a:solidFill>
                      <a:latin typeface="Aptos Narrow"/>
                      <a:ea typeface="+mn-ea"/>
                      <a:cs typeface="+mn-cs"/>
                    </a:rPr>
                    <a:pPr marL="0" indent="0" algn="ctr"/>
                    <a:t>124</a:t>
                  </a:fld>
                  <a:endParaRPr lang="es-ES" sz="2000" b="1" i="0" u="none" strike="noStrike">
                    <a:solidFill>
                      <a:srgbClr val="000000"/>
                    </a:solidFill>
                    <a:latin typeface="Aptos Narrow"/>
                    <a:ea typeface="+mn-ea"/>
                    <a:cs typeface="+mn-cs"/>
                  </a:endParaRPr>
                </a:p>
              </xdr:txBody>
            </xdr:sp>
            <xdr:sp macro="" textlink="Análisis!B9">
              <xdr:nvSpPr>
                <xdr:cNvPr id="3" name="Rectángulo: esquinas redondeadas 2">
                  <a:extLst>
                    <a:ext uri="{FF2B5EF4-FFF2-40B4-BE49-F238E27FC236}">
                      <a16:creationId xmlns:a16="http://schemas.microsoft.com/office/drawing/2014/main" id="{6F80A044-A859-5772-3A3D-DEC5700DFAF5}"/>
                    </a:ext>
                  </a:extLst>
                </xdr:cNvPr>
                <xdr:cNvSpPr/>
              </xdr:nvSpPr>
              <xdr:spPr>
                <a:xfrm>
                  <a:off x="3609974" y="600075"/>
                  <a:ext cx="1440000" cy="952500"/>
                </a:xfrm>
                <a:prstGeom prst="roundRect">
                  <a:avLst/>
                </a:prstGeom>
                <a:solidFill>
                  <a:schemeClr val="bg1">
                    <a:lumMod val="8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51F30C13-FFB5-4174-8D8E-8ADC6D67D40D}" type="TxLink">
                    <a:rPr lang="en-US" sz="2000" b="1" i="0" u="none" strike="noStrike">
                      <a:solidFill>
                        <a:srgbClr val="000000"/>
                      </a:solidFill>
                      <a:latin typeface="Aptos Narrow"/>
                    </a:rPr>
                    <a:pPr algn="ctr"/>
                    <a:t>3000</a:t>
                  </a:fld>
                  <a:endParaRPr lang="es-ES" sz="2000" b="1"/>
                </a:p>
              </xdr:txBody>
            </xdr:sp>
            <xdr:sp macro="" textlink="">
              <xdr:nvSpPr>
                <xdr:cNvPr id="4" name="CuadroTexto 3">
                  <a:extLst>
                    <a:ext uri="{FF2B5EF4-FFF2-40B4-BE49-F238E27FC236}">
                      <a16:creationId xmlns:a16="http://schemas.microsoft.com/office/drawing/2014/main" id="{A3795783-0B7E-4054-D36F-78A970448410}"/>
                    </a:ext>
                  </a:extLst>
                </xdr:cNvPr>
                <xdr:cNvSpPr txBox="1"/>
              </xdr:nvSpPr>
              <xdr:spPr>
                <a:xfrm>
                  <a:off x="3609974" y="653862"/>
                  <a:ext cx="1438275" cy="27622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ctr"/>
                  <a:r>
                    <a:rPr lang="es-ES" sz="1350" b="1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rPr>
                    <a:t>Pedidos</a:t>
                  </a:r>
                  <a:r>
                    <a:rPr lang="es-ES" sz="1350" b="1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rPr>
                    <a:t> totales</a:t>
                  </a:r>
                  <a:endParaRPr lang="es-ES" sz="1350" b="1">
                    <a:solidFill>
                      <a:schemeClr val="tx1">
                        <a:lumMod val="65000"/>
                        <a:lumOff val="35000"/>
                      </a:schemeClr>
                    </a:solidFill>
                  </a:endParaRPr>
                </a:p>
              </xdr:txBody>
            </xdr:sp>
            <xdr:sp macro="" textlink="Análisis!E9">
              <xdr:nvSpPr>
                <xdr:cNvPr id="6" name="Rectángulo: esquinas redondeadas 5">
                  <a:extLst>
                    <a:ext uri="{FF2B5EF4-FFF2-40B4-BE49-F238E27FC236}">
                      <a16:creationId xmlns:a16="http://schemas.microsoft.com/office/drawing/2014/main" id="{53E83A39-3734-4AC6-B578-E2220910CA42}"/>
                    </a:ext>
                  </a:extLst>
                </xdr:cNvPr>
                <xdr:cNvSpPr/>
              </xdr:nvSpPr>
              <xdr:spPr>
                <a:xfrm>
                  <a:off x="7429499" y="600075"/>
                  <a:ext cx="2200275" cy="952500"/>
                </a:xfrm>
                <a:prstGeom prst="roundRect">
                  <a:avLst/>
                </a:prstGeom>
                <a:solidFill>
                  <a:schemeClr val="bg1">
                    <a:lumMod val="8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051C3240-4274-4EC1-8BCD-4F576F6608AE}" type="TxLink">
                    <a:rPr lang="en-US" sz="2000" b="1" i="0" u="none" strike="noStrike">
                      <a:solidFill>
                        <a:srgbClr val="000000"/>
                      </a:solidFill>
                      <a:latin typeface="Aptos Narrow"/>
                    </a:rPr>
                    <a:pPr algn="ctr"/>
                    <a:t>942</a:t>
                  </a:fld>
                  <a:endParaRPr lang="es-ES" sz="2000" b="1"/>
                </a:p>
              </xdr:txBody>
            </xdr:sp>
            <xdr:sp macro="" textlink="">
              <xdr:nvSpPr>
                <xdr:cNvPr id="7" name="CuadroTexto 6">
                  <a:extLst>
                    <a:ext uri="{FF2B5EF4-FFF2-40B4-BE49-F238E27FC236}">
                      <a16:creationId xmlns:a16="http://schemas.microsoft.com/office/drawing/2014/main" id="{19FD108D-42D5-4309-A9B4-5A7FA8711B02}"/>
                    </a:ext>
                  </a:extLst>
                </xdr:cNvPr>
                <xdr:cNvSpPr txBox="1"/>
              </xdr:nvSpPr>
              <xdr:spPr>
                <a:xfrm>
                  <a:off x="7428633" y="653862"/>
                  <a:ext cx="1715368" cy="27622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l"/>
                  <a:r>
                    <a:rPr lang="es-ES" sz="1350" b="1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rPr>
                    <a:t>Pedidos</a:t>
                  </a:r>
                  <a:r>
                    <a:rPr lang="es-ES" sz="1350" b="1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rPr>
                    <a:t> activos</a:t>
                  </a:r>
                  <a:endParaRPr lang="es-ES" sz="1350" b="1">
                    <a:solidFill>
                      <a:schemeClr val="tx1">
                        <a:lumMod val="65000"/>
                        <a:lumOff val="35000"/>
                      </a:schemeClr>
                    </a:solidFill>
                  </a:endParaRPr>
                </a:p>
              </xdr:txBody>
            </xdr:sp>
            <xdr:sp macro="" textlink="Análisis!H9">
              <xdr:nvSpPr>
                <xdr:cNvPr id="8" name="Rectángulo: esquinas redondeadas 7">
                  <a:extLst>
                    <a:ext uri="{FF2B5EF4-FFF2-40B4-BE49-F238E27FC236}">
                      <a16:creationId xmlns:a16="http://schemas.microsoft.com/office/drawing/2014/main" id="{01A59F40-6157-4B6F-8E5B-916B587EC841}"/>
                    </a:ext>
                  </a:extLst>
                </xdr:cNvPr>
                <xdr:cNvSpPr/>
              </xdr:nvSpPr>
              <xdr:spPr>
                <a:xfrm>
                  <a:off x="10115549" y="600075"/>
                  <a:ext cx="2200275" cy="952500"/>
                </a:xfrm>
                <a:prstGeom prst="roundRect">
                  <a:avLst/>
                </a:prstGeom>
                <a:solidFill>
                  <a:schemeClr val="bg1">
                    <a:lumMod val="8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5BFF6F95-AAE8-4A06-BA9C-A53E3B7B0F2A}" type="TxLink">
                    <a:rPr lang="en-US" sz="2000" b="1" i="0" u="none" strike="noStrike">
                      <a:solidFill>
                        <a:srgbClr val="000000"/>
                      </a:solidFill>
                      <a:latin typeface="Aptos Narrow"/>
                    </a:rPr>
                    <a:pPr algn="ctr"/>
                    <a:t>1751</a:t>
                  </a:fld>
                  <a:endParaRPr lang="es-ES" sz="2000" b="1"/>
                </a:p>
              </xdr:txBody>
            </xdr:sp>
            <xdr:sp macro="" textlink="">
              <xdr:nvSpPr>
                <xdr:cNvPr id="10" name="CuadroTexto 9">
                  <a:extLst>
                    <a:ext uri="{FF2B5EF4-FFF2-40B4-BE49-F238E27FC236}">
                      <a16:creationId xmlns:a16="http://schemas.microsoft.com/office/drawing/2014/main" id="{789A6F08-774B-471B-A260-1CAFB17C77AF}"/>
                    </a:ext>
                  </a:extLst>
                </xdr:cNvPr>
                <xdr:cNvSpPr txBox="1"/>
              </xdr:nvSpPr>
              <xdr:spPr>
                <a:xfrm>
                  <a:off x="10112951" y="644337"/>
                  <a:ext cx="2079050" cy="31765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l"/>
                  <a:r>
                    <a:rPr lang="es-ES" sz="1350" b="1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rPr>
                    <a:t>Pedidos</a:t>
                  </a:r>
                  <a:r>
                    <a:rPr lang="es-ES" sz="1350" b="1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rPr>
                    <a:t> completados</a:t>
                  </a:r>
                  <a:endParaRPr lang="es-ES" sz="1350" b="1">
                    <a:solidFill>
                      <a:schemeClr val="tx1">
                        <a:lumMod val="65000"/>
                        <a:lumOff val="35000"/>
                      </a:schemeClr>
                    </a:solidFill>
                  </a:endParaRPr>
                </a:p>
              </xdr:txBody>
            </xdr:sp>
            <xdr:sp macro="" textlink="Análisis!Q9">
              <xdr:nvSpPr>
                <xdr:cNvPr id="5" name="CuadroTexto 4">
                  <a:extLst>
                    <a:ext uri="{FF2B5EF4-FFF2-40B4-BE49-F238E27FC236}">
                      <a16:creationId xmlns:a16="http://schemas.microsoft.com/office/drawing/2014/main" id="{5B6D7978-336F-D2AD-0394-6AE93EDD8157}"/>
                    </a:ext>
                  </a:extLst>
                </xdr:cNvPr>
                <xdr:cNvSpPr txBox="1"/>
              </xdr:nvSpPr>
              <xdr:spPr>
                <a:xfrm>
                  <a:off x="10953750" y="1219200"/>
                  <a:ext cx="1314450" cy="31149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spAutoFit/>
                </a:bodyPr>
                <a:lstStyle/>
                <a:p>
                  <a:pPr algn="r"/>
                  <a:fld id="{F643A673-8ED2-41E8-83E6-C0F162DA49E7}" type="TxLink">
                    <a:rPr lang="en-US" sz="1400" b="0" i="0" u="none" strike="noStrike">
                      <a:solidFill>
                        <a:srgbClr val="3A984A"/>
                      </a:solidFill>
                      <a:latin typeface="Aptos Narrow"/>
                    </a:rPr>
                    <a:pPr algn="r"/>
                    <a:t> 1.176.513 € </a:t>
                  </a:fld>
                  <a:endParaRPr lang="es-ES" sz="1400" b="0" i="0">
                    <a:solidFill>
                      <a:srgbClr val="3A984A"/>
                    </a:solidFill>
                  </a:endParaRPr>
                </a:p>
              </xdr:txBody>
            </xdr:sp>
            <xdr:sp macro="" textlink="Análisis!T9">
              <xdr:nvSpPr>
                <xdr:cNvPr id="31" name="CuadroTexto 30">
                  <a:extLst>
                    <a:ext uri="{FF2B5EF4-FFF2-40B4-BE49-F238E27FC236}">
                      <a16:creationId xmlns:a16="http://schemas.microsoft.com/office/drawing/2014/main" id="{EC7774FE-960F-4D61-A369-F02774DD9E57}"/>
                    </a:ext>
                  </a:extLst>
                </xdr:cNvPr>
                <xdr:cNvSpPr txBox="1"/>
              </xdr:nvSpPr>
              <xdr:spPr>
                <a:xfrm>
                  <a:off x="8237444" y="1192306"/>
                  <a:ext cx="1314450" cy="31149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spAutoFit/>
                </a:bodyPr>
                <a:lstStyle/>
                <a:p>
                  <a:pPr marL="0" indent="0" algn="r"/>
                  <a:fld id="{9F391116-DE88-4CDE-BC2B-B183A02B07AD}" type="TxLink">
                    <a:rPr lang="en-US" sz="1400" b="0" i="0" u="none" strike="noStrike">
                      <a:solidFill>
                        <a:schemeClr val="accent1">
                          <a:lumMod val="50000"/>
                        </a:schemeClr>
                      </a:solidFill>
                      <a:latin typeface="Aptos Narrow"/>
                      <a:ea typeface="+mn-ea"/>
                      <a:cs typeface="+mn-cs"/>
                    </a:rPr>
                    <a:pPr marL="0" indent="0" algn="r"/>
                    <a:t> 560.485 € </a:t>
                  </a:fld>
                  <a:endParaRPr lang="es-ES" sz="14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Aptos Narrow"/>
                    <a:ea typeface="+mn-ea"/>
                    <a:cs typeface="+mn-cs"/>
                  </a:endParaRPr>
                </a:p>
              </xdr:txBody>
            </xdr:sp>
            <xdr:pic>
              <xdr:nvPicPr>
                <xdr:cNvPr id="37" name="Gráfico 36" descr="Entrega con relleno sólido">
                  <a:extLst>
                    <a:ext uri="{FF2B5EF4-FFF2-40B4-BE49-F238E27FC236}">
                      <a16:creationId xmlns:a16="http://schemas.microsoft.com/office/drawing/2014/main" id="{20AD8CC7-FB75-3D67-0C97-46A1F201531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4">
                  <a:extLst>
                    <a:ext uri="{96DAC541-7B7A-43D3-8B79-37D633B846F1}">
                      <asvg:svgBlip xmlns:asvg="http://schemas.microsoft.com/office/drawing/2016/SVG/main" r:embed="rId15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087971" y="638735"/>
                  <a:ext cx="381000" cy="38100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201D5E7B-CE7C-407A-8751-3586CCB60097}"/>
                    </a:ext>
                  </a:extLst>
                </xdr:cNvPr>
                <xdr:cNvSpPr txBox="1"/>
              </xdr:nvSpPr>
              <xdr:spPr>
                <a:xfrm>
                  <a:off x="12790713" y="623635"/>
                  <a:ext cx="1687288" cy="31765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l"/>
                  <a:r>
                    <a:rPr lang="es-ES" sz="1350" b="1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rPr>
                    <a:t>Pedidos</a:t>
                  </a:r>
                  <a:r>
                    <a:rPr lang="es-ES" sz="1350" b="1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rPr>
                    <a:t> devueltos</a:t>
                  </a:r>
                  <a:endParaRPr lang="es-ES" sz="1350" b="1">
                    <a:solidFill>
                      <a:schemeClr val="tx1">
                        <a:lumMod val="65000"/>
                        <a:lumOff val="35000"/>
                      </a:schemeClr>
                    </a:solidFill>
                  </a:endParaRPr>
                </a:p>
              </xdr:txBody>
            </xdr:sp>
            <xdr:sp macro="" textlink="Análisis!W9">
              <xdr:nvSpPr>
                <xdr:cNvPr id="40" name="CuadroTexto 39">
                  <a:extLst>
                    <a:ext uri="{FF2B5EF4-FFF2-40B4-BE49-F238E27FC236}">
                      <a16:creationId xmlns:a16="http://schemas.microsoft.com/office/drawing/2014/main" id="{3F52F459-FDA7-41D8-800D-B48A4F425CC6}"/>
                    </a:ext>
                  </a:extLst>
                </xdr:cNvPr>
                <xdr:cNvSpPr txBox="1"/>
              </xdr:nvSpPr>
              <xdr:spPr>
                <a:xfrm>
                  <a:off x="13616267" y="1181100"/>
                  <a:ext cx="1314450" cy="31149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spAutoFit/>
                </a:bodyPr>
                <a:lstStyle/>
                <a:p>
                  <a:pPr marL="0" indent="0" algn="r"/>
                  <a:fld id="{137D6A79-F729-4578-A76F-11A2D98647D2}" type="TxLink">
                    <a:rPr lang="en-US" sz="1400" b="0" i="0" u="none" strike="noStrike">
                      <a:solidFill>
                        <a:srgbClr val="E86464"/>
                      </a:solidFill>
                      <a:latin typeface="Aptos Narrow"/>
                      <a:ea typeface="+mn-ea"/>
                      <a:cs typeface="+mn-cs"/>
                    </a:rPr>
                    <a:pPr marL="0" indent="0" algn="r"/>
                    <a:t>-81.208 € </a:t>
                  </a:fld>
                  <a:endParaRPr lang="es-ES" sz="1400" b="0" i="0" u="none" strike="noStrike">
                    <a:solidFill>
                      <a:srgbClr val="E86464"/>
                    </a:solidFill>
                    <a:latin typeface="Aptos Narrow"/>
                    <a:ea typeface="+mn-ea"/>
                    <a:cs typeface="+mn-cs"/>
                  </a:endParaRPr>
                </a:p>
              </xdr:txBody>
            </xdr:sp>
            <xdr:pic>
              <xdr:nvPicPr>
                <xdr:cNvPr id="56" name="Gráfico 55" descr="Marca de insignia1 con relleno sólido">
                  <a:extLst>
                    <a:ext uri="{FF2B5EF4-FFF2-40B4-BE49-F238E27FC236}">
                      <a16:creationId xmlns:a16="http://schemas.microsoft.com/office/drawing/2014/main" id="{057BB637-06B8-2C67-1AE4-B1F4A8360D1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6">
                  <a:extLst>
                    <a:ext uri="{96DAC541-7B7A-43D3-8B79-37D633B846F1}">
                      <asvg:svgBlip xmlns:asvg="http://schemas.microsoft.com/office/drawing/2016/SVG/main" r:embed="rId17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877675" y="628650"/>
                  <a:ext cx="381000" cy="381000"/>
                </a:xfrm>
                <a:prstGeom prst="rect">
                  <a:avLst/>
                </a:prstGeom>
              </xdr:spPr>
            </xdr:pic>
            <xdr:pic>
              <xdr:nvPicPr>
                <xdr:cNvPr id="58" name="Gráfico 57" descr="Insignia de cruz con relleno sólido">
                  <a:extLst>
                    <a:ext uri="{FF2B5EF4-FFF2-40B4-BE49-F238E27FC236}">
                      <a16:creationId xmlns:a16="http://schemas.microsoft.com/office/drawing/2014/main" id="{B3ED5CEB-42AD-D66E-0FEF-D368909B938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8">
                  <a:extLst>
                    <a:ext uri="{96DAC541-7B7A-43D3-8B79-37D633B846F1}">
                      <asvg:svgBlip xmlns:asvg="http://schemas.microsoft.com/office/drawing/2016/SVG/main" r:embed="rId19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563725" y="619125"/>
                  <a:ext cx="381000" cy="381000"/>
                </a:xfrm>
                <a:prstGeom prst="rect">
                  <a:avLst/>
                </a:prstGeom>
              </xdr:spPr>
            </xdr:pic>
          </xdr:grpSp>
          <xdr:sp macro="" textlink="Análisis!K9">
            <xdr:nvSpPr>
              <xdr:cNvPr id="61" name="Rectángulo: esquinas redondeadas 60">
                <a:extLst>
                  <a:ext uri="{FF2B5EF4-FFF2-40B4-BE49-F238E27FC236}">
                    <a16:creationId xmlns:a16="http://schemas.microsoft.com/office/drawing/2014/main" id="{62F2F418-8F97-4CB4-B329-42F42953FDDE}"/>
                  </a:ext>
                </a:extLst>
              </xdr:cNvPr>
              <xdr:cNvSpPr/>
            </xdr:nvSpPr>
            <xdr:spPr>
              <a:xfrm>
                <a:off x="14144625" y="742301"/>
                <a:ext cx="2200275" cy="952500"/>
              </a:xfrm>
              <a:prstGeom prst="roundRect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73742BEA-98CA-42BA-B9E4-11912F9B8618}" type="TxLink">
                  <a:rPr lang="en-US" sz="2000" b="1" i="0" u="none" strike="noStrike">
                    <a:solidFill>
                      <a:srgbClr val="00000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183</a:t>
                </a:fld>
                <a:endParaRPr lang="es-ES" sz="2000" b="1" i="0" u="none" strike="noStrike">
                  <a:solidFill>
                    <a:srgbClr val="0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62" name="CuadroTexto 61">
              <a:extLst>
                <a:ext uri="{FF2B5EF4-FFF2-40B4-BE49-F238E27FC236}">
                  <a16:creationId xmlns:a16="http://schemas.microsoft.com/office/drawing/2014/main" id="{1A387F70-888D-4BAF-BBE8-F5F98BD88C70}"/>
                </a:ext>
              </a:extLst>
            </xdr:cNvPr>
            <xdr:cNvSpPr txBox="1"/>
          </xdr:nvSpPr>
          <xdr:spPr>
            <a:xfrm>
              <a:off x="14147346" y="780401"/>
              <a:ext cx="1700012" cy="31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l"/>
              <a:r>
                <a:rPr lang="es-ES" sz="135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Pedidos</a:t>
              </a:r>
              <a:r>
                <a:rPr lang="es-ES" sz="1350" b="1" baseline="0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 cancelados</a:t>
              </a:r>
              <a:endParaRPr lang="es-ES" sz="1350" b="1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  <xdr:pic>
          <xdr:nvPicPr>
            <xdr:cNvPr id="65" name="Gráfico 64" descr="Insignia Desplegada con relleno sólido">
              <a:extLst>
                <a:ext uri="{FF2B5EF4-FFF2-40B4-BE49-F238E27FC236}">
                  <a16:creationId xmlns:a16="http://schemas.microsoft.com/office/drawing/2014/main" id="{F2430A3D-90DD-D917-5050-06FAE6FF56A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0">
              <a:extLst>
                <a:ext uri="{96DAC541-7B7A-43D3-8B79-37D633B846F1}">
                  <asvg:svgBlip xmlns:asvg="http://schemas.microsoft.com/office/drawing/2016/SVG/main" r:embed="rId21"/>
                </a:ext>
              </a:extLst>
            </a:blip>
            <a:stretch>
              <a:fillRect/>
            </a:stretch>
          </xdr:blipFill>
          <xdr:spPr>
            <a:xfrm>
              <a:off x="15916275" y="752475"/>
              <a:ext cx="381000" cy="381000"/>
            </a:xfrm>
            <a:prstGeom prst="rect">
              <a:avLst/>
            </a:prstGeom>
          </xdr:spPr>
        </xdr:pic>
      </xdr:grpSp>
      <xdr:grpSp>
        <xdr:nvGrpSpPr>
          <xdr:cNvPr id="116" name="Grupo 115">
            <a:extLst>
              <a:ext uri="{FF2B5EF4-FFF2-40B4-BE49-F238E27FC236}">
                <a16:creationId xmlns:a16="http://schemas.microsoft.com/office/drawing/2014/main" id="{9B10DD26-99A6-1B6B-BD3E-792DBFAAB52F}"/>
              </a:ext>
            </a:extLst>
          </xdr:cNvPr>
          <xdr:cNvGrpSpPr/>
        </xdr:nvGrpSpPr>
        <xdr:grpSpPr>
          <a:xfrm>
            <a:off x="5091915" y="757569"/>
            <a:ext cx="1440000" cy="952500"/>
            <a:chOff x="3199228" y="1784537"/>
            <a:chExt cx="2010722" cy="952500"/>
          </a:xfrm>
        </xdr:grpSpPr>
        <xdr:sp macro="" textlink="Análisis!L22">
          <xdr:nvSpPr>
            <xdr:cNvPr id="115" name="Rectángulo: esquinas redondeadas 114">
              <a:extLst>
                <a:ext uri="{FF2B5EF4-FFF2-40B4-BE49-F238E27FC236}">
                  <a16:creationId xmlns:a16="http://schemas.microsoft.com/office/drawing/2014/main" id="{1D036728-9A7F-4965-99BD-7E34EBF8DA71}"/>
                </a:ext>
              </a:extLst>
            </xdr:cNvPr>
            <xdr:cNvSpPr/>
          </xdr:nvSpPr>
          <xdr:spPr>
            <a:xfrm>
              <a:off x="3200399" y="1784537"/>
              <a:ext cx="2009551" cy="952500"/>
            </a:xfrm>
            <a:prstGeom prst="round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256D725B-0C37-419C-9509-4D40257BF449}" type="TxLink">
                <a:rPr lang="en-US" sz="2000" b="1" i="0" u="none" strike="noStrike">
                  <a:solidFill>
                    <a:srgbClr val="000000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 672 € </a:t>
              </a:fld>
              <a:endParaRPr lang="es-ES" sz="20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110" name="CuadroTexto 109">
              <a:extLst>
                <a:ext uri="{FF2B5EF4-FFF2-40B4-BE49-F238E27FC236}">
                  <a16:creationId xmlns:a16="http://schemas.microsoft.com/office/drawing/2014/main" id="{02C52663-91B2-42D1-8442-4B6FEF88808D}"/>
                </a:ext>
              </a:extLst>
            </xdr:cNvPr>
            <xdr:cNvSpPr txBox="1"/>
          </xdr:nvSpPr>
          <xdr:spPr>
            <a:xfrm>
              <a:off x="3199228" y="1816576"/>
              <a:ext cx="2008469" cy="276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ctr"/>
              <a:r>
                <a:rPr lang="es-ES" sz="1350" b="1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rPr>
                <a:t>Ticket</a:t>
              </a:r>
              <a:r>
                <a:rPr lang="es-ES" sz="1400" b="0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 </a:t>
              </a:r>
              <a:r>
                <a:rPr lang="es-ES" sz="1350" b="1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rPr>
                <a:t>medio</a:t>
              </a:r>
            </a:p>
          </xdr:txBody>
        </xdr:sp>
      </xdr:grpSp>
    </xdr:grpSp>
    <xdr:clientData/>
  </xdr:twoCellAnchor>
  <xdr:twoCellAnchor>
    <xdr:from>
      <xdr:col>4</xdr:col>
      <xdr:colOff>139212</xdr:colOff>
      <xdr:row>40</xdr:row>
      <xdr:rowOff>48740</xdr:rowOff>
    </xdr:from>
    <xdr:to>
      <xdr:col>9</xdr:col>
      <xdr:colOff>1213</xdr:colOff>
      <xdr:row>51</xdr:row>
      <xdr:rowOff>14654</xdr:rowOff>
    </xdr:to>
    <xdr:grpSp>
      <xdr:nvGrpSpPr>
        <xdr:cNvPr id="123" name="Grupo 122">
          <a:extLst>
            <a:ext uri="{FF2B5EF4-FFF2-40B4-BE49-F238E27FC236}">
              <a16:creationId xmlns:a16="http://schemas.microsoft.com/office/drawing/2014/main" id="{727BF7F9-66EC-BA58-0201-E59D35660040}"/>
            </a:ext>
          </a:extLst>
        </xdr:cNvPr>
        <xdr:cNvGrpSpPr/>
      </xdr:nvGrpSpPr>
      <xdr:grpSpPr>
        <a:xfrm>
          <a:off x="3187212" y="7668740"/>
          <a:ext cx="3672001" cy="2061414"/>
          <a:chOff x="3178450" y="3801715"/>
          <a:chExt cx="4981830" cy="2061413"/>
        </a:xfrm>
      </xdr:grpSpPr>
      <xdr:sp macro="" textlink="">
        <xdr:nvSpPr>
          <xdr:cNvPr id="122" name="Rectángulo: esquinas redondeadas 121">
            <a:extLst>
              <a:ext uri="{FF2B5EF4-FFF2-40B4-BE49-F238E27FC236}">
                <a16:creationId xmlns:a16="http://schemas.microsoft.com/office/drawing/2014/main" id="{CF183EDA-F228-463A-BF83-DEEA1E14523A}"/>
              </a:ext>
            </a:extLst>
          </xdr:cNvPr>
          <xdr:cNvSpPr/>
        </xdr:nvSpPr>
        <xdr:spPr>
          <a:xfrm>
            <a:off x="3178450" y="3801715"/>
            <a:ext cx="4981830" cy="2051999"/>
          </a:xfrm>
          <a:prstGeom prst="roundRect">
            <a:avLst>
              <a:gd name="adj" fmla="val 7952"/>
            </a:avLst>
          </a:prstGeom>
          <a:solidFill>
            <a:schemeClr val="bg1">
              <a:lumMod val="85000"/>
              <a:alpha val="46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es-ES" sz="2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  <xdr:graphicFrame macro="">
        <xdr:nvGraphicFramePr>
          <xdr:cNvPr id="119" name="Gráfico 118">
            <a:extLst>
              <a:ext uri="{FF2B5EF4-FFF2-40B4-BE49-F238E27FC236}">
                <a16:creationId xmlns:a16="http://schemas.microsoft.com/office/drawing/2014/main" id="{D90F8455-62B8-4921-88AA-D591FE215884}"/>
              </a:ext>
            </a:extLst>
          </xdr:cNvPr>
          <xdr:cNvGraphicFramePr>
            <a:graphicFrameLocks/>
          </xdr:cNvGraphicFramePr>
        </xdr:nvGraphicFramePr>
        <xdr:xfrm>
          <a:off x="3241801" y="3840898"/>
          <a:ext cx="4886740" cy="20222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</xdr:grpSp>
    <xdr:clientData/>
  </xdr:twoCellAnchor>
  <xdr:twoCellAnchor>
    <xdr:from>
      <xdr:col>4</xdr:col>
      <xdr:colOff>179317</xdr:colOff>
      <xdr:row>8</xdr:row>
      <xdr:rowOff>161192</xdr:rowOff>
    </xdr:from>
    <xdr:to>
      <xdr:col>7</xdr:col>
      <xdr:colOff>17317</xdr:colOff>
      <xdr:row>13</xdr:row>
      <xdr:rowOff>180692</xdr:rowOff>
    </xdr:to>
    <xdr:sp macro="" textlink="">
      <xdr:nvSpPr>
        <xdr:cNvPr id="125" name="Rectángulo: esquinas redondeadas 124">
          <a:extLst>
            <a:ext uri="{FF2B5EF4-FFF2-40B4-BE49-F238E27FC236}">
              <a16:creationId xmlns:a16="http://schemas.microsoft.com/office/drawing/2014/main" id="{6D1625AD-C0BD-43E8-BDE3-78B88FB2831D}"/>
            </a:ext>
          </a:extLst>
        </xdr:cNvPr>
        <xdr:cNvSpPr/>
      </xdr:nvSpPr>
      <xdr:spPr>
        <a:xfrm>
          <a:off x="3227317" y="1685192"/>
          <a:ext cx="2124000" cy="972000"/>
        </a:xfrm>
        <a:prstGeom prst="roundRect">
          <a:avLst>
            <a:gd name="adj" fmla="val 7952"/>
          </a:avLst>
        </a:prstGeom>
        <a:solidFill>
          <a:schemeClr val="bg1">
            <a:lumMod val="85000"/>
            <a:alpha val="46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endParaRPr lang="en-U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169792</xdr:colOff>
      <xdr:row>14</xdr:row>
      <xdr:rowOff>47624</xdr:rowOff>
    </xdr:from>
    <xdr:to>
      <xdr:col>7</xdr:col>
      <xdr:colOff>7792</xdr:colOff>
      <xdr:row>19</xdr:row>
      <xdr:rowOff>67124</xdr:rowOff>
    </xdr:to>
    <xdr:sp macro="" textlink="">
      <xdr:nvSpPr>
        <xdr:cNvPr id="126" name="Rectángulo: esquinas redondeadas 125">
          <a:extLst>
            <a:ext uri="{FF2B5EF4-FFF2-40B4-BE49-F238E27FC236}">
              <a16:creationId xmlns:a16="http://schemas.microsoft.com/office/drawing/2014/main" id="{8F400FDE-5B23-474F-82B0-B53F2085011B}"/>
            </a:ext>
          </a:extLst>
        </xdr:cNvPr>
        <xdr:cNvSpPr/>
      </xdr:nvSpPr>
      <xdr:spPr>
        <a:xfrm>
          <a:off x="3217792" y="2714624"/>
          <a:ext cx="2124000" cy="972000"/>
        </a:xfrm>
        <a:prstGeom prst="roundRect">
          <a:avLst>
            <a:gd name="adj" fmla="val 7952"/>
          </a:avLst>
        </a:prstGeom>
        <a:solidFill>
          <a:schemeClr val="bg1">
            <a:lumMod val="85000"/>
            <a:alpha val="46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endParaRPr lang="en-U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173184</xdr:colOff>
      <xdr:row>8</xdr:row>
      <xdr:rowOff>104775</xdr:rowOff>
    </xdr:from>
    <xdr:to>
      <xdr:col>5</xdr:col>
      <xdr:colOff>542926</xdr:colOff>
      <xdr:row>14</xdr:row>
      <xdr:rowOff>0</xdr:rowOff>
    </xdr:to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3D39E3E9-5CA9-44EC-A512-E75D4FE06F7C}"/>
            </a:ext>
          </a:extLst>
        </xdr:cNvPr>
        <xdr:cNvSpPr txBox="1"/>
      </xdr:nvSpPr>
      <xdr:spPr>
        <a:xfrm>
          <a:off x="3221184" y="1628775"/>
          <a:ext cx="1131742" cy="1038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r>
            <a:rPr lang="en-US" sz="135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Revenue perdido por descuentos</a:t>
          </a:r>
        </a:p>
      </xdr:txBody>
    </xdr:sp>
    <xdr:clientData/>
  </xdr:twoCellAnchor>
  <xdr:twoCellAnchor>
    <xdr:from>
      <xdr:col>4</xdr:col>
      <xdr:colOff>161925</xdr:colOff>
      <xdr:row>13</xdr:row>
      <xdr:rowOff>161925</xdr:rowOff>
    </xdr:from>
    <xdr:to>
      <xdr:col>5</xdr:col>
      <xdr:colOff>590550</xdr:colOff>
      <xdr:row>19</xdr:row>
      <xdr:rowOff>76201</xdr:rowOff>
    </xdr:to>
    <xdr:sp macro="" textlink="Análisis!B76">
      <xdr:nvSpPr>
        <xdr:cNvPr id="128" name="CuadroTexto 127">
          <a:extLst>
            <a:ext uri="{FF2B5EF4-FFF2-40B4-BE49-F238E27FC236}">
              <a16:creationId xmlns:a16="http://schemas.microsoft.com/office/drawing/2014/main" id="{6B4866C0-6A76-4209-A330-B75E28D43548}"/>
            </a:ext>
          </a:extLst>
        </xdr:cNvPr>
        <xdr:cNvSpPr txBox="1"/>
      </xdr:nvSpPr>
      <xdr:spPr>
        <a:xfrm>
          <a:off x="3209925" y="2638425"/>
          <a:ext cx="1190625" cy="1057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D79E6444-4D40-4DD0-AE2D-F4DB49F5931F}" type="TxLink">
            <a:rPr lang="en-US" sz="135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pPr marL="0" indent="0" algn="ctr"/>
            <a:t>% de pedidos con descuento</a:t>
          </a:fld>
          <a:endParaRPr lang="es-ES" sz="1350" b="1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200025</xdr:colOff>
      <xdr:row>13</xdr:row>
      <xdr:rowOff>133350</xdr:rowOff>
    </xdr:from>
    <xdr:to>
      <xdr:col>7</xdr:col>
      <xdr:colOff>332025</xdr:colOff>
      <xdr:row>19</xdr:row>
      <xdr:rowOff>178350</xdr:rowOff>
    </xdr:to>
    <xdr:graphicFrame macro="">
      <xdr:nvGraphicFramePr>
        <xdr:cNvPr id="134" name="Gráfico 133">
          <a:extLst>
            <a:ext uri="{FF2B5EF4-FFF2-40B4-BE49-F238E27FC236}">
              <a16:creationId xmlns:a16="http://schemas.microsoft.com/office/drawing/2014/main" id="{6F39A1D9-26E6-4E0E-9890-7C92B67F3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204598</xdr:colOff>
      <xdr:row>8</xdr:row>
      <xdr:rowOff>41850</xdr:rowOff>
    </xdr:from>
    <xdr:to>
      <xdr:col>7</xdr:col>
      <xdr:colOff>336598</xdr:colOff>
      <xdr:row>14</xdr:row>
      <xdr:rowOff>86850</xdr:rowOff>
    </xdr:to>
    <xdr:graphicFrame macro="">
      <xdr:nvGraphicFramePr>
        <xdr:cNvPr id="135" name="Gráfico 134">
          <a:extLst>
            <a:ext uri="{FF2B5EF4-FFF2-40B4-BE49-F238E27FC236}">
              <a16:creationId xmlns:a16="http://schemas.microsoft.com/office/drawing/2014/main" id="{E4EE94BE-5186-40B5-AE77-511D51324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581025</xdr:colOff>
      <xdr:row>10</xdr:row>
      <xdr:rowOff>47625</xdr:rowOff>
    </xdr:from>
    <xdr:to>
      <xdr:col>6</xdr:col>
      <xdr:colOff>647630</xdr:colOff>
      <xdr:row>12</xdr:row>
      <xdr:rowOff>94058</xdr:rowOff>
    </xdr:to>
    <xdr:sp macro="" textlink="Análisis!E77">
      <xdr:nvSpPr>
        <xdr:cNvPr id="136" name="CuadroTexto 135">
          <a:extLst>
            <a:ext uri="{FF2B5EF4-FFF2-40B4-BE49-F238E27FC236}">
              <a16:creationId xmlns:a16="http://schemas.microsoft.com/office/drawing/2014/main" id="{C9EC84A8-9A49-473C-922C-3F9FF0E8A68D}"/>
            </a:ext>
          </a:extLst>
        </xdr:cNvPr>
        <xdr:cNvSpPr txBox="1"/>
      </xdr:nvSpPr>
      <xdr:spPr>
        <a:xfrm>
          <a:off x="4391025" y="1952625"/>
          <a:ext cx="828605" cy="4274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5771E27A-B295-43BD-BCF1-31706AF9EFF9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r"/>
            <a:t>6,82%</a:t>
          </a:fld>
          <a:endParaRPr lang="es-ES" sz="1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209550</xdr:colOff>
      <xdr:row>21</xdr:row>
      <xdr:rowOff>152400</xdr:rowOff>
    </xdr:from>
    <xdr:to>
      <xdr:col>8</xdr:col>
      <xdr:colOff>695325</xdr:colOff>
      <xdr:row>29</xdr:row>
      <xdr:rowOff>114300</xdr:rowOff>
    </xdr:to>
    <xdr:graphicFrame macro="">
      <xdr:nvGraphicFramePr>
        <xdr:cNvPr id="138" name="Gráfico 137">
          <a:extLst>
            <a:ext uri="{FF2B5EF4-FFF2-40B4-BE49-F238E27FC236}">
              <a16:creationId xmlns:a16="http://schemas.microsoft.com/office/drawing/2014/main" id="{E67D5C80-F5F6-47E4-B2A3-8104FDDBA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</xdr:col>
      <xdr:colOff>190501</xdr:colOff>
      <xdr:row>31</xdr:row>
      <xdr:rowOff>142876</xdr:rowOff>
    </xdr:from>
    <xdr:to>
      <xdr:col>9</xdr:col>
      <xdr:colOff>66675</xdr:colOff>
      <xdr:row>39</xdr:row>
      <xdr:rowOff>114300</xdr:rowOff>
    </xdr:to>
    <xdr:graphicFrame macro="">
      <xdr:nvGraphicFramePr>
        <xdr:cNvPr id="139" name="Gráfico 138">
          <a:extLst>
            <a:ext uri="{FF2B5EF4-FFF2-40B4-BE49-F238E27FC236}">
              <a16:creationId xmlns:a16="http://schemas.microsoft.com/office/drawing/2014/main" id="{8ED65AA6-B70D-4E82-85C3-EEC4DABFC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0.24925</cdr:x>
      <cdr:y>0.32338</cdr:y>
    </cdr:from>
    <cdr:to>
      <cdr:x>0.74961</cdr:x>
      <cdr:y>0.68317</cdr:y>
    </cdr:to>
    <cdr:sp macro="" textlink="Análisis!$B$77">
      <cdr:nvSpPr>
        <cdr:cNvPr id="2" name="CuadroTexto 135">
          <a:extLst xmlns:a="http://schemas.openxmlformats.org/drawingml/2006/main">
            <a:ext uri="{FF2B5EF4-FFF2-40B4-BE49-F238E27FC236}">
              <a16:creationId xmlns:a16="http://schemas.microsoft.com/office/drawing/2014/main" id="{C9EC84A8-9A49-473C-922C-3F9FF0E8A68D}"/>
            </a:ext>
          </a:extLst>
        </cdr:cNvPr>
        <cdr:cNvSpPr txBox="1"/>
      </cdr:nvSpPr>
      <cdr:spPr>
        <a:xfrm xmlns:a="http://schemas.openxmlformats.org/drawingml/2006/main">
          <a:off x="412750" y="384175"/>
          <a:ext cx="828605" cy="4274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horzOverflow="clip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r"/>
          <a:fld id="{2F04645F-2F6E-47ED-A55F-5AD2CAB9E392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r"/>
            <a:t>56,31%</a:t>
          </a:fld>
          <a:endParaRPr lang="es-ES" sz="1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el" refreshedDate="46216.76514826389" createdVersion="8" refreshedVersion="8" minRefreshableVersion="3" recordCount="3000" xr:uid="{F7A7A8B4-363D-443C-990F-D9449B18E6BA}">
  <cacheSource type="worksheet">
    <worksheetSource name="Ventas"/>
  </cacheSource>
  <cacheFields count="21">
    <cacheField name="order_id" numFmtId="0">
      <sharedItems/>
    </cacheField>
    <cacheField name="fecha_compra" numFmtId="14">
      <sharedItems containsSemiMixedTypes="0" containsNonDate="0" containsDate="1" containsString="0" minDate="2023-01-01T00:00:00" maxDate="2025-01-01T00:00:00" count="715">
        <d v="2024-10-16T00:00:00"/>
        <d v="2023-03-31T00:00:00"/>
        <d v="2023-07-23T00:00:00"/>
        <d v="2024-12-15T00:00:00"/>
        <d v="2024-01-03T00:00:00"/>
        <d v="2023-03-22T00:00:00"/>
        <d v="2024-12-22T00:00:00"/>
        <d v="2024-01-25T00:00:00"/>
        <d v="2023-10-01T00:00:00"/>
        <d v="2024-01-24T00:00:00"/>
        <d v="2023-02-02T00:00:00"/>
        <d v="2023-08-06T00:00:00"/>
        <d v="2023-09-10T00:00:00"/>
        <d v="2023-08-13T00:00:00"/>
        <d v="2024-11-27T00:00:00"/>
        <d v="2023-01-12T00:00:00"/>
        <d v="2023-04-25T00:00:00"/>
        <d v="2023-07-02T00:00:00"/>
        <d v="2023-06-06T00:00:00"/>
        <d v="2023-11-28T00:00:00"/>
        <d v="2023-09-03T00:00:00"/>
        <d v="2024-06-29T00:00:00"/>
        <d v="2024-09-13T00:00:00"/>
        <d v="2024-11-18T00:00:00"/>
        <d v="2023-12-13T00:00:00"/>
        <d v="2023-08-23T00:00:00"/>
        <d v="2024-07-06T00:00:00"/>
        <d v="2023-04-10T00:00:00"/>
        <d v="2023-03-04T00:00:00"/>
        <d v="2023-05-24T00:00:00"/>
        <d v="2023-04-11T00:00:00"/>
        <d v="2024-02-21T00:00:00"/>
        <d v="2024-02-04T00:00:00"/>
        <d v="2023-06-08T00:00:00"/>
        <d v="2023-11-18T00:00:00"/>
        <d v="2023-03-24T00:00:00"/>
        <d v="2023-11-20T00:00:00"/>
        <d v="2024-07-30T00:00:00"/>
        <d v="2023-09-08T00:00:00"/>
        <d v="2023-01-09T00:00:00"/>
        <d v="2023-04-29T00:00:00"/>
        <d v="2023-07-28T00:00:00"/>
        <d v="2023-10-11T00:00:00"/>
        <d v="2024-03-28T00:00:00"/>
        <d v="2024-07-12T00:00:00"/>
        <d v="2024-01-02T00:00:00"/>
        <d v="2023-07-03T00:00:00"/>
        <d v="2023-09-12T00:00:00"/>
        <d v="2023-08-16T00:00:00"/>
        <d v="2024-02-13T00:00:00"/>
        <d v="2024-11-26T00:00:00"/>
        <d v="2024-08-17T00:00:00"/>
        <d v="2024-06-07T00:00:00"/>
        <d v="2024-12-04T00:00:00"/>
        <d v="2023-11-04T00:00:00"/>
        <d v="2024-03-06T00:00:00"/>
        <d v="2024-07-15T00:00:00"/>
        <d v="2024-04-21T00:00:00"/>
        <d v="2024-11-05T00:00:00"/>
        <d v="2023-08-29T00:00:00"/>
        <d v="2024-05-01T00:00:00"/>
        <d v="2024-05-21T00:00:00"/>
        <d v="2023-04-20T00:00:00"/>
        <d v="2023-05-05T00:00:00"/>
        <d v="2024-09-19T00:00:00"/>
        <d v="2024-10-03T00:00:00"/>
        <d v="2023-12-05T00:00:00"/>
        <d v="2024-12-13T00:00:00"/>
        <d v="2024-07-05T00:00:00"/>
        <d v="2024-05-12T00:00:00"/>
        <d v="2024-04-23T00:00:00"/>
        <d v="2023-03-27T00:00:00"/>
        <d v="2023-08-05T00:00:00"/>
        <d v="2024-03-07T00:00:00"/>
        <d v="2024-10-27T00:00:00"/>
        <d v="2023-09-02T00:00:00"/>
        <d v="2023-06-21T00:00:00"/>
        <d v="2023-04-21T00:00:00"/>
        <d v="2023-03-19T00:00:00"/>
        <d v="2023-05-04T00:00:00"/>
        <d v="2024-10-25T00:00:00"/>
        <d v="2024-12-25T00:00:00"/>
        <d v="2023-03-30T00:00:00"/>
        <d v="2023-01-30T00:00:00"/>
        <d v="2024-12-19T00:00:00"/>
        <d v="2024-07-22T00:00:00"/>
        <d v="2023-10-29T00:00:00"/>
        <d v="2023-12-19T00:00:00"/>
        <d v="2023-07-17T00:00:00"/>
        <d v="2023-08-21T00:00:00"/>
        <d v="2024-07-20T00:00:00"/>
        <d v="2023-10-19T00:00:00"/>
        <d v="2023-03-08T00:00:00"/>
        <d v="2023-11-08T00:00:00"/>
        <d v="2024-06-19T00:00:00"/>
        <d v="2023-03-03T00:00:00"/>
        <d v="2023-06-27T00:00:00"/>
        <d v="2023-08-26T00:00:00"/>
        <d v="2024-10-02T00:00:00"/>
        <d v="2023-03-15T00:00:00"/>
        <d v="2023-05-08T00:00:00"/>
        <d v="2024-09-04T00:00:00"/>
        <d v="2024-08-24T00:00:00"/>
        <d v="2023-10-12T00:00:00"/>
        <d v="2024-02-23T00:00:00"/>
        <d v="2024-11-09T00:00:00"/>
        <d v="2024-06-10T00:00:00"/>
        <d v="2024-01-06T00:00:00"/>
        <d v="2024-03-24T00:00:00"/>
        <d v="2023-11-15T00:00:00"/>
        <d v="2023-05-01T00:00:00"/>
        <d v="2024-05-09T00:00:00"/>
        <d v="2023-03-13T00:00:00"/>
        <d v="2023-11-02T00:00:00"/>
        <d v="2024-05-10T00:00:00"/>
        <d v="2023-07-13T00:00:00"/>
        <d v="2024-12-23T00:00:00"/>
        <d v="2024-05-22T00:00:00"/>
        <d v="2024-03-26T00:00:00"/>
        <d v="2023-03-18T00:00:00"/>
        <d v="2024-11-21T00:00:00"/>
        <d v="2024-07-08T00:00:00"/>
        <d v="2024-03-20T00:00:00"/>
        <d v="2023-10-28T00:00:00"/>
        <d v="2023-06-24T00:00:00"/>
        <d v="2024-08-20T00:00:00"/>
        <d v="2023-11-03T00:00:00"/>
        <d v="2023-10-09T00:00:00"/>
        <d v="2024-05-23T00:00:00"/>
        <d v="2023-07-14T00:00:00"/>
        <d v="2024-10-05T00:00:00"/>
        <d v="2023-04-03T00:00:00"/>
        <d v="2024-01-10T00:00:00"/>
        <d v="2023-10-30T00:00:00"/>
        <d v="2024-07-24T00:00:00"/>
        <d v="2024-08-21T00:00:00"/>
        <d v="2024-07-28T00:00:00"/>
        <d v="2023-11-06T00:00:00"/>
        <d v="2024-03-05T00:00:00"/>
        <d v="2023-10-14T00:00:00"/>
        <d v="2024-07-11T00:00:00"/>
        <d v="2023-04-04T00:00:00"/>
        <d v="2023-05-09T00:00:00"/>
        <d v="2023-12-03T00:00:00"/>
        <d v="2023-05-14T00:00:00"/>
        <d v="2023-09-01T00:00:00"/>
        <d v="2023-03-07T00:00:00"/>
        <d v="2023-02-14T00:00:00"/>
        <d v="2024-03-12T00:00:00"/>
        <d v="2024-09-14T00:00:00"/>
        <d v="2024-09-03T00:00:00"/>
        <d v="2023-08-09T00:00:00"/>
        <d v="2023-11-17T00:00:00"/>
        <d v="2023-03-29T00:00:00"/>
        <d v="2024-08-23T00:00:00"/>
        <d v="2024-03-09T00:00:00"/>
        <d v="2023-10-13T00:00:00"/>
        <d v="2024-11-22T00:00:00"/>
        <d v="2023-07-04T00:00:00"/>
        <d v="2023-06-11T00:00:00"/>
        <d v="2024-11-25T00:00:00"/>
        <d v="2023-02-26T00:00:00"/>
        <d v="2023-12-02T00:00:00"/>
        <d v="2023-08-24T00:00:00"/>
        <d v="2023-02-13T00:00:00"/>
        <d v="2024-02-19T00:00:00"/>
        <d v="2024-04-16T00:00:00"/>
        <d v="2024-06-27T00:00:00"/>
        <d v="2023-08-30T00:00:00"/>
        <d v="2023-07-01T00:00:00"/>
        <d v="2024-08-01T00:00:00"/>
        <d v="2024-04-25T00:00:00"/>
        <d v="2024-04-07T00:00:00"/>
        <d v="2024-04-05T00:00:00"/>
        <d v="2024-04-06T00:00:00"/>
        <d v="2024-03-25T00:00:00"/>
        <d v="2023-06-03T00:00:00"/>
        <d v="2024-12-16T00:00:00"/>
        <d v="2023-05-11T00:00:00"/>
        <d v="2023-11-13T00:00:00"/>
        <d v="2024-06-23T00:00:00"/>
        <d v="2024-12-10T00:00:00"/>
        <d v="2024-11-23T00:00:00"/>
        <d v="2024-06-30T00:00:00"/>
        <d v="2024-08-07T00:00:00"/>
        <d v="2023-07-24T00:00:00"/>
        <d v="2024-07-21T00:00:00"/>
        <d v="2023-06-14T00:00:00"/>
        <d v="2023-12-24T00:00:00"/>
        <d v="2024-01-19T00:00:00"/>
        <d v="2023-05-30T00:00:00"/>
        <d v="2024-10-09T00:00:00"/>
        <d v="2023-09-04T00:00:00"/>
        <d v="2024-06-22T00:00:00"/>
        <d v="2024-11-03T00:00:00"/>
        <d v="2023-07-06T00:00:00"/>
        <d v="2024-04-29T00:00:00"/>
        <d v="2024-11-02T00:00:00"/>
        <d v="2024-01-31T00:00:00"/>
        <d v="2023-03-26T00:00:00"/>
        <d v="2023-03-23T00:00:00"/>
        <d v="2024-04-02T00:00:00"/>
        <d v="2023-02-28T00:00:00"/>
        <d v="2024-08-03T00:00:00"/>
        <d v="2024-08-10T00:00:00"/>
        <d v="2023-07-10T00:00:00"/>
        <d v="2024-04-01T00:00:00"/>
        <d v="2023-03-17T00:00:00"/>
        <d v="2024-11-14T00:00:00"/>
        <d v="2023-01-27T00:00:00"/>
        <d v="2023-03-09T00:00:00"/>
        <d v="2024-08-11T00:00:00"/>
        <d v="2023-05-12T00:00:00"/>
        <d v="2023-10-18T00:00:00"/>
        <d v="2023-12-12T00:00:00"/>
        <d v="2024-08-13T00:00:00"/>
        <d v="2023-10-24T00:00:00"/>
        <d v="2024-12-06T00:00:00"/>
        <d v="2023-11-23T00:00:00"/>
        <d v="2024-04-22T00:00:00"/>
        <d v="2024-03-04T00:00:00"/>
        <d v="2024-05-25T00:00:00"/>
        <d v="2024-06-01T00:00:00"/>
        <d v="2023-10-20T00:00:00"/>
        <d v="2024-05-31T00:00:00"/>
        <d v="2024-06-15T00:00:00"/>
        <d v="2023-06-16T00:00:00"/>
        <d v="2023-08-22T00:00:00"/>
        <d v="2023-06-01T00:00:00"/>
        <d v="2024-04-15T00:00:00"/>
        <d v="2024-09-16T00:00:00"/>
        <d v="2023-10-23T00:00:00"/>
        <d v="2023-10-08T00:00:00"/>
        <d v="2023-12-20T00:00:00"/>
        <d v="2024-05-05T00:00:00"/>
        <d v="2024-09-22T00:00:00"/>
        <d v="2023-02-23T00:00:00"/>
        <d v="2024-07-17T00:00:00"/>
        <d v="2023-04-26T00:00:00"/>
        <d v="2024-06-11T00:00:00"/>
        <d v="2024-08-09T00:00:00"/>
        <d v="2023-06-13T00:00:00"/>
        <d v="2024-01-18T00:00:00"/>
        <d v="2023-09-11T00:00:00"/>
        <d v="2023-03-21T00:00:00"/>
        <d v="2024-07-31T00:00:00"/>
        <d v="2023-01-04T00:00:00"/>
        <d v="2023-03-12T00:00:00"/>
        <d v="2024-11-08T00:00:00"/>
        <d v="2024-02-07T00:00:00"/>
        <d v="2023-10-10T00:00:00"/>
        <d v="2023-01-17T00:00:00"/>
        <d v="2024-11-19T00:00:00"/>
        <d v="2023-08-19T00:00:00"/>
        <d v="2024-06-26T00:00:00"/>
        <d v="2023-04-05T00:00:00"/>
        <d v="2023-07-12T00:00:00"/>
        <d v="2023-12-07T00:00:00"/>
        <d v="2023-11-26T00:00:00"/>
        <d v="2024-05-24T00:00:00"/>
        <d v="2024-10-19T00:00:00"/>
        <d v="2024-05-15T00:00:00"/>
        <d v="2024-11-15T00:00:00"/>
        <d v="2023-08-12T00:00:00"/>
        <d v="2024-11-06T00:00:00"/>
        <d v="2024-07-02T00:00:00"/>
        <d v="2024-10-22T00:00:00"/>
        <d v="2023-05-28T00:00:00"/>
        <d v="2024-11-24T00:00:00"/>
        <d v="2024-05-27T00:00:00"/>
        <d v="2024-09-01T00:00:00"/>
        <d v="2023-12-31T00:00:00"/>
        <d v="2024-02-03T00:00:00"/>
        <d v="2023-05-16T00:00:00"/>
        <d v="2023-12-29T00:00:00"/>
        <d v="2024-02-02T00:00:00"/>
        <d v="2024-06-17T00:00:00"/>
        <d v="2024-03-21T00:00:00"/>
        <d v="2024-08-31T00:00:00"/>
        <d v="2023-05-20T00:00:00"/>
        <d v="2024-02-12T00:00:00"/>
        <d v="2023-11-30T00:00:00"/>
        <d v="2024-08-29T00:00:00"/>
        <d v="2024-12-26T00:00:00"/>
        <d v="2024-11-20T00:00:00"/>
        <d v="2024-07-10T00:00:00"/>
        <d v="2023-04-22T00:00:00"/>
        <d v="2024-05-02T00:00:00"/>
        <d v="2024-12-28T00:00:00"/>
        <d v="2024-06-12T00:00:00"/>
        <d v="2024-10-06T00:00:00"/>
        <d v="2023-07-22T00:00:00"/>
        <d v="2024-08-14T00:00:00"/>
        <d v="2024-06-24T00:00:00"/>
        <d v="2024-09-24T00:00:00"/>
        <d v="2023-04-30T00:00:00"/>
        <d v="2023-06-20T00:00:00"/>
        <d v="2023-01-10T00:00:00"/>
        <d v="2024-12-02T00:00:00"/>
        <d v="2023-08-14T00:00:00"/>
        <d v="2024-07-16T00:00:00"/>
        <d v="2023-02-12T00:00:00"/>
        <d v="2023-11-01T00:00:00"/>
        <d v="2023-08-31T00:00:00"/>
        <d v="2023-05-23T00:00:00"/>
        <d v="2023-05-19T00:00:00"/>
        <d v="2023-05-26T00:00:00"/>
        <d v="2024-02-17T00:00:00"/>
        <d v="2024-08-18T00:00:00"/>
        <d v="2023-03-06T00:00:00"/>
        <d v="2023-02-17T00:00:00"/>
        <d v="2023-07-27T00:00:00"/>
        <d v="2023-09-14T00:00:00"/>
        <d v="2024-12-17T00:00:00"/>
        <d v="2024-03-08T00:00:00"/>
        <d v="2023-04-13T00:00:00"/>
        <d v="2024-12-08T00:00:00"/>
        <d v="2024-01-05T00:00:00"/>
        <d v="2024-04-27T00:00:00"/>
        <d v="2023-11-14T00:00:00"/>
        <d v="2023-06-29T00:00:00"/>
        <d v="2024-06-13T00:00:00"/>
        <d v="2023-01-31T00:00:00"/>
        <d v="2023-04-16T00:00:00"/>
        <d v="2023-01-13T00:00:00"/>
        <d v="2024-08-08T00:00:00"/>
        <d v="2024-04-20T00:00:00"/>
        <d v="2023-09-09T00:00:00"/>
        <d v="2023-12-10T00:00:00"/>
        <d v="2023-11-22T00:00:00"/>
        <d v="2023-06-09T00:00:00"/>
        <d v="2024-01-17T00:00:00"/>
        <d v="2023-02-05T00:00:00"/>
        <d v="2024-10-07T00:00:00"/>
        <d v="2024-05-11T00:00:00"/>
        <d v="2023-08-27T00:00:00"/>
        <d v="2023-02-27T00:00:00"/>
        <d v="2024-12-21T00:00:00"/>
        <d v="2024-07-09T00:00:00"/>
        <d v="2024-05-04T00:00:00"/>
        <d v="2023-03-02T00:00:00"/>
        <d v="2024-01-09T00:00:00"/>
        <d v="2023-11-27T00:00:00"/>
        <d v="2023-11-21T00:00:00"/>
        <d v="2024-08-26T00:00:00"/>
        <d v="2024-09-18T00:00:00"/>
        <d v="2023-12-22T00:00:00"/>
        <d v="2023-01-02T00:00:00"/>
        <d v="2024-01-23T00:00:00"/>
        <d v="2023-04-18T00:00:00"/>
        <d v="2023-04-06T00:00:00"/>
        <d v="2023-06-18T00:00:00"/>
        <d v="2024-07-07T00:00:00"/>
        <d v="2023-06-07T00:00:00"/>
        <d v="2023-11-12T00:00:00"/>
        <d v="2023-07-09T00:00:00"/>
        <d v="2023-10-03T00:00:00"/>
        <d v="2024-04-04T00:00:00"/>
        <d v="2024-11-30T00:00:00"/>
        <d v="2023-03-10T00:00:00"/>
        <d v="2024-12-18T00:00:00"/>
        <d v="2024-08-25T00:00:00"/>
        <d v="2024-02-25T00:00:00"/>
        <d v="2023-04-02T00:00:00"/>
        <d v="2023-09-13T00:00:00"/>
        <d v="2023-08-15T00:00:00"/>
        <d v="2024-04-30T00:00:00"/>
        <d v="2024-12-30T00:00:00"/>
        <d v="2024-05-08T00:00:00"/>
        <d v="2024-10-29T00:00:00"/>
        <d v="2024-02-18T00:00:00"/>
        <d v="2024-12-31T00:00:00"/>
        <d v="2024-01-16T00:00:00"/>
        <d v="2024-02-24T00:00:00"/>
        <d v="2024-10-08T00:00:00"/>
        <d v="2024-10-10T00:00:00"/>
        <d v="2023-02-16T00:00:00"/>
        <d v="2023-01-20T00:00:00"/>
        <d v="2023-06-23T00:00:00"/>
        <d v="2024-07-01T00:00:00"/>
        <d v="2023-02-19T00:00:00"/>
        <d v="2023-07-30T00:00:00"/>
        <d v="2023-04-27T00:00:00"/>
        <d v="2024-05-20T00:00:00"/>
        <d v="2024-04-12T00:00:00"/>
        <d v="2024-01-04T00:00:00"/>
        <d v="2024-09-28T00:00:00"/>
        <d v="2024-08-27T00:00:00"/>
        <d v="2024-12-01T00:00:00"/>
        <d v="2024-05-18T00:00:00"/>
        <d v="2024-07-29T00:00:00"/>
        <d v="2024-07-27T00:00:00"/>
        <d v="2023-07-15T00:00:00"/>
        <d v="2024-09-12T00:00:00"/>
        <d v="2024-09-08T00:00:00"/>
        <d v="2023-08-18T00:00:00"/>
        <d v="2024-01-26T00:00:00"/>
        <d v="2023-09-15T00:00:00"/>
        <d v="2024-03-14T00:00:00"/>
        <d v="2024-12-27T00:00:00"/>
        <d v="2024-09-25T00:00:00"/>
        <d v="2024-06-04T00:00:00"/>
        <d v="2024-10-24T00:00:00"/>
        <d v="2023-09-22T00:00:00"/>
        <d v="2023-05-02T00:00:00"/>
        <d v="2024-10-11T00:00:00"/>
        <d v="2024-10-23T00:00:00"/>
        <d v="2023-07-05T00:00:00"/>
        <d v="2024-05-13T00:00:00"/>
        <d v="2023-07-18T00:00:00"/>
        <d v="2024-06-03T00:00:00"/>
        <d v="2024-07-18T00:00:00"/>
        <d v="2023-10-25T00:00:00"/>
        <d v="2024-09-20T00:00:00"/>
        <d v="2024-10-31T00:00:00"/>
        <d v="2023-08-17T00:00:00"/>
        <d v="2024-09-10T00:00:00"/>
        <d v="2024-10-14T00:00:00"/>
        <d v="2023-09-28T00:00:00"/>
        <d v="2023-04-09T00:00:00"/>
        <d v="2024-06-18T00:00:00"/>
        <d v="2024-03-11T00:00:00"/>
        <d v="2024-06-16T00:00:00"/>
        <d v="2024-12-14T00:00:00"/>
        <d v="2024-01-29T00:00:00"/>
        <d v="2023-07-19T00:00:00"/>
        <d v="2024-02-20T00:00:00"/>
        <d v="2024-07-26T00:00:00"/>
        <d v="2024-04-10T00:00:00"/>
        <d v="2024-05-30T00:00:00"/>
        <d v="2024-11-28T00:00:00"/>
        <d v="2023-08-04T00:00:00"/>
        <d v="2024-08-12T00:00:00"/>
        <d v="2023-07-20T00:00:00"/>
        <d v="2023-02-18T00:00:00"/>
        <d v="2023-01-21T00:00:00"/>
        <d v="2024-10-26T00:00:00"/>
        <d v="2024-08-28T00:00:00"/>
        <d v="2024-02-27T00:00:00"/>
        <d v="2023-10-21T00:00:00"/>
        <d v="2024-02-26T00:00:00"/>
        <d v="2024-12-11T00:00:00"/>
        <d v="2023-11-16T00:00:00"/>
        <d v="2023-05-06T00:00:00"/>
        <d v="2024-09-05T00:00:00"/>
        <d v="2024-01-11T00:00:00"/>
        <d v="2024-09-26T00:00:00"/>
        <d v="2024-11-04T00:00:00"/>
        <d v="2023-03-14T00:00:00"/>
        <d v="2023-02-11T00:00:00"/>
        <d v="2024-06-28T00:00:00"/>
        <d v="2024-07-25T00:00:00"/>
        <d v="2024-03-13T00:00:00"/>
        <d v="2023-11-29T00:00:00"/>
        <d v="2024-04-03T00:00:00"/>
        <d v="2023-01-07T00:00:00"/>
        <d v="2023-12-09T00:00:00"/>
        <d v="2024-10-30T00:00:00"/>
        <d v="2024-05-28T00:00:00"/>
        <d v="2024-09-30T00:00:00"/>
        <d v="2023-10-22T00:00:00"/>
        <d v="2023-08-03T00:00:00"/>
        <d v="2023-05-25T00:00:00"/>
        <d v="2024-04-13T00:00:00"/>
        <d v="2023-01-19T00:00:00"/>
        <d v="2024-03-16T00:00:00"/>
        <d v="2024-02-28T00:00:00"/>
        <d v="2023-05-18T00:00:00"/>
        <d v="2024-05-16T00:00:00"/>
        <d v="2024-10-18T00:00:00"/>
        <d v="2023-05-07T00:00:00"/>
        <d v="2023-08-11T00:00:00"/>
        <d v="2023-02-20T00:00:00"/>
        <d v="2023-09-23T00:00:00"/>
        <d v="2024-05-19T00:00:00"/>
        <d v="2023-10-16T00:00:00"/>
        <d v="2023-12-16T00:00:00"/>
        <d v="2023-08-10T00:00:00"/>
        <d v="2024-03-30T00:00:00"/>
        <d v="2024-06-20T00:00:00"/>
        <d v="2023-04-15T00:00:00"/>
        <d v="2024-04-11T00:00:00"/>
        <d v="2024-01-08T00:00:00"/>
        <d v="2024-04-09T00:00:00"/>
        <d v="2023-12-23T00:00:00"/>
        <d v="2024-07-23T00:00:00"/>
        <d v="2023-09-07T00:00:00"/>
        <d v="2024-12-29T00:00:00"/>
        <d v="2023-06-30T00:00:00"/>
        <d v="2023-05-31T00:00:00"/>
        <d v="2023-12-30T00:00:00"/>
        <d v="2024-08-04T00:00:00"/>
        <d v="2023-09-24T00:00:00"/>
        <d v="2023-01-28T00:00:00"/>
        <d v="2023-06-04T00:00:00"/>
        <d v="2024-01-27T00:00:00"/>
        <d v="2023-09-21T00:00:00"/>
        <d v="2023-09-30T00:00:00"/>
        <d v="2024-03-22T00:00:00"/>
        <d v="2024-08-16T00:00:00"/>
        <d v="2023-11-11T00:00:00"/>
        <d v="2023-04-19T00:00:00"/>
        <d v="2023-07-31T00:00:00"/>
        <d v="2024-09-02T00:00:00"/>
        <d v="2023-06-02T00:00:00"/>
        <d v="2024-03-31T00:00:00"/>
        <d v="2023-01-06T00:00:00"/>
        <d v="2024-01-15T00:00:00"/>
        <d v="2024-04-08T00:00:00"/>
        <d v="2024-10-04T00:00:00"/>
        <d v="2023-06-15T00:00:00"/>
        <d v="2023-07-08T00:00:00"/>
        <d v="2024-04-14T00:00:00"/>
        <d v="2023-01-26T00:00:00"/>
        <d v="2024-11-13T00:00:00"/>
        <d v="2024-02-29T00:00:00"/>
        <d v="2023-02-24T00:00:00"/>
        <d v="2024-12-05T00:00:00"/>
        <d v="2023-02-03T00:00:00"/>
        <d v="2024-11-17T00:00:00"/>
        <d v="2023-12-27T00:00:00"/>
        <d v="2024-08-15T00:00:00"/>
        <d v="2023-01-05T00:00:00"/>
        <d v="2024-03-10T00:00:00"/>
        <d v="2023-08-20T00:00:00"/>
        <d v="2024-05-26T00:00:00"/>
        <d v="2023-03-11T00:00:00"/>
        <d v="2024-01-21T00:00:00"/>
        <d v="2024-05-17T00:00:00"/>
        <d v="2023-11-25T00:00:00"/>
        <d v="2023-11-09T00:00:00"/>
        <d v="2024-10-12T00:00:00"/>
        <d v="2023-10-02T00:00:00"/>
        <d v="2024-01-12T00:00:00"/>
        <d v="2023-03-16T00:00:00"/>
        <d v="2024-03-19T00:00:00"/>
        <d v="2023-06-17T00:00:00"/>
        <d v="2024-11-10T00:00:00"/>
        <d v="2024-03-02T00:00:00"/>
        <d v="2024-08-05T00:00:00"/>
        <d v="2024-07-14T00:00:00"/>
        <d v="2023-05-15T00:00:00"/>
        <d v="2023-07-11T00:00:00"/>
        <d v="2024-12-20T00:00:00"/>
        <d v="2024-02-06T00:00:00"/>
        <d v="2023-06-28T00:00:00"/>
        <d v="2023-02-21T00:00:00"/>
        <d v="2024-03-15T00:00:00"/>
        <d v="2023-11-19T00:00:00"/>
        <d v="2023-05-10T00:00:00"/>
        <d v="2023-01-24T00:00:00"/>
        <d v="2023-04-24T00:00:00"/>
        <d v="2024-08-02T00:00:00"/>
        <d v="2024-06-25T00:00:00"/>
        <d v="2023-04-28T00:00:00"/>
        <d v="2024-02-09T00:00:00"/>
        <d v="2024-09-17T00:00:00"/>
        <d v="2023-03-25T00:00:00"/>
        <d v="2023-12-28T00:00:00"/>
        <d v="2023-10-15T00:00:00"/>
        <d v="2023-08-28T00:00:00"/>
        <d v="2023-07-16T00:00:00"/>
        <d v="2024-03-18T00:00:00"/>
        <d v="2023-07-21T00:00:00"/>
        <d v="2023-12-08T00:00:00"/>
        <d v="2024-08-30T00:00:00"/>
        <d v="2024-06-09T00:00:00"/>
        <d v="2024-09-09T00:00:00"/>
        <d v="2023-07-25T00:00:00"/>
        <d v="2024-09-06T00:00:00"/>
        <d v="2024-01-22T00:00:00"/>
        <d v="2024-07-13T00:00:00"/>
        <d v="2024-07-19T00:00:00"/>
        <d v="2024-07-03T00:00:00"/>
        <d v="2023-12-01T00:00:00"/>
        <d v="2024-10-01T00:00:00"/>
        <d v="2023-11-05T00:00:00"/>
        <d v="2024-08-22T00:00:00"/>
        <d v="2023-01-14T00:00:00"/>
        <d v="2023-01-25T00:00:00"/>
        <d v="2023-07-29T00:00:00"/>
        <d v="2023-11-07T00:00:00"/>
        <d v="2024-06-05T00:00:00"/>
        <d v="2024-12-24T00:00:00"/>
        <d v="2023-09-16T00:00:00"/>
        <d v="2024-03-17T00:00:00"/>
        <d v="2024-11-07T00:00:00"/>
        <d v="2024-09-07T00:00:00"/>
        <d v="2024-05-14T00:00:00"/>
        <d v="2023-01-23T00:00:00"/>
        <d v="2023-08-01T00:00:00"/>
        <d v="2023-03-28T00:00:00"/>
        <d v="2023-09-19T00:00:00"/>
        <d v="2023-07-07T00:00:00"/>
        <d v="2024-02-08T00:00:00"/>
        <d v="2023-12-25T00:00:00"/>
        <d v="2024-11-29T00:00:00"/>
        <d v="2023-12-06T00:00:00"/>
        <d v="2024-02-15T00:00:00"/>
        <d v="2024-07-04T00:00:00"/>
        <d v="2023-05-21T00:00:00"/>
        <d v="2024-03-01T00:00:00"/>
        <d v="2023-04-23T00:00:00"/>
        <d v="2024-10-13T00:00:00"/>
        <d v="2024-01-07T00:00:00"/>
        <d v="2023-09-06T00:00:00"/>
        <d v="2023-10-04T00:00:00"/>
        <d v="2023-07-26T00:00:00"/>
        <d v="2023-06-05T00:00:00"/>
        <d v="2023-09-20T00:00:00"/>
        <d v="2024-06-08T00:00:00"/>
        <d v="2024-09-27T00:00:00"/>
        <d v="2024-11-16T00:00:00"/>
        <d v="2023-12-17T00:00:00"/>
        <d v="2024-09-23T00:00:00"/>
        <d v="2023-01-08T00:00:00"/>
        <d v="2023-06-12T00:00:00"/>
        <d v="2023-01-29T00:00:00"/>
        <d v="2023-09-18T00:00:00"/>
        <d v="2024-12-09T00:00:00"/>
        <d v="2024-01-28T00:00:00"/>
        <d v="2023-02-04T00:00:00"/>
        <d v="2023-02-10T00:00:00"/>
        <d v="2023-05-22T00:00:00"/>
        <d v="2024-04-24T00:00:00"/>
        <d v="2023-10-07T00:00:00"/>
        <d v="2023-04-14T00:00:00"/>
        <d v="2024-04-28T00:00:00"/>
        <d v="2023-12-26T00:00:00"/>
        <d v="2024-11-12T00:00:00"/>
        <d v="2024-01-20T00:00:00"/>
        <d v="2023-04-17T00:00:00"/>
        <d v="2023-05-13T00:00:00"/>
        <d v="2023-03-05T00:00:00"/>
        <d v="2023-09-27T00:00:00"/>
        <d v="2023-02-06T00:00:00"/>
        <d v="2023-09-26T00:00:00"/>
        <d v="2023-02-09T00:00:00"/>
        <d v="2023-10-17T00:00:00"/>
        <d v="2024-02-22T00:00:00"/>
        <d v="2023-09-29T00:00:00"/>
        <d v="2024-01-01T00:00:00"/>
        <d v="2023-03-20T00:00:00"/>
        <d v="2023-04-08T00:00:00"/>
        <d v="2024-04-26T00:00:00"/>
        <d v="2024-11-11T00:00:00"/>
        <d v="2023-12-11T00:00:00"/>
        <d v="2023-12-21T00:00:00"/>
        <d v="2024-02-01T00:00:00"/>
        <d v="2023-02-15T00:00:00"/>
        <d v="2024-05-29T00:00:00"/>
        <d v="2024-12-03T00:00:00"/>
        <d v="2024-10-15T00:00:00"/>
        <d v="2024-03-23T00:00:00"/>
        <d v="2024-01-14T00:00:00"/>
        <d v="2024-01-30T00:00:00"/>
        <d v="2023-12-14T00:00:00"/>
        <d v="2024-05-03T00:00:00"/>
        <d v="2024-10-20T00:00:00"/>
        <d v="2024-03-03T00:00:00"/>
        <d v="2024-05-06T00:00:00"/>
        <d v="2023-04-01T00:00:00"/>
        <d v="2024-12-07T00:00:00"/>
        <d v="2023-01-22T00:00:00"/>
        <d v="2023-10-05T00:00:00"/>
        <d v="2024-09-11T00:00:00"/>
        <d v="2024-10-28T00:00:00"/>
        <d v="2023-01-18T00:00:00"/>
        <d v="2023-10-06T00:00:00"/>
        <d v="2023-06-22T00:00:00"/>
        <d v="2024-02-10T00:00:00"/>
        <d v="2023-08-08T00:00:00"/>
        <d v="2024-06-14T00:00:00"/>
        <d v="2023-05-27T00:00:00"/>
        <d v="2023-08-07T00:00:00"/>
        <d v="2024-10-21T00:00:00"/>
        <d v="2024-12-12T00:00:00"/>
        <d v="2023-12-18T00:00:00"/>
        <d v="2023-08-02T00:00:00"/>
        <d v="2023-06-19T00:00:00"/>
        <d v="2024-03-29T00:00:00"/>
        <d v="2024-09-15T00:00:00"/>
        <d v="2023-02-07T00:00:00"/>
        <d v="2023-02-22T00:00:00"/>
        <d v="2024-04-17T00:00:00"/>
        <d v="2024-04-19T00:00:00"/>
        <d v="2024-10-17T00:00:00"/>
        <d v="2023-10-27T00:00:00"/>
        <d v="2023-05-03T00:00:00"/>
        <d v="2023-06-26T00:00:00"/>
        <d v="2024-01-13T00:00:00"/>
        <d v="2023-10-26T00:00:00"/>
        <d v="2023-01-16T00:00:00"/>
        <d v="2024-08-19T00:00:00"/>
        <d v="2023-06-25T00:00:00"/>
        <d v="2023-11-10T00:00:00"/>
        <d v="2024-02-16T00:00:00"/>
        <d v="2023-05-17T00:00:00"/>
        <d v="2023-02-25T00:00:00"/>
        <d v="2024-11-01T00:00:00"/>
        <d v="2024-02-14T00:00:00"/>
        <d v="2023-09-17T00:00:00"/>
        <d v="2023-05-29T00:00:00"/>
        <d v="2023-01-03T00:00:00"/>
        <d v="2023-08-25T00:00:00"/>
        <d v="2024-03-27T00:00:00"/>
        <d v="2023-02-08T00:00:00"/>
        <d v="2023-03-01T00:00:00"/>
        <d v="2023-01-11T00:00:00"/>
        <d v="2023-01-01T00:00:00"/>
        <d v="2023-10-31T00:00:00"/>
        <d v="2024-06-06T00:00:00"/>
        <d v="2023-09-05T00:00:00"/>
        <d v="2023-04-07T00:00:00"/>
        <d v="2023-01-15T00:00:00"/>
      </sharedItems>
      <fieldGroup par="20"/>
    </cacheField>
    <cacheField name="producto" numFmtId="0">
      <sharedItems count="30">
        <s v="Ratón Inalámbrico"/>
        <s v="Colchón Viscoelástico"/>
        <s v="Robot de Cocina"/>
        <s v="Camisa Oxford"/>
        <s v="Bicicleta Estática"/>
        <s v="Estantería Modular"/>
        <s v="Teclado Mecánico"/>
        <s v="Camiseta Básica"/>
        <s v="Batidora de Vaso"/>
        <s v="Sartén Antiadherente"/>
        <s v="Cuchillos Chef Set"/>
        <s v="Monitor 27''"/>
        <s v="Cafetera Espresso"/>
        <s v="Pantalón Vaquero"/>
        <s v="Silla Ergonómica"/>
        <s v="Zapatillas Running"/>
        <s v="Lámpara de Pie"/>
        <s v="Laptop Air 13"/>
        <s v="Freidora de Aire"/>
        <s v="Laptop Pro 15"/>
        <s v="Sudadera Fleece"/>
        <s v="Smartphone X12"/>
        <s v="Mancuernas 10kg"/>
        <s v="Esterilla Yoga"/>
        <s v="Chaqueta Invierno"/>
        <s v="Pelota Baloncesto"/>
        <s v="Sofá 3 Plazas"/>
        <s v="Set Sábanas"/>
        <s v="Tablet Pro"/>
        <s v="Auriculares Bluetooth"/>
      </sharedItems>
    </cacheField>
    <cacheField name="categoria" numFmtId="0">
      <sharedItems count="5">
        <s v="Electrónica"/>
        <s v="Hogar"/>
        <s v="Cocina"/>
        <s v="Ropa"/>
        <s v="Deporte"/>
      </sharedItems>
    </cacheField>
    <cacheField name="cantidad" numFmtId="0">
      <sharedItems containsSemiMixedTypes="0" containsString="0" containsNumber="1" containsInteger="1" minValue="1" maxValue="5"/>
    </cacheField>
    <cacheField name="precio_base" numFmtId="164">
      <sharedItems containsSemiMixedTypes="0" containsString="0" containsNumber="1" minValue="19.989999999999998" maxValue="1199.99"/>
    </cacheField>
    <cacheField name="descuento_pct" numFmtId="0">
      <sharedItems containsSemiMixedTypes="0" containsString="0" containsNumber="1" containsInteger="1" minValue="0" maxValue="20" count="5">
        <n v="15"/>
        <n v="0"/>
        <n v="5"/>
        <n v="10"/>
        <n v="20"/>
      </sharedItems>
    </cacheField>
    <cacheField name="precio_unitario" numFmtId="164">
      <sharedItems containsSemiMixedTypes="0" containsString="0" containsNumber="1" minValue="15.99" maxValue="1199.99"/>
    </cacheField>
    <cacheField name="total_venta" numFmtId="164">
      <sharedItems containsSemiMixedTypes="0" containsString="0" containsNumber="1" minValue="15.99" maxValue="5999.95"/>
    </cacheField>
    <cacheField name="estado_entrega" numFmtId="0">
      <sharedItems count="5">
        <s v="Entregado"/>
        <s v="En tránsito"/>
        <s v="Pendiente"/>
        <s v="Cancelado"/>
        <s v="Devuelto"/>
      </sharedItems>
    </cacheField>
    <cacheField name="canal_venta" numFmtId="0">
      <sharedItems count="4">
        <s v="Web"/>
        <s v="App Móvil"/>
        <s v="Marketplace"/>
        <s v="Teléfono"/>
      </sharedItems>
    </cacheField>
    <cacheField name="metodo_pago" numFmtId="0">
      <sharedItems count="5">
        <s v="Tarjeta de Crédito"/>
        <s v="PayPal"/>
        <s v="Transferencia"/>
        <s v="Tarjeta de Débito"/>
        <s v="Bizum"/>
      </sharedItems>
    </cacheField>
    <cacheField name="ciudad" numFmtId="0">
      <sharedItems count="15">
        <s v="Sevilla"/>
        <s v="Alicante"/>
        <s v="Pamplona"/>
        <s v="Madrid"/>
        <s v="León"/>
        <s v="Bilbao"/>
        <s v="Valencia"/>
        <s v="Valladolid"/>
        <s v="Logroño"/>
        <s v="Oviedo"/>
        <s v="Santander"/>
        <s v="Barcelona"/>
        <s v="Murcia"/>
        <s v="Málaga"/>
        <s v="Zaragoza"/>
      </sharedItems>
    </cacheField>
    <cacheField name="region" numFmtId="0">
      <sharedItems/>
    </cacheField>
    <cacheField name="city_tier" numFmtId="0">
      <sharedItems count="3">
        <s v="Tier 2"/>
        <s v="Tier 3"/>
        <s v="Tier 1"/>
      </sharedItems>
    </cacheField>
    <cacheField name="valoracion_cliente" numFmtId="0">
      <sharedItems containsString="0" containsBlank="1" containsNumber="1" containsInteger="1" minValue="1" maxValue="5"/>
    </cacheField>
    <cacheField name="Total bruto (antes de descuento)" numFmtId="164">
      <sharedItems containsSemiMixedTypes="0" containsString="0" containsNumber="1" minValue="19.989999999999998" maxValue="5999.95"/>
    </cacheField>
    <cacheField name="Descuento" numFmtId="164">
      <sharedItems containsSemiMixedTypes="0" containsString="0" containsNumber="1" minValue="0" maxValue="1200"/>
    </cacheField>
    <cacheField name="Meses (fecha_compra)" numFmtId="0" databaseField="0">
      <fieldGroup base="1">
        <rangePr groupBy="months" startDate="2023-01-01T00:00:00" endDate="2025-01-01T00:00:00"/>
        <groupItems count="14">
          <s v="&lt;01/0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5"/>
        </groupItems>
      </fieldGroup>
    </cacheField>
    <cacheField name="Trimestres (fecha_compra)" numFmtId="0" databaseField="0">
      <fieldGroup base="1">
        <rangePr groupBy="quarters" startDate="2023-01-01T00:00:00" endDate="2025-01-01T00:00:00"/>
        <groupItems count="6">
          <s v="&lt;01/01/2023"/>
          <s v="Trim.1"/>
          <s v="Trim.2"/>
          <s v="Trim.3"/>
          <s v="Trim.4"/>
          <s v="&gt;01/01/2025"/>
        </groupItems>
      </fieldGroup>
    </cacheField>
    <cacheField name="Años (fecha_compra)" numFmtId="0" databaseField="0">
      <fieldGroup base="1">
        <rangePr groupBy="years" startDate="2023-01-01T00:00:00" endDate="2025-01-01T00:00:00"/>
        <groupItems count="5">
          <s v="&lt;01/01/2023"/>
          <s v="2023"/>
          <s v="2024"/>
          <s v="2025"/>
          <s v="&gt;01/01/2025"/>
        </groupItems>
      </fieldGroup>
    </cacheField>
  </cacheFields>
  <extLst>
    <ext xmlns:x14="http://schemas.microsoft.com/office/spreadsheetml/2009/9/main" uri="{725AE2AE-9491-48be-B2B4-4EB974FC3084}">
      <x14:pivotCacheDefinition pivotCacheId="17519722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ORD-100001"/>
    <x v="0"/>
    <x v="0"/>
    <x v="0"/>
    <n v="1"/>
    <n v="45.99"/>
    <x v="0"/>
    <n v="39.090000000000003"/>
    <n v="39.090000000000003"/>
    <x v="0"/>
    <x v="0"/>
    <x v="0"/>
    <x v="0"/>
    <s v="Andalucía"/>
    <x v="0"/>
    <n v="5"/>
    <n v="45.99"/>
    <n v="6.8999999999999986"/>
  </r>
  <r>
    <s v="ORD-100002"/>
    <x v="1"/>
    <x v="1"/>
    <x v="1"/>
    <n v="4"/>
    <n v="399.99"/>
    <x v="1"/>
    <n v="399.99"/>
    <n v="1599.96"/>
    <x v="0"/>
    <x v="0"/>
    <x v="1"/>
    <x v="0"/>
    <s v="Andalucía"/>
    <x v="0"/>
    <n v="5"/>
    <n v="1599.96"/>
    <n v="0"/>
  </r>
  <r>
    <s v="ORD-100003"/>
    <x v="2"/>
    <x v="2"/>
    <x v="2"/>
    <n v="5"/>
    <n v="299.99"/>
    <x v="2"/>
    <n v="284.99"/>
    <n v="1424.95"/>
    <x v="0"/>
    <x v="0"/>
    <x v="2"/>
    <x v="1"/>
    <s v="Comunitat Valenciana"/>
    <x v="1"/>
    <n v="2"/>
    <n v="1499.95"/>
    <n v="75"/>
  </r>
  <r>
    <s v="ORD-100004"/>
    <x v="3"/>
    <x v="3"/>
    <x v="3"/>
    <n v="3"/>
    <n v="34.99"/>
    <x v="1"/>
    <n v="34.99"/>
    <n v="104.97"/>
    <x v="0"/>
    <x v="0"/>
    <x v="0"/>
    <x v="2"/>
    <s v="Navarra"/>
    <x v="1"/>
    <n v="1"/>
    <n v="104.97"/>
    <n v="0"/>
  </r>
  <r>
    <s v="ORD-100005"/>
    <x v="4"/>
    <x v="4"/>
    <x v="4"/>
    <n v="3"/>
    <n v="349.99"/>
    <x v="3"/>
    <n v="314.99"/>
    <n v="944.97"/>
    <x v="0"/>
    <x v="1"/>
    <x v="3"/>
    <x v="3"/>
    <s v="Comunidad de Madrid"/>
    <x v="2"/>
    <n v="4"/>
    <n v="1049.97"/>
    <n v="105"/>
  </r>
  <r>
    <s v="ORD-100006"/>
    <x v="5"/>
    <x v="5"/>
    <x v="1"/>
    <n v="3"/>
    <n v="149.99"/>
    <x v="4"/>
    <n v="119.99"/>
    <n v="359.97"/>
    <x v="1"/>
    <x v="2"/>
    <x v="3"/>
    <x v="4"/>
    <s v="Castilla y León"/>
    <x v="1"/>
    <m/>
    <n v="449.97"/>
    <n v="90"/>
  </r>
  <r>
    <s v="ORD-100007"/>
    <x v="6"/>
    <x v="6"/>
    <x v="0"/>
    <n v="1"/>
    <n v="89.99"/>
    <x v="0"/>
    <n v="76.489999999999995"/>
    <n v="76.489999999999995"/>
    <x v="0"/>
    <x v="3"/>
    <x v="2"/>
    <x v="5"/>
    <s v="País Vasco"/>
    <x v="0"/>
    <n v="1"/>
    <n v="89.99"/>
    <n v="13.5"/>
  </r>
  <r>
    <s v="ORD-100008"/>
    <x v="7"/>
    <x v="7"/>
    <x v="3"/>
    <n v="4"/>
    <n v="19.989999999999998"/>
    <x v="0"/>
    <n v="16.989999999999998"/>
    <n v="67.959999999999994"/>
    <x v="2"/>
    <x v="0"/>
    <x v="0"/>
    <x v="6"/>
    <s v="Comunitat Valenciana"/>
    <x v="0"/>
    <m/>
    <n v="79.959999999999994"/>
    <n v="12"/>
  </r>
  <r>
    <s v="ORD-100009"/>
    <x v="8"/>
    <x v="2"/>
    <x v="2"/>
    <n v="1"/>
    <n v="299.99"/>
    <x v="3"/>
    <n v="269.99"/>
    <n v="269.99"/>
    <x v="1"/>
    <x v="1"/>
    <x v="0"/>
    <x v="7"/>
    <s v="Castilla y León"/>
    <x v="1"/>
    <m/>
    <n v="299.99"/>
    <n v="30"/>
  </r>
  <r>
    <s v="ORD-100010"/>
    <x v="9"/>
    <x v="7"/>
    <x v="3"/>
    <n v="5"/>
    <n v="19.989999999999998"/>
    <x v="1"/>
    <n v="19.989999999999998"/>
    <n v="99.95"/>
    <x v="1"/>
    <x v="2"/>
    <x v="0"/>
    <x v="8"/>
    <s v="La Rioja"/>
    <x v="1"/>
    <m/>
    <n v="99.949999999999989"/>
    <n v="0"/>
  </r>
  <r>
    <s v="ORD-100011"/>
    <x v="10"/>
    <x v="8"/>
    <x v="2"/>
    <n v="3"/>
    <n v="59.99"/>
    <x v="2"/>
    <n v="56.99"/>
    <n v="170.97"/>
    <x v="0"/>
    <x v="2"/>
    <x v="3"/>
    <x v="0"/>
    <s v="Andalucía"/>
    <x v="0"/>
    <n v="3"/>
    <n v="179.97"/>
    <n v="9"/>
  </r>
  <r>
    <s v="ORD-100012"/>
    <x v="11"/>
    <x v="9"/>
    <x v="2"/>
    <n v="4"/>
    <n v="29.99"/>
    <x v="2"/>
    <n v="28.49"/>
    <n v="113.96"/>
    <x v="2"/>
    <x v="1"/>
    <x v="0"/>
    <x v="9"/>
    <s v="Asturias"/>
    <x v="1"/>
    <m/>
    <n v="119.96"/>
    <n v="6"/>
  </r>
  <r>
    <s v="ORD-100013"/>
    <x v="12"/>
    <x v="10"/>
    <x v="2"/>
    <n v="5"/>
    <n v="69.989999999999995"/>
    <x v="3"/>
    <n v="62.99"/>
    <n v="314.95"/>
    <x v="0"/>
    <x v="0"/>
    <x v="3"/>
    <x v="1"/>
    <s v="Comunitat Valenciana"/>
    <x v="1"/>
    <n v="3"/>
    <n v="349.95"/>
    <n v="35"/>
  </r>
  <r>
    <s v="ORD-100014"/>
    <x v="13"/>
    <x v="11"/>
    <x v="0"/>
    <n v="5"/>
    <n v="349.99"/>
    <x v="2"/>
    <n v="332.49"/>
    <n v="1662.45"/>
    <x v="0"/>
    <x v="2"/>
    <x v="0"/>
    <x v="3"/>
    <s v="Comunidad de Madrid"/>
    <x v="2"/>
    <n v="2"/>
    <n v="1749.95"/>
    <n v="87.5"/>
  </r>
  <r>
    <s v="ORD-100015"/>
    <x v="14"/>
    <x v="3"/>
    <x v="3"/>
    <n v="5"/>
    <n v="34.99"/>
    <x v="1"/>
    <n v="34.99"/>
    <n v="174.95"/>
    <x v="0"/>
    <x v="3"/>
    <x v="3"/>
    <x v="1"/>
    <s v="Comunitat Valenciana"/>
    <x v="1"/>
    <n v="5"/>
    <n v="174.95000000000002"/>
    <n v="0"/>
  </r>
  <r>
    <s v="ORD-100016"/>
    <x v="15"/>
    <x v="12"/>
    <x v="2"/>
    <n v="1"/>
    <n v="189.99"/>
    <x v="0"/>
    <n v="161.49"/>
    <n v="161.49"/>
    <x v="2"/>
    <x v="0"/>
    <x v="1"/>
    <x v="2"/>
    <s v="Navarra"/>
    <x v="1"/>
    <m/>
    <n v="189.99"/>
    <n v="28.5"/>
  </r>
  <r>
    <s v="ORD-100017"/>
    <x v="16"/>
    <x v="13"/>
    <x v="3"/>
    <n v="4"/>
    <n v="49.99"/>
    <x v="1"/>
    <n v="49.99"/>
    <n v="199.96"/>
    <x v="0"/>
    <x v="2"/>
    <x v="0"/>
    <x v="10"/>
    <s v="Cantabria"/>
    <x v="1"/>
    <n v="5"/>
    <n v="199.96"/>
    <n v="0"/>
  </r>
  <r>
    <s v="ORD-100018"/>
    <x v="17"/>
    <x v="14"/>
    <x v="1"/>
    <n v="1"/>
    <n v="249.99"/>
    <x v="4"/>
    <n v="199.99"/>
    <n v="199.99"/>
    <x v="1"/>
    <x v="1"/>
    <x v="1"/>
    <x v="8"/>
    <s v="La Rioja"/>
    <x v="1"/>
    <m/>
    <n v="249.99"/>
    <n v="50"/>
  </r>
  <r>
    <s v="ORD-100019"/>
    <x v="18"/>
    <x v="15"/>
    <x v="3"/>
    <n v="2"/>
    <n v="69.989999999999995"/>
    <x v="3"/>
    <n v="62.99"/>
    <n v="125.98"/>
    <x v="3"/>
    <x v="1"/>
    <x v="0"/>
    <x v="4"/>
    <s v="Castilla y León"/>
    <x v="1"/>
    <m/>
    <n v="139.97999999999999"/>
    <n v="13.999999999999986"/>
  </r>
  <r>
    <s v="ORD-100020"/>
    <x v="19"/>
    <x v="16"/>
    <x v="1"/>
    <n v="1"/>
    <n v="79.989999999999995"/>
    <x v="1"/>
    <n v="79.989999999999995"/>
    <n v="79.989999999999995"/>
    <x v="3"/>
    <x v="3"/>
    <x v="2"/>
    <x v="4"/>
    <s v="Castilla y León"/>
    <x v="1"/>
    <m/>
    <n v="79.989999999999995"/>
    <n v="0"/>
  </r>
  <r>
    <s v="ORD-100021"/>
    <x v="20"/>
    <x v="17"/>
    <x v="0"/>
    <n v="2"/>
    <n v="899.99"/>
    <x v="3"/>
    <n v="809.99"/>
    <n v="1619.98"/>
    <x v="3"/>
    <x v="1"/>
    <x v="2"/>
    <x v="11"/>
    <s v="Cataluña"/>
    <x v="2"/>
    <m/>
    <n v="1799.98"/>
    <n v="180"/>
  </r>
  <r>
    <s v="ORD-100022"/>
    <x v="21"/>
    <x v="18"/>
    <x v="2"/>
    <n v="2"/>
    <n v="99.99"/>
    <x v="1"/>
    <n v="99.99"/>
    <n v="199.98"/>
    <x v="1"/>
    <x v="0"/>
    <x v="3"/>
    <x v="7"/>
    <s v="Castilla y León"/>
    <x v="1"/>
    <m/>
    <n v="199.98"/>
    <n v="0"/>
  </r>
  <r>
    <s v="ORD-100023"/>
    <x v="22"/>
    <x v="3"/>
    <x v="3"/>
    <n v="2"/>
    <n v="34.99"/>
    <x v="3"/>
    <n v="31.49"/>
    <n v="62.98"/>
    <x v="1"/>
    <x v="0"/>
    <x v="0"/>
    <x v="10"/>
    <s v="Cantabria"/>
    <x v="1"/>
    <m/>
    <n v="69.98"/>
    <n v="7.0000000000000071"/>
  </r>
  <r>
    <s v="ORD-100024"/>
    <x v="23"/>
    <x v="9"/>
    <x v="2"/>
    <n v="3"/>
    <n v="29.99"/>
    <x v="2"/>
    <n v="28.49"/>
    <n v="85.47"/>
    <x v="2"/>
    <x v="0"/>
    <x v="0"/>
    <x v="12"/>
    <s v="Región de Murcia"/>
    <x v="1"/>
    <m/>
    <n v="89.97"/>
    <n v="4.5"/>
  </r>
  <r>
    <s v="ORD-100025"/>
    <x v="24"/>
    <x v="19"/>
    <x v="0"/>
    <n v="5"/>
    <n v="1199.99"/>
    <x v="3"/>
    <n v="1079.99"/>
    <n v="5399.95"/>
    <x v="0"/>
    <x v="0"/>
    <x v="1"/>
    <x v="0"/>
    <s v="Andalucía"/>
    <x v="0"/>
    <n v="1"/>
    <n v="5999.95"/>
    <n v="600"/>
  </r>
  <r>
    <s v="ORD-100026"/>
    <x v="25"/>
    <x v="6"/>
    <x v="0"/>
    <n v="1"/>
    <n v="89.99"/>
    <x v="4"/>
    <n v="71.989999999999995"/>
    <n v="71.989999999999995"/>
    <x v="0"/>
    <x v="0"/>
    <x v="1"/>
    <x v="7"/>
    <s v="Castilla y León"/>
    <x v="1"/>
    <n v="2"/>
    <n v="89.99"/>
    <n v="18"/>
  </r>
  <r>
    <s v="ORD-100027"/>
    <x v="26"/>
    <x v="11"/>
    <x v="0"/>
    <n v="5"/>
    <n v="349.99"/>
    <x v="3"/>
    <n v="314.99"/>
    <n v="1574.95"/>
    <x v="0"/>
    <x v="1"/>
    <x v="3"/>
    <x v="2"/>
    <s v="Navarra"/>
    <x v="1"/>
    <n v="1"/>
    <n v="1749.95"/>
    <n v="175"/>
  </r>
  <r>
    <s v="ORD-100028"/>
    <x v="27"/>
    <x v="12"/>
    <x v="2"/>
    <n v="4"/>
    <n v="189.99"/>
    <x v="1"/>
    <n v="189.99"/>
    <n v="759.96"/>
    <x v="0"/>
    <x v="2"/>
    <x v="0"/>
    <x v="12"/>
    <s v="Región de Murcia"/>
    <x v="1"/>
    <n v="1"/>
    <n v="759.96"/>
    <n v="0"/>
  </r>
  <r>
    <s v="ORD-100029"/>
    <x v="28"/>
    <x v="20"/>
    <x v="3"/>
    <n v="3"/>
    <n v="39.99"/>
    <x v="4"/>
    <n v="31.99"/>
    <n v="95.97"/>
    <x v="2"/>
    <x v="0"/>
    <x v="3"/>
    <x v="0"/>
    <s v="Andalucía"/>
    <x v="0"/>
    <m/>
    <n v="119.97"/>
    <n v="24"/>
  </r>
  <r>
    <s v="ORD-100030"/>
    <x v="29"/>
    <x v="3"/>
    <x v="3"/>
    <n v="2"/>
    <n v="34.99"/>
    <x v="1"/>
    <n v="34.99"/>
    <n v="69.98"/>
    <x v="0"/>
    <x v="2"/>
    <x v="3"/>
    <x v="8"/>
    <s v="La Rioja"/>
    <x v="1"/>
    <n v="5"/>
    <n v="69.98"/>
    <n v="0"/>
  </r>
  <r>
    <s v="ORD-100031"/>
    <x v="30"/>
    <x v="17"/>
    <x v="0"/>
    <n v="5"/>
    <n v="899.99"/>
    <x v="4"/>
    <n v="719.99"/>
    <n v="3599.95"/>
    <x v="0"/>
    <x v="2"/>
    <x v="2"/>
    <x v="11"/>
    <s v="Cataluña"/>
    <x v="2"/>
    <n v="2"/>
    <n v="4499.95"/>
    <n v="900"/>
  </r>
  <r>
    <s v="ORD-100032"/>
    <x v="31"/>
    <x v="16"/>
    <x v="1"/>
    <n v="4"/>
    <n v="79.989999999999995"/>
    <x v="1"/>
    <n v="79.989999999999995"/>
    <n v="319.95999999999998"/>
    <x v="2"/>
    <x v="0"/>
    <x v="3"/>
    <x v="4"/>
    <s v="Castilla y León"/>
    <x v="1"/>
    <m/>
    <n v="319.95999999999998"/>
    <n v="0"/>
  </r>
  <r>
    <s v="ORD-100033"/>
    <x v="32"/>
    <x v="7"/>
    <x v="3"/>
    <n v="4"/>
    <n v="19.989999999999998"/>
    <x v="1"/>
    <n v="19.989999999999998"/>
    <n v="79.959999999999994"/>
    <x v="0"/>
    <x v="3"/>
    <x v="3"/>
    <x v="10"/>
    <s v="Cantabria"/>
    <x v="1"/>
    <n v="4"/>
    <n v="79.959999999999994"/>
    <n v="0"/>
  </r>
  <r>
    <s v="ORD-100034"/>
    <x v="33"/>
    <x v="21"/>
    <x v="0"/>
    <n v="3"/>
    <n v="799.99"/>
    <x v="1"/>
    <n v="799.99"/>
    <n v="2399.9699999999998"/>
    <x v="4"/>
    <x v="1"/>
    <x v="0"/>
    <x v="1"/>
    <s v="Comunitat Valenciana"/>
    <x v="1"/>
    <m/>
    <n v="2399.9700000000003"/>
    <n v="0"/>
  </r>
  <r>
    <s v="ORD-100035"/>
    <x v="34"/>
    <x v="17"/>
    <x v="0"/>
    <n v="1"/>
    <n v="899.99"/>
    <x v="3"/>
    <n v="809.99"/>
    <n v="809.99"/>
    <x v="0"/>
    <x v="2"/>
    <x v="0"/>
    <x v="4"/>
    <s v="Castilla y León"/>
    <x v="1"/>
    <n v="5"/>
    <n v="899.99"/>
    <n v="90"/>
  </r>
  <r>
    <s v="ORD-100036"/>
    <x v="35"/>
    <x v="4"/>
    <x v="4"/>
    <n v="2"/>
    <n v="349.99"/>
    <x v="1"/>
    <n v="349.99"/>
    <n v="699.98"/>
    <x v="0"/>
    <x v="2"/>
    <x v="3"/>
    <x v="9"/>
    <s v="Asturias"/>
    <x v="1"/>
    <n v="5"/>
    <n v="699.98"/>
    <n v="0"/>
  </r>
  <r>
    <s v="ORD-100037"/>
    <x v="12"/>
    <x v="1"/>
    <x v="1"/>
    <n v="5"/>
    <n v="399.99"/>
    <x v="1"/>
    <n v="399.99"/>
    <n v="1999.95"/>
    <x v="1"/>
    <x v="1"/>
    <x v="3"/>
    <x v="13"/>
    <s v="Andalucía"/>
    <x v="0"/>
    <m/>
    <n v="1999.95"/>
    <n v="0"/>
  </r>
  <r>
    <s v="ORD-100038"/>
    <x v="36"/>
    <x v="22"/>
    <x v="4"/>
    <n v="3"/>
    <n v="44.99"/>
    <x v="1"/>
    <n v="44.99"/>
    <n v="134.97"/>
    <x v="1"/>
    <x v="0"/>
    <x v="3"/>
    <x v="14"/>
    <s v="Aragón"/>
    <x v="0"/>
    <m/>
    <n v="134.97"/>
    <n v="0"/>
  </r>
  <r>
    <s v="ORD-100039"/>
    <x v="23"/>
    <x v="9"/>
    <x v="2"/>
    <n v="3"/>
    <n v="29.99"/>
    <x v="2"/>
    <n v="28.49"/>
    <n v="85.47"/>
    <x v="0"/>
    <x v="2"/>
    <x v="0"/>
    <x v="2"/>
    <s v="Navarra"/>
    <x v="1"/>
    <n v="5"/>
    <n v="89.97"/>
    <n v="4.5"/>
  </r>
  <r>
    <s v="ORD-100040"/>
    <x v="37"/>
    <x v="0"/>
    <x v="0"/>
    <n v="1"/>
    <n v="45.99"/>
    <x v="3"/>
    <n v="41.39"/>
    <n v="41.39"/>
    <x v="0"/>
    <x v="0"/>
    <x v="0"/>
    <x v="5"/>
    <s v="País Vasco"/>
    <x v="0"/>
    <n v="1"/>
    <n v="45.99"/>
    <n v="4.6000000000000014"/>
  </r>
  <r>
    <s v="ORD-100041"/>
    <x v="38"/>
    <x v="15"/>
    <x v="3"/>
    <n v="3"/>
    <n v="69.989999999999995"/>
    <x v="1"/>
    <n v="69.989999999999995"/>
    <n v="209.97"/>
    <x v="0"/>
    <x v="1"/>
    <x v="1"/>
    <x v="7"/>
    <s v="Castilla y León"/>
    <x v="1"/>
    <n v="5"/>
    <n v="209.96999999999997"/>
    <n v="0"/>
  </r>
  <r>
    <s v="ORD-100042"/>
    <x v="39"/>
    <x v="12"/>
    <x v="2"/>
    <n v="5"/>
    <n v="189.99"/>
    <x v="1"/>
    <n v="189.99"/>
    <n v="949.95"/>
    <x v="3"/>
    <x v="2"/>
    <x v="0"/>
    <x v="11"/>
    <s v="Cataluña"/>
    <x v="2"/>
    <m/>
    <n v="949.95"/>
    <n v="0"/>
  </r>
  <r>
    <s v="ORD-100043"/>
    <x v="40"/>
    <x v="23"/>
    <x v="4"/>
    <n v="1"/>
    <n v="24.99"/>
    <x v="0"/>
    <n v="21.24"/>
    <n v="21.24"/>
    <x v="0"/>
    <x v="0"/>
    <x v="0"/>
    <x v="5"/>
    <s v="País Vasco"/>
    <x v="0"/>
    <n v="3"/>
    <n v="24.99"/>
    <n v="3.75"/>
  </r>
  <r>
    <s v="ORD-100044"/>
    <x v="41"/>
    <x v="12"/>
    <x v="2"/>
    <n v="3"/>
    <n v="189.99"/>
    <x v="3"/>
    <n v="170.99"/>
    <n v="512.97"/>
    <x v="0"/>
    <x v="2"/>
    <x v="0"/>
    <x v="4"/>
    <s v="Castilla y León"/>
    <x v="1"/>
    <n v="4"/>
    <n v="569.97"/>
    <n v="57"/>
  </r>
  <r>
    <s v="ORD-100045"/>
    <x v="42"/>
    <x v="17"/>
    <x v="0"/>
    <n v="1"/>
    <n v="899.99"/>
    <x v="1"/>
    <n v="899.99"/>
    <n v="899.99"/>
    <x v="1"/>
    <x v="3"/>
    <x v="0"/>
    <x v="9"/>
    <s v="Asturias"/>
    <x v="1"/>
    <m/>
    <n v="899.99"/>
    <n v="0"/>
  </r>
  <r>
    <s v="ORD-100046"/>
    <x v="43"/>
    <x v="5"/>
    <x v="1"/>
    <n v="4"/>
    <n v="149.99"/>
    <x v="3"/>
    <n v="134.99"/>
    <n v="539.96"/>
    <x v="0"/>
    <x v="2"/>
    <x v="1"/>
    <x v="11"/>
    <s v="Cataluña"/>
    <x v="2"/>
    <n v="2"/>
    <n v="599.96"/>
    <n v="60"/>
  </r>
  <r>
    <s v="ORD-100047"/>
    <x v="44"/>
    <x v="17"/>
    <x v="0"/>
    <n v="3"/>
    <n v="899.99"/>
    <x v="3"/>
    <n v="809.99"/>
    <n v="2429.9699999999998"/>
    <x v="0"/>
    <x v="0"/>
    <x v="0"/>
    <x v="13"/>
    <s v="Andalucía"/>
    <x v="0"/>
    <n v="1"/>
    <n v="2699.9700000000003"/>
    <n v="270.00000000000045"/>
  </r>
  <r>
    <s v="ORD-100048"/>
    <x v="45"/>
    <x v="21"/>
    <x v="0"/>
    <n v="2"/>
    <n v="799.99"/>
    <x v="0"/>
    <n v="679.99"/>
    <n v="1359.98"/>
    <x v="0"/>
    <x v="1"/>
    <x v="2"/>
    <x v="2"/>
    <s v="Navarra"/>
    <x v="1"/>
    <n v="5"/>
    <n v="1599.98"/>
    <n v="240"/>
  </r>
  <r>
    <s v="ORD-100049"/>
    <x v="33"/>
    <x v="22"/>
    <x v="4"/>
    <n v="2"/>
    <n v="44.99"/>
    <x v="4"/>
    <n v="35.99"/>
    <n v="71.98"/>
    <x v="0"/>
    <x v="2"/>
    <x v="2"/>
    <x v="2"/>
    <s v="Navarra"/>
    <x v="1"/>
    <n v="1"/>
    <n v="89.98"/>
    <n v="18"/>
  </r>
  <r>
    <s v="ORD-100050"/>
    <x v="46"/>
    <x v="10"/>
    <x v="2"/>
    <n v="3"/>
    <n v="69.989999999999995"/>
    <x v="4"/>
    <n v="55.99"/>
    <n v="167.97"/>
    <x v="3"/>
    <x v="1"/>
    <x v="1"/>
    <x v="2"/>
    <s v="Navarra"/>
    <x v="1"/>
    <m/>
    <n v="209.96999999999997"/>
    <n v="41.999999999999972"/>
  </r>
  <r>
    <s v="ORD-100051"/>
    <x v="47"/>
    <x v="7"/>
    <x v="3"/>
    <n v="2"/>
    <n v="19.989999999999998"/>
    <x v="4"/>
    <n v="15.99"/>
    <n v="31.98"/>
    <x v="1"/>
    <x v="2"/>
    <x v="2"/>
    <x v="13"/>
    <s v="Andalucía"/>
    <x v="0"/>
    <m/>
    <n v="39.979999999999997"/>
    <n v="7.9999999999999964"/>
  </r>
  <r>
    <s v="ORD-100052"/>
    <x v="48"/>
    <x v="21"/>
    <x v="0"/>
    <n v="4"/>
    <n v="799.99"/>
    <x v="1"/>
    <n v="799.99"/>
    <n v="3199.96"/>
    <x v="0"/>
    <x v="2"/>
    <x v="0"/>
    <x v="2"/>
    <s v="Navarra"/>
    <x v="1"/>
    <n v="2"/>
    <n v="3199.96"/>
    <n v="0"/>
  </r>
  <r>
    <s v="ORD-100053"/>
    <x v="49"/>
    <x v="24"/>
    <x v="3"/>
    <n v="3"/>
    <n v="89.99"/>
    <x v="4"/>
    <n v="71.989999999999995"/>
    <n v="215.97"/>
    <x v="0"/>
    <x v="0"/>
    <x v="1"/>
    <x v="2"/>
    <s v="Navarra"/>
    <x v="1"/>
    <n v="4"/>
    <n v="269.96999999999997"/>
    <n v="53.999999999999972"/>
  </r>
  <r>
    <s v="ORD-100054"/>
    <x v="50"/>
    <x v="25"/>
    <x v="4"/>
    <n v="5"/>
    <n v="34.99"/>
    <x v="1"/>
    <n v="34.99"/>
    <n v="174.95"/>
    <x v="3"/>
    <x v="2"/>
    <x v="0"/>
    <x v="11"/>
    <s v="Cataluña"/>
    <x v="2"/>
    <m/>
    <n v="174.95000000000002"/>
    <n v="0"/>
  </r>
  <r>
    <s v="ORD-100055"/>
    <x v="51"/>
    <x v="7"/>
    <x v="3"/>
    <n v="1"/>
    <n v="19.989999999999998"/>
    <x v="1"/>
    <n v="19.989999999999998"/>
    <n v="19.989999999999998"/>
    <x v="0"/>
    <x v="1"/>
    <x v="0"/>
    <x v="14"/>
    <s v="Aragón"/>
    <x v="0"/>
    <n v="5"/>
    <n v="19.989999999999998"/>
    <n v="0"/>
  </r>
  <r>
    <s v="ORD-100056"/>
    <x v="52"/>
    <x v="0"/>
    <x v="0"/>
    <n v="4"/>
    <n v="45.99"/>
    <x v="3"/>
    <n v="41.39"/>
    <n v="165.56"/>
    <x v="0"/>
    <x v="1"/>
    <x v="0"/>
    <x v="3"/>
    <s v="Comunidad de Madrid"/>
    <x v="2"/>
    <n v="5"/>
    <n v="183.96"/>
    <n v="18.400000000000006"/>
  </r>
  <r>
    <s v="ORD-100057"/>
    <x v="53"/>
    <x v="10"/>
    <x v="2"/>
    <n v="2"/>
    <n v="69.989999999999995"/>
    <x v="1"/>
    <n v="69.989999999999995"/>
    <n v="139.97999999999999"/>
    <x v="0"/>
    <x v="2"/>
    <x v="1"/>
    <x v="9"/>
    <s v="Asturias"/>
    <x v="1"/>
    <n v="1"/>
    <n v="139.97999999999999"/>
    <n v="0"/>
  </r>
  <r>
    <s v="ORD-100058"/>
    <x v="54"/>
    <x v="14"/>
    <x v="1"/>
    <n v="3"/>
    <n v="249.99"/>
    <x v="0"/>
    <n v="212.49"/>
    <n v="637.47"/>
    <x v="0"/>
    <x v="1"/>
    <x v="3"/>
    <x v="13"/>
    <s v="Andalucía"/>
    <x v="0"/>
    <n v="2"/>
    <n v="749.97"/>
    <n v="112.5"/>
  </r>
  <r>
    <s v="ORD-100059"/>
    <x v="55"/>
    <x v="12"/>
    <x v="2"/>
    <n v="4"/>
    <n v="189.99"/>
    <x v="0"/>
    <n v="161.49"/>
    <n v="645.96"/>
    <x v="1"/>
    <x v="1"/>
    <x v="0"/>
    <x v="6"/>
    <s v="Comunitat Valenciana"/>
    <x v="0"/>
    <m/>
    <n v="759.96"/>
    <n v="114"/>
  </r>
  <r>
    <s v="ORD-100060"/>
    <x v="56"/>
    <x v="25"/>
    <x v="4"/>
    <n v="1"/>
    <n v="34.99"/>
    <x v="1"/>
    <n v="34.99"/>
    <n v="34.99"/>
    <x v="0"/>
    <x v="2"/>
    <x v="1"/>
    <x v="13"/>
    <s v="Andalucía"/>
    <x v="0"/>
    <n v="3"/>
    <n v="34.99"/>
    <n v="0"/>
  </r>
  <r>
    <s v="ORD-100061"/>
    <x v="57"/>
    <x v="26"/>
    <x v="1"/>
    <n v="4"/>
    <n v="599.99"/>
    <x v="0"/>
    <n v="509.99"/>
    <n v="2039.96"/>
    <x v="0"/>
    <x v="2"/>
    <x v="4"/>
    <x v="12"/>
    <s v="Región de Murcia"/>
    <x v="1"/>
    <n v="2"/>
    <n v="2399.96"/>
    <n v="360"/>
  </r>
  <r>
    <s v="ORD-100062"/>
    <x v="58"/>
    <x v="6"/>
    <x v="0"/>
    <n v="3"/>
    <n v="89.99"/>
    <x v="3"/>
    <n v="80.989999999999995"/>
    <n v="242.97"/>
    <x v="1"/>
    <x v="0"/>
    <x v="2"/>
    <x v="1"/>
    <s v="Comunitat Valenciana"/>
    <x v="1"/>
    <m/>
    <n v="269.96999999999997"/>
    <n v="26.999999999999972"/>
  </r>
  <r>
    <s v="ORD-100063"/>
    <x v="59"/>
    <x v="12"/>
    <x v="2"/>
    <n v="3"/>
    <n v="189.99"/>
    <x v="1"/>
    <n v="189.99"/>
    <n v="569.97"/>
    <x v="2"/>
    <x v="0"/>
    <x v="0"/>
    <x v="6"/>
    <s v="Comunitat Valenciana"/>
    <x v="0"/>
    <m/>
    <n v="569.97"/>
    <n v="0"/>
  </r>
  <r>
    <s v="ORD-100064"/>
    <x v="60"/>
    <x v="27"/>
    <x v="1"/>
    <n v="1"/>
    <n v="49.99"/>
    <x v="2"/>
    <n v="47.49"/>
    <n v="47.49"/>
    <x v="0"/>
    <x v="1"/>
    <x v="1"/>
    <x v="9"/>
    <s v="Asturias"/>
    <x v="1"/>
    <n v="4"/>
    <n v="49.99"/>
    <n v="2.5"/>
  </r>
  <r>
    <s v="ORD-100065"/>
    <x v="61"/>
    <x v="20"/>
    <x v="3"/>
    <n v="2"/>
    <n v="39.99"/>
    <x v="1"/>
    <n v="39.99"/>
    <n v="79.98"/>
    <x v="1"/>
    <x v="2"/>
    <x v="2"/>
    <x v="3"/>
    <s v="Comunidad de Madrid"/>
    <x v="2"/>
    <m/>
    <n v="79.98"/>
    <n v="0"/>
  </r>
  <r>
    <s v="ORD-100066"/>
    <x v="62"/>
    <x v="18"/>
    <x v="2"/>
    <n v="4"/>
    <n v="99.99"/>
    <x v="1"/>
    <n v="99.99"/>
    <n v="399.96"/>
    <x v="0"/>
    <x v="1"/>
    <x v="0"/>
    <x v="10"/>
    <s v="Cantabria"/>
    <x v="1"/>
    <n v="2"/>
    <n v="399.96"/>
    <n v="0"/>
  </r>
  <r>
    <s v="ORD-100067"/>
    <x v="63"/>
    <x v="26"/>
    <x v="1"/>
    <n v="2"/>
    <n v="599.99"/>
    <x v="4"/>
    <n v="479.99"/>
    <n v="959.98"/>
    <x v="0"/>
    <x v="3"/>
    <x v="3"/>
    <x v="7"/>
    <s v="Castilla y León"/>
    <x v="1"/>
    <n v="4"/>
    <n v="1199.98"/>
    <n v="240"/>
  </r>
  <r>
    <s v="ORD-100068"/>
    <x v="64"/>
    <x v="25"/>
    <x v="4"/>
    <n v="5"/>
    <n v="34.99"/>
    <x v="2"/>
    <n v="33.24"/>
    <n v="166.2"/>
    <x v="2"/>
    <x v="0"/>
    <x v="0"/>
    <x v="7"/>
    <s v="Castilla y León"/>
    <x v="1"/>
    <m/>
    <n v="174.95000000000002"/>
    <n v="8.7500000000000284"/>
  </r>
  <r>
    <s v="ORD-100069"/>
    <x v="60"/>
    <x v="26"/>
    <x v="1"/>
    <n v="3"/>
    <n v="599.99"/>
    <x v="4"/>
    <n v="479.99"/>
    <n v="1439.97"/>
    <x v="0"/>
    <x v="0"/>
    <x v="1"/>
    <x v="9"/>
    <s v="Asturias"/>
    <x v="1"/>
    <n v="4"/>
    <n v="1799.97"/>
    <n v="360"/>
  </r>
  <r>
    <s v="ORD-100070"/>
    <x v="65"/>
    <x v="28"/>
    <x v="0"/>
    <n v="3"/>
    <n v="499.99"/>
    <x v="2"/>
    <n v="474.99"/>
    <n v="1424.97"/>
    <x v="0"/>
    <x v="0"/>
    <x v="0"/>
    <x v="5"/>
    <s v="País Vasco"/>
    <x v="0"/>
    <n v="5"/>
    <n v="1499.97"/>
    <n v="75"/>
  </r>
  <r>
    <s v="ORD-100071"/>
    <x v="35"/>
    <x v="11"/>
    <x v="0"/>
    <n v="2"/>
    <n v="349.99"/>
    <x v="1"/>
    <n v="349.99"/>
    <n v="699.98"/>
    <x v="0"/>
    <x v="1"/>
    <x v="0"/>
    <x v="6"/>
    <s v="Comunitat Valenciana"/>
    <x v="0"/>
    <n v="4"/>
    <n v="699.98"/>
    <n v="0"/>
  </r>
  <r>
    <s v="ORD-100072"/>
    <x v="66"/>
    <x v="5"/>
    <x v="1"/>
    <n v="4"/>
    <n v="149.99"/>
    <x v="2"/>
    <n v="142.49"/>
    <n v="569.96"/>
    <x v="0"/>
    <x v="0"/>
    <x v="4"/>
    <x v="8"/>
    <s v="La Rioja"/>
    <x v="1"/>
    <n v="5"/>
    <n v="599.96"/>
    <n v="30"/>
  </r>
  <r>
    <s v="ORD-100073"/>
    <x v="67"/>
    <x v="19"/>
    <x v="0"/>
    <n v="5"/>
    <n v="1199.99"/>
    <x v="2"/>
    <n v="1139.99"/>
    <n v="5699.95"/>
    <x v="0"/>
    <x v="0"/>
    <x v="3"/>
    <x v="14"/>
    <s v="Aragón"/>
    <x v="0"/>
    <n v="4"/>
    <n v="5999.95"/>
    <n v="300"/>
  </r>
  <r>
    <s v="ORD-100074"/>
    <x v="68"/>
    <x v="10"/>
    <x v="2"/>
    <n v="5"/>
    <n v="69.989999999999995"/>
    <x v="4"/>
    <n v="55.99"/>
    <n v="279.95"/>
    <x v="1"/>
    <x v="1"/>
    <x v="0"/>
    <x v="0"/>
    <s v="Andalucía"/>
    <x v="0"/>
    <m/>
    <n v="349.95"/>
    <n v="70"/>
  </r>
  <r>
    <s v="ORD-100075"/>
    <x v="69"/>
    <x v="19"/>
    <x v="0"/>
    <n v="4"/>
    <n v="1199.99"/>
    <x v="1"/>
    <n v="1199.99"/>
    <n v="4799.96"/>
    <x v="1"/>
    <x v="0"/>
    <x v="0"/>
    <x v="2"/>
    <s v="Navarra"/>
    <x v="1"/>
    <m/>
    <n v="4799.96"/>
    <n v="0"/>
  </r>
  <r>
    <s v="ORD-100076"/>
    <x v="70"/>
    <x v="22"/>
    <x v="4"/>
    <n v="2"/>
    <n v="44.99"/>
    <x v="3"/>
    <n v="40.49"/>
    <n v="80.98"/>
    <x v="0"/>
    <x v="0"/>
    <x v="3"/>
    <x v="4"/>
    <s v="Castilla y León"/>
    <x v="1"/>
    <n v="1"/>
    <n v="89.98"/>
    <n v="9"/>
  </r>
  <r>
    <s v="ORD-100077"/>
    <x v="71"/>
    <x v="9"/>
    <x v="2"/>
    <n v="4"/>
    <n v="29.99"/>
    <x v="1"/>
    <n v="29.99"/>
    <n v="119.96"/>
    <x v="2"/>
    <x v="0"/>
    <x v="3"/>
    <x v="6"/>
    <s v="Comunitat Valenciana"/>
    <x v="0"/>
    <m/>
    <n v="119.96"/>
    <n v="0"/>
  </r>
  <r>
    <s v="ORD-100078"/>
    <x v="72"/>
    <x v="26"/>
    <x v="1"/>
    <n v="3"/>
    <n v="599.99"/>
    <x v="1"/>
    <n v="599.99"/>
    <n v="1799.97"/>
    <x v="1"/>
    <x v="0"/>
    <x v="4"/>
    <x v="13"/>
    <s v="Andalucía"/>
    <x v="0"/>
    <m/>
    <n v="1799.97"/>
    <n v="0"/>
  </r>
  <r>
    <s v="ORD-100079"/>
    <x v="73"/>
    <x v="7"/>
    <x v="3"/>
    <n v="1"/>
    <n v="19.989999999999998"/>
    <x v="2"/>
    <n v="18.989999999999998"/>
    <n v="18.989999999999998"/>
    <x v="0"/>
    <x v="0"/>
    <x v="4"/>
    <x v="7"/>
    <s v="Castilla y León"/>
    <x v="1"/>
    <n v="2"/>
    <n v="19.989999999999998"/>
    <n v="1"/>
  </r>
  <r>
    <s v="ORD-100080"/>
    <x v="74"/>
    <x v="6"/>
    <x v="0"/>
    <n v="1"/>
    <n v="89.99"/>
    <x v="4"/>
    <n v="71.989999999999995"/>
    <n v="71.989999999999995"/>
    <x v="0"/>
    <x v="0"/>
    <x v="0"/>
    <x v="0"/>
    <s v="Andalucía"/>
    <x v="0"/>
    <n v="2"/>
    <n v="89.99"/>
    <n v="18"/>
  </r>
  <r>
    <s v="ORD-100081"/>
    <x v="75"/>
    <x v="11"/>
    <x v="0"/>
    <n v="4"/>
    <n v="349.99"/>
    <x v="0"/>
    <n v="297.49"/>
    <n v="1189.96"/>
    <x v="0"/>
    <x v="1"/>
    <x v="0"/>
    <x v="0"/>
    <s v="Andalucía"/>
    <x v="0"/>
    <n v="3"/>
    <n v="1399.96"/>
    <n v="210"/>
  </r>
  <r>
    <s v="ORD-100082"/>
    <x v="76"/>
    <x v="27"/>
    <x v="1"/>
    <n v="5"/>
    <n v="49.99"/>
    <x v="0"/>
    <n v="42.49"/>
    <n v="212.45"/>
    <x v="1"/>
    <x v="2"/>
    <x v="4"/>
    <x v="2"/>
    <s v="Navarra"/>
    <x v="1"/>
    <m/>
    <n v="249.95000000000002"/>
    <n v="37.500000000000028"/>
  </r>
  <r>
    <s v="ORD-100083"/>
    <x v="77"/>
    <x v="1"/>
    <x v="1"/>
    <n v="1"/>
    <n v="399.99"/>
    <x v="1"/>
    <n v="399.99"/>
    <n v="399.99"/>
    <x v="0"/>
    <x v="3"/>
    <x v="3"/>
    <x v="4"/>
    <s v="Castilla y León"/>
    <x v="1"/>
    <n v="2"/>
    <n v="399.99"/>
    <n v="0"/>
  </r>
  <r>
    <s v="ORD-100084"/>
    <x v="78"/>
    <x v="1"/>
    <x v="1"/>
    <n v="2"/>
    <n v="399.99"/>
    <x v="1"/>
    <n v="399.99"/>
    <n v="799.98"/>
    <x v="1"/>
    <x v="2"/>
    <x v="1"/>
    <x v="5"/>
    <s v="País Vasco"/>
    <x v="0"/>
    <m/>
    <n v="799.98"/>
    <n v="0"/>
  </r>
  <r>
    <s v="ORD-100085"/>
    <x v="79"/>
    <x v="8"/>
    <x v="2"/>
    <n v="5"/>
    <n v="59.99"/>
    <x v="4"/>
    <n v="47.99"/>
    <n v="239.95"/>
    <x v="0"/>
    <x v="0"/>
    <x v="3"/>
    <x v="7"/>
    <s v="Castilla y León"/>
    <x v="1"/>
    <n v="5"/>
    <n v="299.95"/>
    <n v="60"/>
  </r>
  <r>
    <s v="ORD-100086"/>
    <x v="80"/>
    <x v="24"/>
    <x v="3"/>
    <n v="1"/>
    <n v="89.99"/>
    <x v="4"/>
    <n v="71.989999999999995"/>
    <n v="71.989999999999995"/>
    <x v="0"/>
    <x v="0"/>
    <x v="4"/>
    <x v="12"/>
    <s v="Región de Murcia"/>
    <x v="1"/>
    <n v="4"/>
    <n v="89.99"/>
    <n v="18"/>
  </r>
  <r>
    <s v="ORD-100087"/>
    <x v="81"/>
    <x v="11"/>
    <x v="0"/>
    <n v="4"/>
    <n v="349.99"/>
    <x v="1"/>
    <n v="349.99"/>
    <n v="1399.96"/>
    <x v="1"/>
    <x v="0"/>
    <x v="2"/>
    <x v="9"/>
    <s v="Asturias"/>
    <x v="1"/>
    <m/>
    <n v="1399.96"/>
    <n v="0"/>
  </r>
  <r>
    <s v="ORD-100088"/>
    <x v="68"/>
    <x v="18"/>
    <x v="2"/>
    <n v="4"/>
    <n v="99.99"/>
    <x v="2"/>
    <n v="94.99"/>
    <n v="379.96"/>
    <x v="0"/>
    <x v="1"/>
    <x v="0"/>
    <x v="10"/>
    <s v="Cantabria"/>
    <x v="1"/>
    <n v="2"/>
    <n v="399.96"/>
    <n v="20"/>
  </r>
  <r>
    <s v="ORD-100089"/>
    <x v="82"/>
    <x v="7"/>
    <x v="3"/>
    <n v="4"/>
    <n v="19.989999999999998"/>
    <x v="1"/>
    <n v="19.989999999999998"/>
    <n v="79.959999999999994"/>
    <x v="1"/>
    <x v="1"/>
    <x v="3"/>
    <x v="1"/>
    <s v="Comunitat Valenciana"/>
    <x v="1"/>
    <m/>
    <n v="79.959999999999994"/>
    <n v="0"/>
  </r>
  <r>
    <s v="ORD-100090"/>
    <x v="83"/>
    <x v="16"/>
    <x v="1"/>
    <n v="3"/>
    <n v="79.989999999999995"/>
    <x v="1"/>
    <n v="79.989999999999995"/>
    <n v="239.97"/>
    <x v="0"/>
    <x v="2"/>
    <x v="0"/>
    <x v="14"/>
    <s v="Aragón"/>
    <x v="0"/>
    <n v="5"/>
    <n v="239.96999999999997"/>
    <n v="0"/>
  </r>
  <r>
    <s v="ORD-100091"/>
    <x v="84"/>
    <x v="23"/>
    <x v="4"/>
    <n v="3"/>
    <n v="24.99"/>
    <x v="3"/>
    <n v="22.49"/>
    <n v="67.47"/>
    <x v="0"/>
    <x v="0"/>
    <x v="1"/>
    <x v="0"/>
    <s v="Andalucía"/>
    <x v="0"/>
    <n v="4"/>
    <n v="74.97"/>
    <n v="7.5"/>
  </r>
  <r>
    <s v="ORD-100092"/>
    <x v="85"/>
    <x v="18"/>
    <x v="2"/>
    <n v="2"/>
    <n v="99.99"/>
    <x v="0"/>
    <n v="84.99"/>
    <n v="169.98"/>
    <x v="0"/>
    <x v="1"/>
    <x v="1"/>
    <x v="10"/>
    <s v="Cantabria"/>
    <x v="1"/>
    <n v="1"/>
    <n v="199.98"/>
    <n v="30"/>
  </r>
  <r>
    <s v="ORD-100093"/>
    <x v="86"/>
    <x v="28"/>
    <x v="0"/>
    <n v="4"/>
    <n v="499.99"/>
    <x v="0"/>
    <n v="424.99"/>
    <n v="1699.96"/>
    <x v="0"/>
    <x v="1"/>
    <x v="3"/>
    <x v="9"/>
    <s v="Asturias"/>
    <x v="1"/>
    <n v="5"/>
    <n v="1999.96"/>
    <n v="300"/>
  </r>
  <r>
    <s v="ORD-100094"/>
    <x v="87"/>
    <x v="3"/>
    <x v="3"/>
    <n v="5"/>
    <n v="34.99"/>
    <x v="1"/>
    <n v="34.99"/>
    <n v="174.95"/>
    <x v="0"/>
    <x v="0"/>
    <x v="0"/>
    <x v="12"/>
    <s v="Región de Murcia"/>
    <x v="1"/>
    <n v="1"/>
    <n v="174.95000000000002"/>
    <n v="0"/>
  </r>
  <r>
    <s v="ORD-100095"/>
    <x v="88"/>
    <x v="24"/>
    <x v="3"/>
    <n v="1"/>
    <n v="89.99"/>
    <x v="0"/>
    <n v="76.489999999999995"/>
    <n v="76.489999999999995"/>
    <x v="0"/>
    <x v="1"/>
    <x v="0"/>
    <x v="2"/>
    <s v="Navarra"/>
    <x v="1"/>
    <n v="4"/>
    <n v="89.99"/>
    <n v="13.5"/>
  </r>
  <r>
    <s v="ORD-100096"/>
    <x v="42"/>
    <x v="10"/>
    <x v="2"/>
    <n v="5"/>
    <n v="69.989999999999995"/>
    <x v="4"/>
    <n v="55.99"/>
    <n v="279.95"/>
    <x v="0"/>
    <x v="3"/>
    <x v="2"/>
    <x v="5"/>
    <s v="País Vasco"/>
    <x v="0"/>
    <n v="3"/>
    <n v="349.95"/>
    <n v="70"/>
  </r>
  <r>
    <s v="ORD-100097"/>
    <x v="89"/>
    <x v="15"/>
    <x v="3"/>
    <n v="2"/>
    <n v="69.989999999999995"/>
    <x v="1"/>
    <n v="69.989999999999995"/>
    <n v="139.97999999999999"/>
    <x v="0"/>
    <x v="0"/>
    <x v="0"/>
    <x v="7"/>
    <s v="Castilla y León"/>
    <x v="1"/>
    <n v="1"/>
    <n v="139.97999999999999"/>
    <n v="0"/>
  </r>
  <r>
    <s v="ORD-100098"/>
    <x v="90"/>
    <x v="13"/>
    <x v="3"/>
    <n v="2"/>
    <n v="49.99"/>
    <x v="0"/>
    <n v="42.49"/>
    <n v="84.98"/>
    <x v="2"/>
    <x v="0"/>
    <x v="0"/>
    <x v="12"/>
    <s v="Región de Murcia"/>
    <x v="1"/>
    <m/>
    <n v="99.98"/>
    <n v="15"/>
  </r>
  <r>
    <s v="ORD-100099"/>
    <x v="91"/>
    <x v="16"/>
    <x v="1"/>
    <n v="4"/>
    <n v="79.989999999999995"/>
    <x v="2"/>
    <n v="75.989999999999995"/>
    <n v="303.95999999999998"/>
    <x v="0"/>
    <x v="0"/>
    <x v="2"/>
    <x v="3"/>
    <s v="Comunidad de Madrid"/>
    <x v="2"/>
    <n v="1"/>
    <n v="319.95999999999998"/>
    <n v="16"/>
  </r>
  <r>
    <s v="ORD-100100"/>
    <x v="92"/>
    <x v="20"/>
    <x v="3"/>
    <n v="4"/>
    <n v="39.99"/>
    <x v="1"/>
    <n v="39.99"/>
    <n v="159.96"/>
    <x v="0"/>
    <x v="0"/>
    <x v="0"/>
    <x v="9"/>
    <s v="Asturias"/>
    <x v="1"/>
    <n v="5"/>
    <n v="159.96"/>
    <n v="0"/>
  </r>
  <r>
    <s v="ORD-100101"/>
    <x v="93"/>
    <x v="6"/>
    <x v="0"/>
    <n v="2"/>
    <n v="89.99"/>
    <x v="1"/>
    <n v="89.99"/>
    <n v="179.98"/>
    <x v="0"/>
    <x v="1"/>
    <x v="1"/>
    <x v="13"/>
    <s v="Andalucía"/>
    <x v="0"/>
    <n v="2"/>
    <n v="179.98"/>
    <n v="0"/>
  </r>
  <r>
    <s v="ORD-100102"/>
    <x v="94"/>
    <x v="20"/>
    <x v="3"/>
    <n v="4"/>
    <n v="39.99"/>
    <x v="2"/>
    <n v="37.99"/>
    <n v="151.96"/>
    <x v="0"/>
    <x v="3"/>
    <x v="0"/>
    <x v="1"/>
    <s v="Comunitat Valenciana"/>
    <x v="1"/>
    <n v="5"/>
    <n v="159.96"/>
    <n v="8"/>
  </r>
  <r>
    <s v="ORD-100103"/>
    <x v="95"/>
    <x v="27"/>
    <x v="1"/>
    <n v="1"/>
    <n v="49.99"/>
    <x v="4"/>
    <n v="39.99"/>
    <n v="39.99"/>
    <x v="0"/>
    <x v="0"/>
    <x v="0"/>
    <x v="0"/>
    <s v="Andalucía"/>
    <x v="0"/>
    <n v="2"/>
    <n v="49.99"/>
    <n v="10"/>
  </r>
  <r>
    <s v="ORD-100104"/>
    <x v="96"/>
    <x v="5"/>
    <x v="1"/>
    <n v="1"/>
    <n v="149.99"/>
    <x v="1"/>
    <n v="149.99"/>
    <n v="149.99"/>
    <x v="0"/>
    <x v="1"/>
    <x v="3"/>
    <x v="12"/>
    <s v="Región de Murcia"/>
    <x v="1"/>
    <n v="1"/>
    <n v="149.99"/>
    <n v="0"/>
  </r>
  <r>
    <s v="ORD-100105"/>
    <x v="97"/>
    <x v="13"/>
    <x v="3"/>
    <n v="3"/>
    <n v="49.99"/>
    <x v="0"/>
    <n v="42.49"/>
    <n v="127.47"/>
    <x v="2"/>
    <x v="1"/>
    <x v="4"/>
    <x v="11"/>
    <s v="Cataluña"/>
    <x v="2"/>
    <m/>
    <n v="149.97"/>
    <n v="22.5"/>
  </r>
  <r>
    <s v="ORD-100106"/>
    <x v="98"/>
    <x v="1"/>
    <x v="1"/>
    <n v="2"/>
    <n v="399.99"/>
    <x v="2"/>
    <n v="379.99"/>
    <n v="759.98"/>
    <x v="0"/>
    <x v="1"/>
    <x v="4"/>
    <x v="0"/>
    <s v="Andalucía"/>
    <x v="0"/>
    <n v="2"/>
    <n v="799.98"/>
    <n v="40"/>
  </r>
  <r>
    <s v="ORD-100107"/>
    <x v="99"/>
    <x v="17"/>
    <x v="0"/>
    <n v="2"/>
    <n v="899.99"/>
    <x v="4"/>
    <n v="719.99"/>
    <n v="1439.98"/>
    <x v="0"/>
    <x v="2"/>
    <x v="4"/>
    <x v="10"/>
    <s v="Cantabria"/>
    <x v="1"/>
    <n v="4"/>
    <n v="1799.98"/>
    <n v="360"/>
  </r>
  <r>
    <s v="ORD-100108"/>
    <x v="100"/>
    <x v="26"/>
    <x v="1"/>
    <n v="3"/>
    <n v="599.99"/>
    <x v="0"/>
    <n v="509.99"/>
    <n v="1529.97"/>
    <x v="0"/>
    <x v="1"/>
    <x v="3"/>
    <x v="5"/>
    <s v="País Vasco"/>
    <x v="0"/>
    <n v="1"/>
    <n v="1799.97"/>
    <n v="270"/>
  </r>
  <r>
    <s v="ORD-100109"/>
    <x v="101"/>
    <x v="17"/>
    <x v="0"/>
    <n v="4"/>
    <n v="899.99"/>
    <x v="0"/>
    <n v="764.99"/>
    <n v="3059.96"/>
    <x v="0"/>
    <x v="0"/>
    <x v="0"/>
    <x v="5"/>
    <s v="País Vasco"/>
    <x v="0"/>
    <n v="5"/>
    <n v="3599.96"/>
    <n v="540"/>
  </r>
  <r>
    <s v="ORD-100110"/>
    <x v="102"/>
    <x v="19"/>
    <x v="0"/>
    <n v="3"/>
    <n v="1199.99"/>
    <x v="3"/>
    <n v="1079.99"/>
    <n v="3239.97"/>
    <x v="0"/>
    <x v="0"/>
    <x v="3"/>
    <x v="2"/>
    <s v="Navarra"/>
    <x v="1"/>
    <n v="4"/>
    <n v="3599.9700000000003"/>
    <n v="360.00000000000045"/>
  </r>
  <r>
    <s v="ORD-100111"/>
    <x v="103"/>
    <x v="29"/>
    <x v="0"/>
    <n v="5"/>
    <n v="129.99"/>
    <x v="2"/>
    <n v="123.49"/>
    <n v="617.45000000000005"/>
    <x v="1"/>
    <x v="3"/>
    <x v="3"/>
    <x v="12"/>
    <s v="Región de Murcia"/>
    <x v="1"/>
    <m/>
    <n v="649.95000000000005"/>
    <n v="32.5"/>
  </r>
  <r>
    <s v="ORD-100112"/>
    <x v="104"/>
    <x v="24"/>
    <x v="3"/>
    <n v="3"/>
    <n v="89.99"/>
    <x v="0"/>
    <n v="76.489999999999995"/>
    <n v="229.47"/>
    <x v="0"/>
    <x v="0"/>
    <x v="1"/>
    <x v="6"/>
    <s v="Comunitat Valenciana"/>
    <x v="0"/>
    <n v="3"/>
    <n v="269.96999999999997"/>
    <n v="40.499999999999972"/>
  </r>
  <r>
    <s v="ORD-100113"/>
    <x v="105"/>
    <x v="20"/>
    <x v="3"/>
    <n v="5"/>
    <n v="39.99"/>
    <x v="1"/>
    <n v="39.99"/>
    <n v="199.95"/>
    <x v="0"/>
    <x v="0"/>
    <x v="0"/>
    <x v="14"/>
    <s v="Aragón"/>
    <x v="0"/>
    <n v="4"/>
    <n v="199.95000000000002"/>
    <n v="0"/>
  </r>
  <r>
    <s v="ORD-100114"/>
    <x v="106"/>
    <x v="25"/>
    <x v="4"/>
    <n v="1"/>
    <n v="34.99"/>
    <x v="0"/>
    <n v="29.74"/>
    <n v="29.74"/>
    <x v="2"/>
    <x v="0"/>
    <x v="0"/>
    <x v="12"/>
    <s v="Región de Murcia"/>
    <x v="1"/>
    <m/>
    <n v="34.99"/>
    <n v="5.2500000000000036"/>
  </r>
  <r>
    <s v="ORD-100115"/>
    <x v="107"/>
    <x v="27"/>
    <x v="1"/>
    <n v="4"/>
    <n v="49.99"/>
    <x v="0"/>
    <n v="42.49"/>
    <n v="169.96"/>
    <x v="0"/>
    <x v="0"/>
    <x v="3"/>
    <x v="3"/>
    <s v="Comunidad de Madrid"/>
    <x v="2"/>
    <n v="3"/>
    <n v="199.96"/>
    <n v="30"/>
  </r>
  <r>
    <s v="ORD-100116"/>
    <x v="108"/>
    <x v="23"/>
    <x v="4"/>
    <n v="4"/>
    <n v="24.99"/>
    <x v="1"/>
    <n v="24.99"/>
    <n v="99.96"/>
    <x v="0"/>
    <x v="1"/>
    <x v="0"/>
    <x v="9"/>
    <s v="Asturias"/>
    <x v="1"/>
    <n v="2"/>
    <n v="99.96"/>
    <n v="0"/>
  </r>
  <r>
    <s v="ORD-100117"/>
    <x v="109"/>
    <x v="5"/>
    <x v="1"/>
    <n v="1"/>
    <n v="149.99"/>
    <x v="3"/>
    <n v="134.99"/>
    <n v="134.99"/>
    <x v="0"/>
    <x v="3"/>
    <x v="4"/>
    <x v="0"/>
    <s v="Andalucía"/>
    <x v="0"/>
    <n v="4"/>
    <n v="149.99"/>
    <n v="15"/>
  </r>
  <r>
    <s v="ORD-100118"/>
    <x v="110"/>
    <x v="9"/>
    <x v="2"/>
    <n v="2"/>
    <n v="29.99"/>
    <x v="2"/>
    <n v="28.49"/>
    <n v="56.98"/>
    <x v="3"/>
    <x v="1"/>
    <x v="0"/>
    <x v="5"/>
    <s v="País Vasco"/>
    <x v="0"/>
    <m/>
    <n v="59.98"/>
    <n v="3"/>
  </r>
  <r>
    <s v="ORD-100119"/>
    <x v="111"/>
    <x v="16"/>
    <x v="1"/>
    <n v="2"/>
    <n v="79.989999999999995"/>
    <x v="2"/>
    <n v="75.989999999999995"/>
    <n v="151.97999999999999"/>
    <x v="0"/>
    <x v="0"/>
    <x v="3"/>
    <x v="13"/>
    <s v="Andalucía"/>
    <x v="0"/>
    <n v="2"/>
    <n v="159.97999999999999"/>
    <n v="8"/>
  </r>
  <r>
    <s v="ORD-100120"/>
    <x v="112"/>
    <x v="7"/>
    <x v="3"/>
    <n v="4"/>
    <n v="19.989999999999998"/>
    <x v="1"/>
    <n v="19.989999999999998"/>
    <n v="79.959999999999994"/>
    <x v="3"/>
    <x v="0"/>
    <x v="0"/>
    <x v="7"/>
    <s v="Castilla y León"/>
    <x v="1"/>
    <m/>
    <n v="79.959999999999994"/>
    <n v="0"/>
  </r>
  <r>
    <s v="ORD-100121"/>
    <x v="113"/>
    <x v="25"/>
    <x v="4"/>
    <n v="5"/>
    <n v="34.99"/>
    <x v="3"/>
    <n v="31.49"/>
    <n v="157.44999999999999"/>
    <x v="4"/>
    <x v="2"/>
    <x v="3"/>
    <x v="12"/>
    <s v="Región de Murcia"/>
    <x v="1"/>
    <m/>
    <n v="174.95000000000002"/>
    <n v="17.500000000000028"/>
  </r>
  <r>
    <s v="ORD-100122"/>
    <x v="114"/>
    <x v="15"/>
    <x v="3"/>
    <n v="3"/>
    <n v="69.989999999999995"/>
    <x v="3"/>
    <n v="62.99"/>
    <n v="188.97"/>
    <x v="1"/>
    <x v="1"/>
    <x v="0"/>
    <x v="13"/>
    <s v="Andalucía"/>
    <x v="0"/>
    <m/>
    <n v="209.96999999999997"/>
    <n v="20.999999999999972"/>
  </r>
  <r>
    <s v="ORD-100123"/>
    <x v="115"/>
    <x v="2"/>
    <x v="2"/>
    <n v="2"/>
    <n v="299.99"/>
    <x v="3"/>
    <n v="269.99"/>
    <n v="539.98"/>
    <x v="0"/>
    <x v="2"/>
    <x v="0"/>
    <x v="8"/>
    <s v="La Rioja"/>
    <x v="1"/>
    <n v="4"/>
    <n v="599.98"/>
    <n v="60"/>
  </r>
  <r>
    <s v="ORD-100124"/>
    <x v="116"/>
    <x v="22"/>
    <x v="4"/>
    <n v="4"/>
    <n v="44.99"/>
    <x v="2"/>
    <n v="42.74"/>
    <n v="170.96"/>
    <x v="4"/>
    <x v="2"/>
    <x v="4"/>
    <x v="2"/>
    <s v="Navarra"/>
    <x v="1"/>
    <m/>
    <n v="179.96"/>
    <n v="9"/>
  </r>
  <r>
    <s v="ORD-100125"/>
    <x v="117"/>
    <x v="17"/>
    <x v="0"/>
    <n v="2"/>
    <n v="899.99"/>
    <x v="3"/>
    <n v="809.99"/>
    <n v="1619.98"/>
    <x v="4"/>
    <x v="2"/>
    <x v="2"/>
    <x v="14"/>
    <s v="Aragón"/>
    <x v="0"/>
    <m/>
    <n v="1799.98"/>
    <n v="180"/>
  </r>
  <r>
    <s v="ORD-100126"/>
    <x v="118"/>
    <x v="0"/>
    <x v="0"/>
    <n v="5"/>
    <n v="45.99"/>
    <x v="2"/>
    <n v="43.69"/>
    <n v="218.45"/>
    <x v="0"/>
    <x v="0"/>
    <x v="1"/>
    <x v="6"/>
    <s v="Comunitat Valenciana"/>
    <x v="0"/>
    <n v="2"/>
    <n v="229.95000000000002"/>
    <n v="11.500000000000028"/>
  </r>
  <r>
    <s v="ORD-100127"/>
    <x v="119"/>
    <x v="16"/>
    <x v="1"/>
    <n v="3"/>
    <n v="79.989999999999995"/>
    <x v="1"/>
    <n v="79.989999999999995"/>
    <n v="239.97"/>
    <x v="1"/>
    <x v="1"/>
    <x v="2"/>
    <x v="13"/>
    <s v="Andalucía"/>
    <x v="0"/>
    <m/>
    <n v="239.96999999999997"/>
    <n v="0"/>
  </r>
  <r>
    <s v="ORD-100128"/>
    <x v="120"/>
    <x v="4"/>
    <x v="4"/>
    <n v="5"/>
    <n v="349.99"/>
    <x v="2"/>
    <n v="332.49"/>
    <n v="1662.45"/>
    <x v="3"/>
    <x v="1"/>
    <x v="1"/>
    <x v="9"/>
    <s v="Asturias"/>
    <x v="1"/>
    <m/>
    <n v="1749.95"/>
    <n v="87.5"/>
  </r>
  <r>
    <s v="ORD-100129"/>
    <x v="121"/>
    <x v="17"/>
    <x v="0"/>
    <n v="5"/>
    <n v="899.99"/>
    <x v="1"/>
    <n v="899.99"/>
    <n v="4499.95"/>
    <x v="0"/>
    <x v="2"/>
    <x v="4"/>
    <x v="9"/>
    <s v="Asturias"/>
    <x v="1"/>
    <n v="1"/>
    <n v="4499.95"/>
    <n v="0"/>
  </r>
  <r>
    <s v="ORD-100130"/>
    <x v="122"/>
    <x v="0"/>
    <x v="0"/>
    <n v="1"/>
    <n v="45.99"/>
    <x v="2"/>
    <n v="43.69"/>
    <n v="43.69"/>
    <x v="0"/>
    <x v="2"/>
    <x v="0"/>
    <x v="5"/>
    <s v="País Vasco"/>
    <x v="0"/>
    <n v="1"/>
    <n v="45.99"/>
    <n v="2.3000000000000043"/>
  </r>
  <r>
    <s v="ORD-100131"/>
    <x v="123"/>
    <x v="15"/>
    <x v="3"/>
    <n v="3"/>
    <n v="69.989999999999995"/>
    <x v="2"/>
    <n v="66.489999999999995"/>
    <n v="199.47"/>
    <x v="0"/>
    <x v="0"/>
    <x v="1"/>
    <x v="7"/>
    <s v="Castilla y León"/>
    <x v="1"/>
    <n v="2"/>
    <n v="209.96999999999997"/>
    <n v="10.499999999999972"/>
  </r>
  <r>
    <s v="ORD-100132"/>
    <x v="124"/>
    <x v="29"/>
    <x v="0"/>
    <n v="1"/>
    <n v="129.99"/>
    <x v="3"/>
    <n v="116.99"/>
    <n v="116.99"/>
    <x v="2"/>
    <x v="1"/>
    <x v="3"/>
    <x v="1"/>
    <s v="Comunitat Valenciana"/>
    <x v="1"/>
    <m/>
    <n v="129.99"/>
    <n v="13.000000000000014"/>
  </r>
  <r>
    <s v="ORD-100133"/>
    <x v="125"/>
    <x v="11"/>
    <x v="0"/>
    <n v="2"/>
    <n v="349.99"/>
    <x v="2"/>
    <n v="332.49"/>
    <n v="664.98"/>
    <x v="1"/>
    <x v="0"/>
    <x v="0"/>
    <x v="12"/>
    <s v="Región de Murcia"/>
    <x v="1"/>
    <m/>
    <n v="699.98"/>
    <n v="35"/>
  </r>
  <r>
    <s v="ORD-100134"/>
    <x v="57"/>
    <x v="23"/>
    <x v="4"/>
    <n v="3"/>
    <n v="24.99"/>
    <x v="0"/>
    <n v="21.24"/>
    <n v="63.72"/>
    <x v="0"/>
    <x v="0"/>
    <x v="0"/>
    <x v="11"/>
    <s v="Cataluña"/>
    <x v="2"/>
    <n v="5"/>
    <n v="74.97"/>
    <n v="11.25"/>
  </r>
  <r>
    <s v="ORD-100135"/>
    <x v="126"/>
    <x v="9"/>
    <x v="2"/>
    <n v="4"/>
    <n v="29.99"/>
    <x v="0"/>
    <n v="25.49"/>
    <n v="101.96"/>
    <x v="0"/>
    <x v="0"/>
    <x v="4"/>
    <x v="8"/>
    <s v="La Rioja"/>
    <x v="1"/>
    <n v="4"/>
    <n v="119.96"/>
    <n v="18"/>
  </r>
  <r>
    <s v="ORD-100136"/>
    <x v="62"/>
    <x v="28"/>
    <x v="0"/>
    <n v="4"/>
    <n v="499.99"/>
    <x v="3"/>
    <n v="449.99"/>
    <n v="1799.96"/>
    <x v="0"/>
    <x v="3"/>
    <x v="0"/>
    <x v="5"/>
    <s v="País Vasco"/>
    <x v="0"/>
    <n v="4"/>
    <n v="1999.96"/>
    <n v="200"/>
  </r>
  <r>
    <s v="ORD-100137"/>
    <x v="127"/>
    <x v="19"/>
    <x v="0"/>
    <n v="5"/>
    <n v="1199.99"/>
    <x v="4"/>
    <n v="959.99"/>
    <n v="4799.95"/>
    <x v="1"/>
    <x v="3"/>
    <x v="4"/>
    <x v="10"/>
    <s v="Cantabria"/>
    <x v="1"/>
    <m/>
    <n v="5999.95"/>
    <n v="1200"/>
  </r>
  <r>
    <s v="ORD-100138"/>
    <x v="128"/>
    <x v="25"/>
    <x v="4"/>
    <n v="3"/>
    <n v="34.99"/>
    <x v="4"/>
    <n v="27.99"/>
    <n v="83.97"/>
    <x v="1"/>
    <x v="2"/>
    <x v="0"/>
    <x v="1"/>
    <s v="Comunitat Valenciana"/>
    <x v="1"/>
    <m/>
    <n v="104.97"/>
    <n v="21"/>
  </r>
  <r>
    <s v="ORD-100139"/>
    <x v="129"/>
    <x v="27"/>
    <x v="1"/>
    <n v="3"/>
    <n v="49.99"/>
    <x v="0"/>
    <n v="42.49"/>
    <n v="127.47"/>
    <x v="1"/>
    <x v="1"/>
    <x v="2"/>
    <x v="2"/>
    <s v="Navarra"/>
    <x v="1"/>
    <m/>
    <n v="149.97"/>
    <n v="22.5"/>
  </r>
  <r>
    <s v="ORD-100140"/>
    <x v="130"/>
    <x v="0"/>
    <x v="0"/>
    <n v="1"/>
    <n v="45.99"/>
    <x v="1"/>
    <n v="45.99"/>
    <n v="45.99"/>
    <x v="1"/>
    <x v="1"/>
    <x v="1"/>
    <x v="3"/>
    <s v="Comunidad de Madrid"/>
    <x v="2"/>
    <m/>
    <n v="45.99"/>
    <n v="0"/>
  </r>
  <r>
    <s v="ORD-100141"/>
    <x v="131"/>
    <x v="22"/>
    <x v="4"/>
    <n v="3"/>
    <n v="44.99"/>
    <x v="1"/>
    <n v="44.99"/>
    <n v="134.97"/>
    <x v="1"/>
    <x v="0"/>
    <x v="1"/>
    <x v="6"/>
    <s v="Comunitat Valenciana"/>
    <x v="0"/>
    <m/>
    <n v="134.97"/>
    <n v="0"/>
  </r>
  <r>
    <s v="ORD-100142"/>
    <x v="132"/>
    <x v="14"/>
    <x v="1"/>
    <n v="5"/>
    <n v="249.99"/>
    <x v="1"/>
    <n v="249.99"/>
    <n v="1249.95"/>
    <x v="2"/>
    <x v="2"/>
    <x v="4"/>
    <x v="5"/>
    <s v="País Vasco"/>
    <x v="0"/>
    <m/>
    <n v="1249.95"/>
    <n v="0"/>
  </r>
  <r>
    <s v="ORD-100143"/>
    <x v="133"/>
    <x v="10"/>
    <x v="2"/>
    <n v="3"/>
    <n v="69.989999999999995"/>
    <x v="4"/>
    <n v="55.99"/>
    <n v="167.97"/>
    <x v="0"/>
    <x v="0"/>
    <x v="4"/>
    <x v="11"/>
    <s v="Cataluña"/>
    <x v="2"/>
    <n v="4"/>
    <n v="209.96999999999997"/>
    <n v="41.999999999999972"/>
  </r>
  <r>
    <s v="ORD-100144"/>
    <x v="134"/>
    <x v="15"/>
    <x v="3"/>
    <n v="1"/>
    <n v="69.989999999999995"/>
    <x v="4"/>
    <n v="55.99"/>
    <n v="55.99"/>
    <x v="0"/>
    <x v="1"/>
    <x v="3"/>
    <x v="5"/>
    <s v="País Vasco"/>
    <x v="0"/>
    <n v="3"/>
    <n v="69.989999999999995"/>
    <n v="13.999999999999993"/>
  </r>
  <r>
    <s v="ORD-100145"/>
    <x v="135"/>
    <x v="20"/>
    <x v="3"/>
    <n v="3"/>
    <n v="39.99"/>
    <x v="1"/>
    <n v="39.99"/>
    <n v="119.97"/>
    <x v="1"/>
    <x v="0"/>
    <x v="2"/>
    <x v="12"/>
    <s v="Región de Murcia"/>
    <x v="1"/>
    <m/>
    <n v="119.97"/>
    <n v="0"/>
  </r>
  <r>
    <s v="ORD-100146"/>
    <x v="136"/>
    <x v="24"/>
    <x v="3"/>
    <n v="5"/>
    <n v="89.99"/>
    <x v="1"/>
    <n v="89.99"/>
    <n v="449.95"/>
    <x v="1"/>
    <x v="2"/>
    <x v="4"/>
    <x v="9"/>
    <s v="Asturias"/>
    <x v="1"/>
    <m/>
    <n v="449.95"/>
    <n v="0"/>
  </r>
  <r>
    <s v="ORD-100147"/>
    <x v="137"/>
    <x v="9"/>
    <x v="2"/>
    <n v="4"/>
    <n v="29.99"/>
    <x v="1"/>
    <n v="29.99"/>
    <n v="119.96"/>
    <x v="0"/>
    <x v="0"/>
    <x v="3"/>
    <x v="3"/>
    <s v="Comunidad de Madrid"/>
    <x v="2"/>
    <n v="1"/>
    <n v="119.96"/>
    <n v="0"/>
  </r>
  <r>
    <s v="ORD-100148"/>
    <x v="59"/>
    <x v="23"/>
    <x v="4"/>
    <n v="5"/>
    <n v="24.99"/>
    <x v="1"/>
    <n v="24.99"/>
    <n v="124.95"/>
    <x v="0"/>
    <x v="1"/>
    <x v="1"/>
    <x v="14"/>
    <s v="Aragón"/>
    <x v="0"/>
    <n v="5"/>
    <n v="124.94999999999999"/>
    <n v="0"/>
  </r>
  <r>
    <s v="ORD-100149"/>
    <x v="138"/>
    <x v="1"/>
    <x v="1"/>
    <n v="2"/>
    <n v="399.99"/>
    <x v="2"/>
    <n v="379.99"/>
    <n v="759.98"/>
    <x v="1"/>
    <x v="1"/>
    <x v="3"/>
    <x v="8"/>
    <s v="La Rioja"/>
    <x v="1"/>
    <m/>
    <n v="799.98"/>
    <n v="40"/>
  </r>
  <r>
    <s v="ORD-100150"/>
    <x v="139"/>
    <x v="17"/>
    <x v="0"/>
    <n v="3"/>
    <n v="899.99"/>
    <x v="1"/>
    <n v="899.99"/>
    <n v="2699.97"/>
    <x v="0"/>
    <x v="2"/>
    <x v="0"/>
    <x v="0"/>
    <s v="Andalucía"/>
    <x v="0"/>
    <n v="3"/>
    <n v="2699.9700000000003"/>
    <n v="0"/>
  </r>
  <r>
    <s v="ORD-100151"/>
    <x v="140"/>
    <x v="23"/>
    <x v="4"/>
    <n v="3"/>
    <n v="24.99"/>
    <x v="1"/>
    <n v="24.99"/>
    <n v="74.97"/>
    <x v="0"/>
    <x v="3"/>
    <x v="4"/>
    <x v="0"/>
    <s v="Andalucía"/>
    <x v="0"/>
    <n v="4"/>
    <n v="74.97"/>
    <n v="0"/>
  </r>
  <r>
    <s v="ORD-100152"/>
    <x v="141"/>
    <x v="12"/>
    <x v="2"/>
    <n v="2"/>
    <n v="189.99"/>
    <x v="0"/>
    <n v="161.49"/>
    <n v="322.98"/>
    <x v="1"/>
    <x v="0"/>
    <x v="0"/>
    <x v="3"/>
    <s v="Comunidad de Madrid"/>
    <x v="2"/>
    <m/>
    <n v="379.98"/>
    <n v="57"/>
  </r>
  <r>
    <s v="ORD-100153"/>
    <x v="142"/>
    <x v="8"/>
    <x v="2"/>
    <n v="5"/>
    <n v="59.99"/>
    <x v="1"/>
    <n v="59.99"/>
    <n v="299.95"/>
    <x v="0"/>
    <x v="1"/>
    <x v="3"/>
    <x v="2"/>
    <s v="Navarra"/>
    <x v="1"/>
    <n v="2"/>
    <n v="299.95"/>
    <n v="0"/>
  </r>
  <r>
    <s v="ORD-100154"/>
    <x v="143"/>
    <x v="18"/>
    <x v="2"/>
    <n v="2"/>
    <n v="99.99"/>
    <x v="4"/>
    <n v="79.989999999999995"/>
    <n v="159.97999999999999"/>
    <x v="3"/>
    <x v="0"/>
    <x v="4"/>
    <x v="3"/>
    <s v="Comunidad de Madrid"/>
    <x v="2"/>
    <m/>
    <n v="199.98"/>
    <n v="40"/>
  </r>
  <r>
    <s v="ORD-100155"/>
    <x v="144"/>
    <x v="5"/>
    <x v="1"/>
    <n v="3"/>
    <n v="149.99"/>
    <x v="4"/>
    <n v="119.99"/>
    <n v="359.97"/>
    <x v="0"/>
    <x v="2"/>
    <x v="0"/>
    <x v="9"/>
    <s v="Asturias"/>
    <x v="1"/>
    <n v="3"/>
    <n v="449.97"/>
    <n v="90"/>
  </r>
  <r>
    <s v="ORD-100156"/>
    <x v="145"/>
    <x v="1"/>
    <x v="1"/>
    <n v="3"/>
    <n v="399.99"/>
    <x v="1"/>
    <n v="399.99"/>
    <n v="1199.97"/>
    <x v="0"/>
    <x v="0"/>
    <x v="3"/>
    <x v="3"/>
    <s v="Comunidad de Madrid"/>
    <x v="2"/>
    <n v="1"/>
    <n v="1199.97"/>
    <n v="0"/>
  </r>
  <r>
    <s v="ORD-100157"/>
    <x v="146"/>
    <x v="16"/>
    <x v="1"/>
    <n v="4"/>
    <n v="79.989999999999995"/>
    <x v="4"/>
    <n v="63.99"/>
    <n v="255.96"/>
    <x v="0"/>
    <x v="0"/>
    <x v="3"/>
    <x v="1"/>
    <s v="Comunitat Valenciana"/>
    <x v="1"/>
    <n v="5"/>
    <n v="319.95999999999998"/>
    <n v="63.999999999999972"/>
  </r>
  <r>
    <s v="ORD-100158"/>
    <x v="147"/>
    <x v="10"/>
    <x v="2"/>
    <n v="5"/>
    <n v="69.989999999999995"/>
    <x v="1"/>
    <n v="69.989999999999995"/>
    <n v="349.95"/>
    <x v="0"/>
    <x v="0"/>
    <x v="3"/>
    <x v="3"/>
    <s v="Comunidad de Madrid"/>
    <x v="2"/>
    <n v="4"/>
    <n v="349.95"/>
    <n v="0"/>
  </r>
  <r>
    <s v="ORD-100159"/>
    <x v="148"/>
    <x v="12"/>
    <x v="2"/>
    <n v="1"/>
    <n v="189.99"/>
    <x v="2"/>
    <n v="180.49"/>
    <n v="180.49"/>
    <x v="1"/>
    <x v="0"/>
    <x v="0"/>
    <x v="12"/>
    <s v="Región de Murcia"/>
    <x v="1"/>
    <m/>
    <n v="189.99"/>
    <n v="9.5"/>
  </r>
  <r>
    <s v="ORD-100160"/>
    <x v="149"/>
    <x v="11"/>
    <x v="0"/>
    <n v="1"/>
    <n v="349.99"/>
    <x v="1"/>
    <n v="349.99"/>
    <n v="349.99"/>
    <x v="0"/>
    <x v="1"/>
    <x v="1"/>
    <x v="9"/>
    <s v="Asturias"/>
    <x v="1"/>
    <n v="4"/>
    <n v="349.99"/>
    <n v="0"/>
  </r>
  <r>
    <s v="ORD-100161"/>
    <x v="150"/>
    <x v="14"/>
    <x v="1"/>
    <n v="3"/>
    <n v="249.99"/>
    <x v="2"/>
    <n v="237.49"/>
    <n v="712.47"/>
    <x v="0"/>
    <x v="0"/>
    <x v="1"/>
    <x v="13"/>
    <s v="Andalucía"/>
    <x v="0"/>
    <n v="5"/>
    <n v="749.97"/>
    <n v="37.5"/>
  </r>
  <r>
    <s v="ORD-100162"/>
    <x v="151"/>
    <x v="3"/>
    <x v="3"/>
    <n v="4"/>
    <n v="34.99"/>
    <x v="1"/>
    <n v="34.99"/>
    <n v="139.96"/>
    <x v="0"/>
    <x v="1"/>
    <x v="3"/>
    <x v="8"/>
    <s v="La Rioja"/>
    <x v="1"/>
    <n v="1"/>
    <n v="139.96"/>
    <n v="0"/>
  </r>
  <r>
    <s v="ORD-100163"/>
    <x v="152"/>
    <x v="3"/>
    <x v="3"/>
    <n v="3"/>
    <n v="34.99"/>
    <x v="0"/>
    <n v="29.74"/>
    <n v="89.22"/>
    <x v="0"/>
    <x v="1"/>
    <x v="3"/>
    <x v="6"/>
    <s v="Comunitat Valenciana"/>
    <x v="0"/>
    <n v="1"/>
    <n v="104.97"/>
    <n v="15.75"/>
  </r>
  <r>
    <s v="ORD-100164"/>
    <x v="153"/>
    <x v="6"/>
    <x v="0"/>
    <n v="4"/>
    <n v="89.99"/>
    <x v="1"/>
    <n v="89.99"/>
    <n v="359.96"/>
    <x v="1"/>
    <x v="2"/>
    <x v="3"/>
    <x v="14"/>
    <s v="Aragón"/>
    <x v="0"/>
    <m/>
    <n v="359.96"/>
    <n v="0"/>
  </r>
  <r>
    <s v="ORD-100165"/>
    <x v="154"/>
    <x v="5"/>
    <x v="1"/>
    <n v="5"/>
    <n v="149.99"/>
    <x v="1"/>
    <n v="149.99"/>
    <n v="749.95"/>
    <x v="1"/>
    <x v="0"/>
    <x v="1"/>
    <x v="13"/>
    <s v="Andalucía"/>
    <x v="0"/>
    <m/>
    <n v="749.95"/>
    <n v="0"/>
  </r>
  <r>
    <s v="ORD-100166"/>
    <x v="155"/>
    <x v="4"/>
    <x v="4"/>
    <n v="1"/>
    <n v="349.99"/>
    <x v="1"/>
    <n v="349.99"/>
    <n v="349.99"/>
    <x v="1"/>
    <x v="0"/>
    <x v="3"/>
    <x v="14"/>
    <s v="Aragón"/>
    <x v="0"/>
    <m/>
    <n v="349.99"/>
    <n v="0"/>
  </r>
  <r>
    <s v="ORD-100167"/>
    <x v="33"/>
    <x v="12"/>
    <x v="2"/>
    <n v="4"/>
    <n v="189.99"/>
    <x v="1"/>
    <n v="189.99"/>
    <n v="759.96"/>
    <x v="2"/>
    <x v="2"/>
    <x v="3"/>
    <x v="14"/>
    <s v="Aragón"/>
    <x v="0"/>
    <m/>
    <n v="759.96"/>
    <n v="0"/>
  </r>
  <r>
    <s v="ORD-100168"/>
    <x v="156"/>
    <x v="1"/>
    <x v="1"/>
    <n v="2"/>
    <n v="399.99"/>
    <x v="4"/>
    <n v="319.99"/>
    <n v="639.98"/>
    <x v="0"/>
    <x v="3"/>
    <x v="2"/>
    <x v="7"/>
    <s v="Castilla y León"/>
    <x v="1"/>
    <n v="5"/>
    <n v="799.98"/>
    <n v="160"/>
  </r>
  <r>
    <s v="ORD-100169"/>
    <x v="157"/>
    <x v="9"/>
    <x v="2"/>
    <n v="5"/>
    <n v="29.99"/>
    <x v="1"/>
    <n v="29.99"/>
    <n v="149.94999999999999"/>
    <x v="1"/>
    <x v="2"/>
    <x v="0"/>
    <x v="9"/>
    <s v="Asturias"/>
    <x v="1"/>
    <m/>
    <n v="149.94999999999999"/>
    <n v="0"/>
  </r>
  <r>
    <s v="ORD-100170"/>
    <x v="158"/>
    <x v="7"/>
    <x v="3"/>
    <n v="3"/>
    <n v="19.989999999999998"/>
    <x v="1"/>
    <n v="19.989999999999998"/>
    <n v="59.97"/>
    <x v="0"/>
    <x v="2"/>
    <x v="3"/>
    <x v="6"/>
    <s v="Comunitat Valenciana"/>
    <x v="0"/>
    <n v="4"/>
    <n v="59.97"/>
    <n v="0"/>
  </r>
  <r>
    <s v="ORD-100171"/>
    <x v="112"/>
    <x v="11"/>
    <x v="0"/>
    <n v="1"/>
    <n v="349.99"/>
    <x v="1"/>
    <n v="349.99"/>
    <n v="349.99"/>
    <x v="1"/>
    <x v="0"/>
    <x v="3"/>
    <x v="0"/>
    <s v="Andalucía"/>
    <x v="0"/>
    <m/>
    <n v="349.99"/>
    <n v="0"/>
  </r>
  <r>
    <s v="ORD-100172"/>
    <x v="159"/>
    <x v="15"/>
    <x v="3"/>
    <n v="3"/>
    <n v="69.989999999999995"/>
    <x v="0"/>
    <n v="59.49"/>
    <n v="178.47"/>
    <x v="0"/>
    <x v="1"/>
    <x v="2"/>
    <x v="1"/>
    <s v="Comunitat Valenciana"/>
    <x v="1"/>
    <n v="2"/>
    <n v="209.96999999999997"/>
    <n v="31.499999999999972"/>
  </r>
  <r>
    <s v="ORD-100173"/>
    <x v="159"/>
    <x v="18"/>
    <x v="2"/>
    <n v="5"/>
    <n v="99.99"/>
    <x v="1"/>
    <n v="99.99"/>
    <n v="499.95"/>
    <x v="1"/>
    <x v="0"/>
    <x v="3"/>
    <x v="5"/>
    <s v="País Vasco"/>
    <x v="0"/>
    <m/>
    <n v="499.95"/>
    <n v="0"/>
  </r>
  <r>
    <s v="ORD-100174"/>
    <x v="22"/>
    <x v="26"/>
    <x v="1"/>
    <n v="4"/>
    <n v="599.99"/>
    <x v="1"/>
    <n v="599.99"/>
    <n v="2399.96"/>
    <x v="0"/>
    <x v="0"/>
    <x v="3"/>
    <x v="7"/>
    <s v="Castilla y León"/>
    <x v="1"/>
    <n v="3"/>
    <n v="2399.96"/>
    <n v="0"/>
  </r>
  <r>
    <s v="ORD-100175"/>
    <x v="160"/>
    <x v="12"/>
    <x v="2"/>
    <n v="5"/>
    <n v="189.99"/>
    <x v="2"/>
    <n v="180.49"/>
    <n v="902.45"/>
    <x v="0"/>
    <x v="0"/>
    <x v="3"/>
    <x v="5"/>
    <s v="País Vasco"/>
    <x v="0"/>
    <n v="5"/>
    <n v="949.95"/>
    <n v="47.5"/>
  </r>
  <r>
    <s v="ORD-100176"/>
    <x v="161"/>
    <x v="19"/>
    <x v="0"/>
    <n v="2"/>
    <n v="1199.99"/>
    <x v="1"/>
    <n v="1199.99"/>
    <n v="2399.98"/>
    <x v="3"/>
    <x v="0"/>
    <x v="0"/>
    <x v="2"/>
    <s v="Navarra"/>
    <x v="1"/>
    <m/>
    <n v="2399.98"/>
    <n v="0"/>
  </r>
  <r>
    <s v="ORD-100177"/>
    <x v="162"/>
    <x v="0"/>
    <x v="0"/>
    <n v="1"/>
    <n v="45.99"/>
    <x v="2"/>
    <n v="43.69"/>
    <n v="43.69"/>
    <x v="1"/>
    <x v="0"/>
    <x v="3"/>
    <x v="6"/>
    <s v="Comunitat Valenciana"/>
    <x v="0"/>
    <m/>
    <n v="45.99"/>
    <n v="2.3000000000000043"/>
  </r>
  <r>
    <s v="ORD-100178"/>
    <x v="163"/>
    <x v="14"/>
    <x v="1"/>
    <n v="5"/>
    <n v="249.99"/>
    <x v="4"/>
    <n v="199.99"/>
    <n v="999.95"/>
    <x v="1"/>
    <x v="0"/>
    <x v="2"/>
    <x v="14"/>
    <s v="Aragón"/>
    <x v="0"/>
    <m/>
    <n v="1249.95"/>
    <n v="250"/>
  </r>
  <r>
    <s v="ORD-100179"/>
    <x v="164"/>
    <x v="3"/>
    <x v="3"/>
    <n v="1"/>
    <n v="34.99"/>
    <x v="2"/>
    <n v="33.24"/>
    <n v="33.24"/>
    <x v="3"/>
    <x v="0"/>
    <x v="3"/>
    <x v="8"/>
    <s v="La Rioja"/>
    <x v="1"/>
    <m/>
    <n v="34.99"/>
    <n v="1.75"/>
  </r>
  <r>
    <s v="ORD-100180"/>
    <x v="165"/>
    <x v="2"/>
    <x v="2"/>
    <n v="4"/>
    <n v="299.99"/>
    <x v="1"/>
    <n v="299.99"/>
    <n v="1199.96"/>
    <x v="0"/>
    <x v="3"/>
    <x v="0"/>
    <x v="3"/>
    <s v="Comunidad de Madrid"/>
    <x v="2"/>
    <n v="5"/>
    <n v="1199.96"/>
    <n v="0"/>
  </r>
  <r>
    <s v="ORD-100181"/>
    <x v="166"/>
    <x v="25"/>
    <x v="4"/>
    <n v="3"/>
    <n v="34.99"/>
    <x v="1"/>
    <n v="34.99"/>
    <n v="104.97"/>
    <x v="0"/>
    <x v="0"/>
    <x v="3"/>
    <x v="11"/>
    <s v="Cataluña"/>
    <x v="2"/>
    <n v="5"/>
    <n v="104.97"/>
    <n v="0"/>
  </r>
  <r>
    <s v="ORD-100182"/>
    <x v="5"/>
    <x v="20"/>
    <x v="3"/>
    <n v="3"/>
    <n v="39.99"/>
    <x v="0"/>
    <n v="33.99"/>
    <n v="101.97"/>
    <x v="0"/>
    <x v="2"/>
    <x v="0"/>
    <x v="14"/>
    <s v="Aragón"/>
    <x v="0"/>
    <n v="1"/>
    <n v="119.97"/>
    <n v="18"/>
  </r>
  <r>
    <s v="ORD-100183"/>
    <x v="167"/>
    <x v="14"/>
    <x v="1"/>
    <n v="2"/>
    <n v="249.99"/>
    <x v="4"/>
    <n v="199.99"/>
    <n v="399.98"/>
    <x v="0"/>
    <x v="3"/>
    <x v="1"/>
    <x v="10"/>
    <s v="Cantabria"/>
    <x v="1"/>
    <n v="2"/>
    <n v="499.98"/>
    <n v="100"/>
  </r>
  <r>
    <s v="ORD-100184"/>
    <x v="168"/>
    <x v="0"/>
    <x v="0"/>
    <n v="2"/>
    <n v="45.99"/>
    <x v="1"/>
    <n v="45.99"/>
    <n v="91.98"/>
    <x v="0"/>
    <x v="0"/>
    <x v="1"/>
    <x v="1"/>
    <s v="Comunitat Valenciana"/>
    <x v="1"/>
    <n v="1"/>
    <n v="91.98"/>
    <n v="0"/>
  </r>
  <r>
    <s v="ORD-100185"/>
    <x v="169"/>
    <x v="18"/>
    <x v="2"/>
    <n v="4"/>
    <n v="99.99"/>
    <x v="2"/>
    <n v="94.99"/>
    <n v="379.96"/>
    <x v="1"/>
    <x v="1"/>
    <x v="1"/>
    <x v="2"/>
    <s v="Navarra"/>
    <x v="1"/>
    <m/>
    <n v="399.96"/>
    <n v="20"/>
  </r>
  <r>
    <s v="ORD-100186"/>
    <x v="170"/>
    <x v="9"/>
    <x v="2"/>
    <n v="5"/>
    <n v="29.99"/>
    <x v="1"/>
    <n v="29.99"/>
    <n v="149.94999999999999"/>
    <x v="2"/>
    <x v="0"/>
    <x v="3"/>
    <x v="9"/>
    <s v="Asturias"/>
    <x v="1"/>
    <m/>
    <n v="149.94999999999999"/>
    <n v="0"/>
  </r>
  <r>
    <s v="ORD-100187"/>
    <x v="171"/>
    <x v="26"/>
    <x v="1"/>
    <n v="3"/>
    <n v="599.99"/>
    <x v="4"/>
    <n v="479.99"/>
    <n v="1439.97"/>
    <x v="0"/>
    <x v="0"/>
    <x v="0"/>
    <x v="3"/>
    <s v="Comunidad de Madrid"/>
    <x v="2"/>
    <n v="4"/>
    <n v="1799.97"/>
    <n v="360"/>
  </r>
  <r>
    <s v="ORD-100188"/>
    <x v="172"/>
    <x v="17"/>
    <x v="0"/>
    <n v="1"/>
    <n v="899.99"/>
    <x v="1"/>
    <n v="899.99"/>
    <n v="899.99"/>
    <x v="2"/>
    <x v="1"/>
    <x v="4"/>
    <x v="11"/>
    <s v="Cataluña"/>
    <x v="2"/>
    <m/>
    <n v="899.99"/>
    <n v="0"/>
  </r>
  <r>
    <s v="ORD-100189"/>
    <x v="131"/>
    <x v="27"/>
    <x v="1"/>
    <n v="5"/>
    <n v="49.99"/>
    <x v="3"/>
    <n v="44.99"/>
    <n v="224.95"/>
    <x v="0"/>
    <x v="1"/>
    <x v="1"/>
    <x v="1"/>
    <s v="Comunitat Valenciana"/>
    <x v="1"/>
    <n v="1"/>
    <n v="249.95000000000002"/>
    <n v="25.000000000000028"/>
  </r>
  <r>
    <s v="ORD-100190"/>
    <x v="173"/>
    <x v="22"/>
    <x v="4"/>
    <n v="5"/>
    <n v="44.99"/>
    <x v="0"/>
    <n v="38.24"/>
    <n v="191.2"/>
    <x v="0"/>
    <x v="1"/>
    <x v="0"/>
    <x v="1"/>
    <s v="Comunitat Valenciana"/>
    <x v="1"/>
    <n v="1"/>
    <n v="224.95000000000002"/>
    <n v="33.750000000000028"/>
  </r>
  <r>
    <s v="ORD-100191"/>
    <x v="174"/>
    <x v="0"/>
    <x v="0"/>
    <n v="3"/>
    <n v="45.99"/>
    <x v="0"/>
    <n v="39.090000000000003"/>
    <n v="117.27"/>
    <x v="0"/>
    <x v="0"/>
    <x v="0"/>
    <x v="9"/>
    <s v="Asturias"/>
    <x v="1"/>
    <n v="4"/>
    <n v="137.97"/>
    <n v="20.700000000000003"/>
  </r>
  <r>
    <s v="ORD-100192"/>
    <x v="175"/>
    <x v="14"/>
    <x v="1"/>
    <n v="5"/>
    <n v="249.99"/>
    <x v="3"/>
    <n v="224.99"/>
    <n v="1124.95"/>
    <x v="0"/>
    <x v="2"/>
    <x v="3"/>
    <x v="14"/>
    <s v="Aragón"/>
    <x v="0"/>
    <n v="3"/>
    <n v="1249.95"/>
    <n v="125"/>
  </r>
  <r>
    <s v="ORD-100193"/>
    <x v="50"/>
    <x v="27"/>
    <x v="1"/>
    <n v="1"/>
    <n v="49.99"/>
    <x v="4"/>
    <n v="39.99"/>
    <n v="39.99"/>
    <x v="1"/>
    <x v="0"/>
    <x v="0"/>
    <x v="14"/>
    <s v="Aragón"/>
    <x v="0"/>
    <m/>
    <n v="49.99"/>
    <n v="10"/>
  </r>
  <r>
    <s v="ORD-100194"/>
    <x v="160"/>
    <x v="20"/>
    <x v="3"/>
    <n v="3"/>
    <n v="39.99"/>
    <x v="1"/>
    <n v="39.99"/>
    <n v="119.97"/>
    <x v="1"/>
    <x v="3"/>
    <x v="1"/>
    <x v="9"/>
    <s v="Asturias"/>
    <x v="1"/>
    <m/>
    <n v="119.97"/>
    <n v="0"/>
  </r>
  <r>
    <s v="ORD-100195"/>
    <x v="176"/>
    <x v="24"/>
    <x v="3"/>
    <n v="1"/>
    <n v="89.99"/>
    <x v="3"/>
    <n v="80.989999999999995"/>
    <n v="80.989999999999995"/>
    <x v="1"/>
    <x v="0"/>
    <x v="4"/>
    <x v="4"/>
    <s v="Castilla y León"/>
    <x v="1"/>
    <m/>
    <n v="89.99"/>
    <n v="9"/>
  </r>
  <r>
    <s v="ORD-100196"/>
    <x v="177"/>
    <x v="12"/>
    <x v="2"/>
    <n v="4"/>
    <n v="189.99"/>
    <x v="1"/>
    <n v="189.99"/>
    <n v="759.96"/>
    <x v="0"/>
    <x v="0"/>
    <x v="3"/>
    <x v="11"/>
    <s v="Cataluña"/>
    <x v="2"/>
    <n v="3"/>
    <n v="759.96"/>
    <n v="0"/>
  </r>
  <r>
    <s v="ORD-100197"/>
    <x v="178"/>
    <x v="12"/>
    <x v="2"/>
    <n v="5"/>
    <n v="189.99"/>
    <x v="1"/>
    <n v="189.99"/>
    <n v="949.95"/>
    <x v="1"/>
    <x v="1"/>
    <x v="0"/>
    <x v="13"/>
    <s v="Andalucía"/>
    <x v="0"/>
    <m/>
    <n v="949.95"/>
    <n v="0"/>
  </r>
  <r>
    <s v="ORD-100198"/>
    <x v="179"/>
    <x v="29"/>
    <x v="0"/>
    <n v="2"/>
    <n v="129.99"/>
    <x v="1"/>
    <n v="129.99"/>
    <n v="259.98"/>
    <x v="3"/>
    <x v="0"/>
    <x v="4"/>
    <x v="12"/>
    <s v="Región de Murcia"/>
    <x v="1"/>
    <m/>
    <n v="259.98"/>
    <n v="0"/>
  </r>
  <r>
    <s v="ORD-100199"/>
    <x v="33"/>
    <x v="6"/>
    <x v="0"/>
    <n v="3"/>
    <n v="89.99"/>
    <x v="4"/>
    <n v="71.989999999999995"/>
    <n v="215.97"/>
    <x v="1"/>
    <x v="2"/>
    <x v="2"/>
    <x v="7"/>
    <s v="Castilla y León"/>
    <x v="1"/>
    <m/>
    <n v="269.96999999999997"/>
    <n v="53.999999999999972"/>
  </r>
  <r>
    <s v="ORD-100200"/>
    <x v="180"/>
    <x v="17"/>
    <x v="0"/>
    <n v="3"/>
    <n v="899.99"/>
    <x v="4"/>
    <n v="719.99"/>
    <n v="2159.9699999999998"/>
    <x v="1"/>
    <x v="0"/>
    <x v="0"/>
    <x v="1"/>
    <s v="Comunitat Valenciana"/>
    <x v="1"/>
    <m/>
    <n v="2699.9700000000003"/>
    <n v="540.00000000000045"/>
  </r>
  <r>
    <s v="ORD-100201"/>
    <x v="181"/>
    <x v="18"/>
    <x v="2"/>
    <n v="5"/>
    <n v="99.99"/>
    <x v="4"/>
    <n v="79.989999999999995"/>
    <n v="399.95"/>
    <x v="3"/>
    <x v="0"/>
    <x v="3"/>
    <x v="10"/>
    <s v="Cantabria"/>
    <x v="1"/>
    <m/>
    <n v="499.95"/>
    <n v="100"/>
  </r>
  <r>
    <s v="ORD-100202"/>
    <x v="182"/>
    <x v="10"/>
    <x v="2"/>
    <n v="2"/>
    <n v="69.989999999999995"/>
    <x v="2"/>
    <n v="66.489999999999995"/>
    <n v="132.97999999999999"/>
    <x v="1"/>
    <x v="1"/>
    <x v="3"/>
    <x v="2"/>
    <s v="Navarra"/>
    <x v="1"/>
    <m/>
    <n v="139.97999999999999"/>
    <n v="7"/>
  </r>
  <r>
    <s v="ORD-100203"/>
    <x v="183"/>
    <x v="28"/>
    <x v="0"/>
    <n v="3"/>
    <n v="499.99"/>
    <x v="4"/>
    <n v="399.99"/>
    <n v="1199.97"/>
    <x v="1"/>
    <x v="2"/>
    <x v="3"/>
    <x v="4"/>
    <s v="Castilla y León"/>
    <x v="1"/>
    <m/>
    <n v="1499.97"/>
    <n v="300"/>
  </r>
  <r>
    <s v="ORD-100204"/>
    <x v="184"/>
    <x v="26"/>
    <x v="1"/>
    <n v="4"/>
    <n v="599.99"/>
    <x v="4"/>
    <n v="479.99"/>
    <n v="1919.96"/>
    <x v="0"/>
    <x v="1"/>
    <x v="3"/>
    <x v="13"/>
    <s v="Andalucía"/>
    <x v="0"/>
    <n v="2"/>
    <n v="2399.96"/>
    <n v="480"/>
  </r>
  <r>
    <s v="ORD-100205"/>
    <x v="185"/>
    <x v="8"/>
    <x v="2"/>
    <n v="5"/>
    <n v="59.99"/>
    <x v="1"/>
    <n v="59.99"/>
    <n v="299.95"/>
    <x v="2"/>
    <x v="1"/>
    <x v="2"/>
    <x v="3"/>
    <s v="Comunidad de Madrid"/>
    <x v="2"/>
    <m/>
    <n v="299.95"/>
    <n v="0"/>
  </r>
  <r>
    <s v="ORD-100206"/>
    <x v="186"/>
    <x v="22"/>
    <x v="4"/>
    <n v="1"/>
    <n v="44.99"/>
    <x v="0"/>
    <n v="38.24"/>
    <n v="38.24"/>
    <x v="2"/>
    <x v="0"/>
    <x v="0"/>
    <x v="8"/>
    <s v="La Rioja"/>
    <x v="1"/>
    <m/>
    <n v="44.99"/>
    <n v="6.75"/>
  </r>
  <r>
    <s v="ORD-100207"/>
    <x v="187"/>
    <x v="7"/>
    <x v="3"/>
    <n v="4"/>
    <n v="19.989999999999998"/>
    <x v="3"/>
    <n v="17.989999999999998"/>
    <n v="71.959999999999994"/>
    <x v="0"/>
    <x v="0"/>
    <x v="4"/>
    <x v="13"/>
    <s v="Andalucía"/>
    <x v="0"/>
    <n v="4"/>
    <n v="79.959999999999994"/>
    <n v="8"/>
  </r>
  <r>
    <s v="ORD-100208"/>
    <x v="188"/>
    <x v="22"/>
    <x v="4"/>
    <n v="1"/>
    <n v="44.99"/>
    <x v="2"/>
    <n v="42.74"/>
    <n v="42.74"/>
    <x v="0"/>
    <x v="0"/>
    <x v="3"/>
    <x v="7"/>
    <s v="Castilla y León"/>
    <x v="1"/>
    <n v="1"/>
    <n v="44.99"/>
    <n v="2.25"/>
  </r>
  <r>
    <s v="ORD-100209"/>
    <x v="189"/>
    <x v="28"/>
    <x v="0"/>
    <n v="1"/>
    <n v="499.99"/>
    <x v="1"/>
    <n v="499.99"/>
    <n v="499.99"/>
    <x v="3"/>
    <x v="1"/>
    <x v="0"/>
    <x v="8"/>
    <s v="La Rioja"/>
    <x v="1"/>
    <m/>
    <n v="499.99"/>
    <n v="0"/>
  </r>
  <r>
    <s v="ORD-100210"/>
    <x v="190"/>
    <x v="11"/>
    <x v="0"/>
    <n v="1"/>
    <n v="349.99"/>
    <x v="1"/>
    <n v="349.99"/>
    <n v="349.99"/>
    <x v="3"/>
    <x v="1"/>
    <x v="0"/>
    <x v="12"/>
    <s v="Región de Murcia"/>
    <x v="1"/>
    <m/>
    <n v="349.99"/>
    <n v="0"/>
  </r>
  <r>
    <s v="ORD-100211"/>
    <x v="116"/>
    <x v="16"/>
    <x v="1"/>
    <n v="4"/>
    <n v="79.989999999999995"/>
    <x v="3"/>
    <n v="71.989999999999995"/>
    <n v="287.95999999999998"/>
    <x v="0"/>
    <x v="0"/>
    <x v="0"/>
    <x v="11"/>
    <s v="Cataluña"/>
    <x v="2"/>
    <n v="2"/>
    <n v="319.95999999999998"/>
    <n v="32"/>
  </r>
  <r>
    <s v="ORD-100212"/>
    <x v="56"/>
    <x v="10"/>
    <x v="2"/>
    <n v="5"/>
    <n v="69.989999999999995"/>
    <x v="3"/>
    <n v="62.99"/>
    <n v="314.95"/>
    <x v="0"/>
    <x v="0"/>
    <x v="0"/>
    <x v="2"/>
    <s v="Navarra"/>
    <x v="1"/>
    <n v="1"/>
    <n v="349.95"/>
    <n v="35"/>
  </r>
  <r>
    <s v="ORD-100213"/>
    <x v="75"/>
    <x v="3"/>
    <x v="3"/>
    <n v="5"/>
    <n v="34.99"/>
    <x v="2"/>
    <n v="33.24"/>
    <n v="166.2"/>
    <x v="0"/>
    <x v="2"/>
    <x v="3"/>
    <x v="8"/>
    <s v="La Rioja"/>
    <x v="1"/>
    <n v="1"/>
    <n v="174.95000000000002"/>
    <n v="8.7500000000000284"/>
  </r>
  <r>
    <s v="ORD-100214"/>
    <x v="191"/>
    <x v="14"/>
    <x v="1"/>
    <n v="5"/>
    <n v="249.99"/>
    <x v="1"/>
    <n v="249.99"/>
    <n v="1249.95"/>
    <x v="1"/>
    <x v="0"/>
    <x v="1"/>
    <x v="5"/>
    <s v="País Vasco"/>
    <x v="0"/>
    <m/>
    <n v="1249.95"/>
    <n v="0"/>
  </r>
  <r>
    <s v="ORD-100215"/>
    <x v="192"/>
    <x v="1"/>
    <x v="1"/>
    <n v="4"/>
    <n v="399.99"/>
    <x v="1"/>
    <n v="399.99"/>
    <n v="1599.96"/>
    <x v="1"/>
    <x v="1"/>
    <x v="3"/>
    <x v="11"/>
    <s v="Cataluña"/>
    <x v="2"/>
    <m/>
    <n v="1599.96"/>
    <n v="0"/>
  </r>
  <r>
    <s v="ORD-100216"/>
    <x v="193"/>
    <x v="5"/>
    <x v="1"/>
    <n v="5"/>
    <n v="149.99"/>
    <x v="4"/>
    <n v="119.99"/>
    <n v="599.95000000000005"/>
    <x v="4"/>
    <x v="0"/>
    <x v="2"/>
    <x v="7"/>
    <s v="Castilla y León"/>
    <x v="1"/>
    <m/>
    <n v="749.95"/>
    <n v="150"/>
  </r>
  <r>
    <s v="ORD-100217"/>
    <x v="147"/>
    <x v="9"/>
    <x v="2"/>
    <n v="4"/>
    <n v="29.99"/>
    <x v="1"/>
    <n v="29.99"/>
    <n v="119.96"/>
    <x v="0"/>
    <x v="0"/>
    <x v="0"/>
    <x v="3"/>
    <s v="Comunidad de Madrid"/>
    <x v="2"/>
    <n v="2"/>
    <n v="119.96"/>
    <n v="0"/>
  </r>
  <r>
    <s v="ORD-100218"/>
    <x v="194"/>
    <x v="9"/>
    <x v="2"/>
    <n v="1"/>
    <n v="29.99"/>
    <x v="4"/>
    <n v="23.99"/>
    <n v="23.99"/>
    <x v="0"/>
    <x v="0"/>
    <x v="0"/>
    <x v="2"/>
    <s v="Navarra"/>
    <x v="1"/>
    <n v="5"/>
    <n v="29.99"/>
    <n v="6"/>
  </r>
  <r>
    <s v="ORD-100219"/>
    <x v="24"/>
    <x v="25"/>
    <x v="4"/>
    <n v="2"/>
    <n v="34.99"/>
    <x v="4"/>
    <n v="27.99"/>
    <n v="55.98"/>
    <x v="1"/>
    <x v="3"/>
    <x v="3"/>
    <x v="12"/>
    <s v="Región de Murcia"/>
    <x v="1"/>
    <m/>
    <n v="69.98"/>
    <n v="14.000000000000007"/>
  </r>
  <r>
    <s v="ORD-100220"/>
    <x v="195"/>
    <x v="8"/>
    <x v="2"/>
    <n v="2"/>
    <n v="59.99"/>
    <x v="1"/>
    <n v="59.99"/>
    <n v="119.98"/>
    <x v="1"/>
    <x v="0"/>
    <x v="0"/>
    <x v="12"/>
    <s v="Región de Murcia"/>
    <x v="1"/>
    <m/>
    <n v="119.98"/>
    <n v="0"/>
  </r>
  <r>
    <s v="ORD-100221"/>
    <x v="185"/>
    <x v="23"/>
    <x v="4"/>
    <n v="1"/>
    <n v="24.99"/>
    <x v="1"/>
    <n v="24.99"/>
    <n v="24.99"/>
    <x v="3"/>
    <x v="0"/>
    <x v="2"/>
    <x v="7"/>
    <s v="Castilla y León"/>
    <x v="1"/>
    <m/>
    <n v="24.99"/>
    <n v="0"/>
  </r>
  <r>
    <s v="ORD-100222"/>
    <x v="196"/>
    <x v="7"/>
    <x v="3"/>
    <n v="1"/>
    <n v="19.989999999999998"/>
    <x v="4"/>
    <n v="15.99"/>
    <n v="15.99"/>
    <x v="1"/>
    <x v="0"/>
    <x v="1"/>
    <x v="5"/>
    <s v="País Vasco"/>
    <x v="0"/>
    <m/>
    <n v="19.989999999999998"/>
    <n v="3.9999999999999982"/>
  </r>
  <r>
    <s v="ORD-100223"/>
    <x v="197"/>
    <x v="24"/>
    <x v="3"/>
    <n v="3"/>
    <n v="89.99"/>
    <x v="1"/>
    <n v="89.99"/>
    <n v="269.97000000000003"/>
    <x v="1"/>
    <x v="2"/>
    <x v="1"/>
    <x v="13"/>
    <s v="Andalucía"/>
    <x v="0"/>
    <m/>
    <n v="269.96999999999997"/>
    <n v="0"/>
  </r>
  <r>
    <s v="ORD-100224"/>
    <x v="198"/>
    <x v="24"/>
    <x v="3"/>
    <n v="2"/>
    <n v="89.99"/>
    <x v="2"/>
    <n v="85.49"/>
    <n v="170.98"/>
    <x v="1"/>
    <x v="2"/>
    <x v="3"/>
    <x v="14"/>
    <s v="Aragón"/>
    <x v="0"/>
    <m/>
    <n v="179.98"/>
    <n v="9"/>
  </r>
  <r>
    <s v="ORD-100225"/>
    <x v="199"/>
    <x v="10"/>
    <x v="2"/>
    <n v="4"/>
    <n v="69.989999999999995"/>
    <x v="1"/>
    <n v="69.989999999999995"/>
    <n v="279.95999999999998"/>
    <x v="0"/>
    <x v="0"/>
    <x v="0"/>
    <x v="8"/>
    <s v="La Rioja"/>
    <x v="1"/>
    <n v="1"/>
    <n v="279.95999999999998"/>
    <n v="0"/>
  </r>
  <r>
    <s v="ORD-100226"/>
    <x v="200"/>
    <x v="24"/>
    <x v="3"/>
    <n v="3"/>
    <n v="89.99"/>
    <x v="1"/>
    <n v="89.99"/>
    <n v="269.97000000000003"/>
    <x v="0"/>
    <x v="0"/>
    <x v="1"/>
    <x v="10"/>
    <s v="Cantabria"/>
    <x v="1"/>
    <n v="3"/>
    <n v="269.96999999999997"/>
    <n v="0"/>
  </r>
  <r>
    <s v="ORD-100227"/>
    <x v="201"/>
    <x v="17"/>
    <x v="0"/>
    <n v="3"/>
    <n v="899.99"/>
    <x v="3"/>
    <n v="809.99"/>
    <n v="2429.9699999999998"/>
    <x v="4"/>
    <x v="1"/>
    <x v="1"/>
    <x v="5"/>
    <s v="País Vasco"/>
    <x v="0"/>
    <m/>
    <n v="2699.9700000000003"/>
    <n v="270.00000000000045"/>
  </r>
  <r>
    <s v="ORD-100228"/>
    <x v="202"/>
    <x v="6"/>
    <x v="0"/>
    <n v="4"/>
    <n v="89.99"/>
    <x v="1"/>
    <n v="89.99"/>
    <n v="359.96"/>
    <x v="0"/>
    <x v="1"/>
    <x v="4"/>
    <x v="10"/>
    <s v="Cantabria"/>
    <x v="1"/>
    <n v="2"/>
    <n v="359.96"/>
    <n v="0"/>
  </r>
  <r>
    <s v="ORD-100229"/>
    <x v="149"/>
    <x v="12"/>
    <x v="2"/>
    <n v="4"/>
    <n v="189.99"/>
    <x v="1"/>
    <n v="189.99"/>
    <n v="759.96"/>
    <x v="0"/>
    <x v="2"/>
    <x v="3"/>
    <x v="0"/>
    <s v="Andalucía"/>
    <x v="0"/>
    <n v="4"/>
    <n v="759.96"/>
    <n v="0"/>
  </r>
  <r>
    <s v="ORD-100230"/>
    <x v="203"/>
    <x v="17"/>
    <x v="0"/>
    <n v="5"/>
    <n v="899.99"/>
    <x v="1"/>
    <n v="899.99"/>
    <n v="4499.95"/>
    <x v="1"/>
    <x v="0"/>
    <x v="1"/>
    <x v="14"/>
    <s v="Aragón"/>
    <x v="0"/>
    <m/>
    <n v="4499.95"/>
    <n v="0"/>
  </r>
  <r>
    <s v="ORD-100231"/>
    <x v="204"/>
    <x v="11"/>
    <x v="0"/>
    <n v="5"/>
    <n v="349.99"/>
    <x v="1"/>
    <n v="349.99"/>
    <n v="1749.95"/>
    <x v="0"/>
    <x v="0"/>
    <x v="4"/>
    <x v="9"/>
    <s v="Asturias"/>
    <x v="1"/>
    <n v="1"/>
    <n v="1749.95"/>
    <n v="0"/>
  </r>
  <r>
    <s v="ORD-100232"/>
    <x v="205"/>
    <x v="16"/>
    <x v="1"/>
    <n v="5"/>
    <n v="79.989999999999995"/>
    <x v="2"/>
    <n v="75.989999999999995"/>
    <n v="379.95"/>
    <x v="3"/>
    <x v="0"/>
    <x v="0"/>
    <x v="11"/>
    <s v="Cataluña"/>
    <x v="2"/>
    <m/>
    <n v="399.95"/>
    <n v="20"/>
  </r>
  <r>
    <s v="ORD-100233"/>
    <x v="206"/>
    <x v="21"/>
    <x v="0"/>
    <n v="5"/>
    <n v="799.99"/>
    <x v="1"/>
    <n v="799.99"/>
    <n v="3999.95"/>
    <x v="1"/>
    <x v="0"/>
    <x v="0"/>
    <x v="12"/>
    <s v="Región de Murcia"/>
    <x v="1"/>
    <m/>
    <n v="3999.95"/>
    <n v="0"/>
  </r>
  <r>
    <s v="ORD-100234"/>
    <x v="207"/>
    <x v="26"/>
    <x v="1"/>
    <n v="2"/>
    <n v="599.99"/>
    <x v="0"/>
    <n v="509.99"/>
    <n v="1019.98"/>
    <x v="0"/>
    <x v="2"/>
    <x v="4"/>
    <x v="11"/>
    <s v="Cataluña"/>
    <x v="2"/>
    <n v="3"/>
    <n v="1199.98"/>
    <n v="180"/>
  </r>
  <r>
    <s v="ORD-100235"/>
    <x v="208"/>
    <x v="15"/>
    <x v="3"/>
    <n v="1"/>
    <n v="69.989999999999995"/>
    <x v="3"/>
    <n v="62.99"/>
    <n v="62.99"/>
    <x v="0"/>
    <x v="0"/>
    <x v="0"/>
    <x v="4"/>
    <s v="Castilla y León"/>
    <x v="1"/>
    <n v="2"/>
    <n v="69.989999999999995"/>
    <n v="6.9999999999999929"/>
  </r>
  <r>
    <s v="ORD-100236"/>
    <x v="107"/>
    <x v="14"/>
    <x v="1"/>
    <n v="2"/>
    <n v="249.99"/>
    <x v="1"/>
    <n v="249.99"/>
    <n v="499.98"/>
    <x v="4"/>
    <x v="0"/>
    <x v="1"/>
    <x v="2"/>
    <s v="Navarra"/>
    <x v="1"/>
    <m/>
    <n v="499.98"/>
    <n v="0"/>
  </r>
  <r>
    <s v="ORD-100237"/>
    <x v="209"/>
    <x v="15"/>
    <x v="3"/>
    <n v="5"/>
    <n v="69.989999999999995"/>
    <x v="3"/>
    <n v="62.99"/>
    <n v="314.95"/>
    <x v="0"/>
    <x v="3"/>
    <x v="0"/>
    <x v="2"/>
    <s v="Navarra"/>
    <x v="1"/>
    <n v="1"/>
    <n v="349.95"/>
    <n v="35"/>
  </r>
  <r>
    <s v="ORD-100238"/>
    <x v="210"/>
    <x v="13"/>
    <x v="3"/>
    <n v="4"/>
    <n v="49.99"/>
    <x v="0"/>
    <n v="42.49"/>
    <n v="169.96"/>
    <x v="1"/>
    <x v="0"/>
    <x v="3"/>
    <x v="7"/>
    <s v="Castilla y León"/>
    <x v="1"/>
    <m/>
    <n v="199.96"/>
    <n v="30"/>
  </r>
  <r>
    <s v="ORD-100239"/>
    <x v="211"/>
    <x v="6"/>
    <x v="0"/>
    <n v="2"/>
    <n v="89.99"/>
    <x v="1"/>
    <n v="89.99"/>
    <n v="179.98"/>
    <x v="1"/>
    <x v="1"/>
    <x v="3"/>
    <x v="12"/>
    <s v="Región de Murcia"/>
    <x v="1"/>
    <m/>
    <n v="179.98"/>
    <n v="0"/>
  </r>
  <r>
    <s v="ORD-100240"/>
    <x v="212"/>
    <x v="23"/>
    <x v="4"/>
    <n v="5"/>
    <n v="24.99"/>
    <x v="0"/>
    <n v="21.24"/>
    <n v="106.2"/>
    <x v="0"/>
    <x v="3"/>
    <x v="3"/>
    <x v="2"/>
    <s v="Navarra"/>
    <x v="1"/>
    <n v="1"/>
    <n v="124.94999999999999"/>
    <n v="18.749999999999986"/>
  </r>
  <r>
    <s v="ORD-100241"/>
    <x v="100"/>
    <x v="14"/>
    <x v="1"/>
    <n v="2"/>
    <n v="249.99"/>
    <x v="1"/>
    <n v="249.99"/>
    <n v="499.98"/>
    <x v="0"/>
    <x v="2"/>
    <x v="0"/>
    <x v="14"/>
    <s v="Aragón"/>
    <x v="0"/>
    <n v="5"/>
    <n v="499.98"/>
    <n v="0"/>
  </r>
  <r>
    <s v="ORD-100242"/>
    <x v="213"/>
    <x v="4"/>
    <x v="4"/>
    <n v="1"/>
    <n v="349.99"/>
    <x v="1"/>
    <n v="349.99"/>
    <n v="349.99"/>
    <x v="0"/>
    <x v="0"/>
    <x v="1"/>
    <x v="7"/>
    <s v="Castilla y León"/>
    <x v="1"/>
    <n v="5"/>
    <n v="349.99"/>
    <n v="0"/>
  </r>
  <r>
    <s v="ORD-100243"/>
    <x v="183"/>
    <x v="6"/>
    <x v="0"/>
    <n v="5"/>
    <n v="89.99"/>
    <x v="0"/>
    <n v="76.489999999999995"/>
    <n v="382.45"/>
    <x v="0"/>
    <x v="0"/>
    <x v="1"/>
    <x v="1"/>
    <s v="Comunitat Valenciana"/>
    <x v="1"/>
    <n v="5"/>
    <n v="449.95"/>
    <n v="67.5"/>
  </r>
  <r>
    <s v="ORD-100244"/>
    <x v="214"/>
    <x v="25"/>
    <x v="4"/>
    <n v="5"/>
    <n v="34.99"/>
    <x v="1"/>
    <n v="34.99"/>
    <n v="174.95"/>
    <x v="2"/>
    <x v="0"/>
    <x v="4"/>
    <x v="3"/>
    <s v="Comunidad de Madrid"/>
    <x v="2"/>
    <m/>
    <n v="174.95000000000002"/>
    <n v="0"/>
  </r>
  <r>
    <s v="ORD-100245"/>
    <x v="215"/>
    <x v="7"/>
    <x v="3"/>
    <n v="2"/>
    <n v="19.989999999999998"/>
    <x v="4"/>
    <n v="15.99"/>
    <n v="31.98"/>
    <x v="0"/>
    <x v="1"/>
    <x v="3"/>
    <x v="1"/>
    <s v="Comunitat Valenciana"/>
    <x v="1"/>
    <n v="5"/>
    <n v="39.979999999999997"/>
    <n v="7.9999999999999964"/>
  </r>
  <r>
    <s v="ORD-100246"/>
    <x v="216"/>
    <x v="9"/>
    <x v="2"/>
    <n v="3"/>
    <n v="29.99"/>
    <x v="2"/>
    <n v="28.49"/>
    <n v="85.47"/>
    <x v="0"/>
    <x v="1"/>
    <x v="0"/>
    <x v="2"/>
    <s v="Navarra"/>
    <x v="1"/>
    <n v="1"/>
    <n v="89.97"/>
    <n v="4.5"/>
  </r>
  <r>
    <s v="ORD-100247"/>
    <x v="217"/>
    <x v="17"/>
    <x v="0"/>
    <n v="2"/>
    <n v="899.99"/>
    <x v="2"/>
    <n v="854.99"/>
    <n v="1709.98"/>
    <x v="0"/>
    <x v="0"/>
    <x v="1"/>
    <x v="12"/>
    <s v="Región de Murcia"/>
    <x v="1"/>
    <n v="3"/>
    <n v="1799.98"/>
    <n v="90"/>
  </r>
  <r>
    <s v="ORD-100248"/>
    <x v="218"/>
    <x v="10"/>
    <x v="2"/>
    <n v="3"/>
    <n v="69.989999999999995"/>
    <x v="2"/>
    <n v="66.489999999999995"/>
    <n v="199.47"/>
    <x v="0"/>
    <x v="1"/>
    <x v="0"/>
    <x v="14"/>
    <s v="Aragón"/>
    <x v="0"/>
    <n v="2"/>
    <n v="209.96999999999997"/>
    <n v="10.499999999999972"/>
  </r>
  <r>
    <s v="ORD-100249"/>
    <x v="219"/>
    <x v="0"/>
    <x v="0"/>
    <n v="3"/>
    <n v="45.99"/>
    <x v="2"/>
    <n v="43.69"/>
    <n v="131.07"/>
    <x v="0"/>
    <x v="0"/>
    <x v="4"/>
    <x v="11"/>
    <s v="Cataluña"/>
    <x v="2"/>
    <n v="5"/>
    <n v="137.97"/>
    <n v="6.9000000000000057"/>
  </r>
  <r>
    <s v="ORD-100250"/>
    <x v="220"/>
    <x v="28"/>
    <x v="0"/>
    <n v="2"/>
    <n v="499.99"/>
    <x v="4"/>
    <n v="399.99"/>
    <n v="799.98"/>
    <x v="0"/>
    <x v="1"/>
    <x v="0"/>
    <x v="1"/>
    <s v="Comunitat Valenciana"/>
    <x v="1"/>
    <n v="2"/>
    <n v="999.98"/>
    <n v="200"/>
  </r>
  <r>
    <s v="ORD-100251"/>
    <x v="221"/>
    <x v="14"/>
    <x v="1"/>
    <n v="4"/>
    <n v="249.99"/>
    <x v="2"/>
    <n v="237.49"/>
    <n v="949.96"/>
    <x v="2"/>
    <x v="0"/>
    <x v="4"/>
    <x v="12"/>
    <s v="Región de Murcia"/>
    <x v="1"/>
    <m/>
    <n v="999.96"/>
    <n v="50"/>
  </r>
  <r>
    <s v="ORD-100252"/>
    <x v="222"/>
    <x v="26"/>
    <x v="1"/>
    <n v="2"/>
    <n v="599.99"/>
    <x v="1"/>
    <n v="599.99"/>
    <n v="1199.98"/>
    <x v="0"/>
    <x v="0"/>
    <x v="3"/>
    <x v="3"/>
    <s v="Comunidad de Madrid"/>
    <x v="2"/>
    <n v="4"/>
    <n v="1199.98"/>
    <n v="0"/>
  </r>
  <r>
    <s v="ORD-100253"/>
    <x v="223"/>
    <x v="5"/>
    <x v="1"/>
    <n v="1"/>
    <n v="149.99"/>
    <x v="4"/>
    <n v="119.99"/>
    <n v="119.99"/>
    <x v="0"/>
    <x v="2"/>
    <x v="1"/>
    <x v="6"/>
    <s v="Comunitat Valenciana"/>
    <x v="0"/>
    <n v="4"/>
    <n v="149.99"/>
    <n v="30.000000000000014"/>
  </r>
  <r>
    <s v="ORD-100254"/>
    <x v="132"/>
    <x v="17"/>
    <x v="0"/>
    <n v="4"/>
    <n v="899.99"/>
    <x v="1"/>
    <n v="899.99"/>
    <n v="3599.96"/>
    <x v="0"/>
    <x v="0"/>
    <x v="0"/>
    <x v="0"/>
    <s v="Andalucía"/>
    <x v="0"/>
    <n v="4"/>
    <n v="3599.96"/>
    <n v="0"/>
  </r>
  <r>
    <s v="ORD-100255"/>
    <x v="224"/>
    <x v="26"/>
    <x v="1"/>
    <n v="5"/>
    <n v="599.99"/>
    <x v="1"/>
    <n v="599.99"/>
    <n v="2999.95"/>
    <x v="2"/>
    <x v="1"/>
    <x v="0"/>
    <x v="1"/>
    <s v="Comunitat Valenciana"/>
    <x v="1"/>
    <m/>
    <n v="2999.95"/>
    <n v="0"/>
  </r>
  <r>
    <s v="ORD-100256"/>
    <x v="27"/>
    <x v="20"/>
    <x v="3"/>
    <n v="3"/>
    <n v="39.99"/>
    <x v="4"/>
    <n v="31.99"/>
    <n v="95.97"/>
    <x v="4"/>
    <x v="2"/>
    <x v="1"/>
    <x v="7"/>
    <s v="Castilla y León"/>
    <x v="1"/>
    <m/>
    <n v="119.97"/>
    <n v="24"/>
  </r>
  <r>
    <s v="ORD-100257"/>
    <x v="2"/>
    <x v="27"/>
    <x v="1"/>
    <n v="5"/>
    <n v="49.99"/>
    <x v="2"/>
    <n v="47.49"/>
    <n v="237.45"/>
    <x v="0"/>
    <x v="0"/>
    <x v="1"/>
    <x v="3"/>
    <s v="Comunidad de Madrid"/>
    <x v="2"/>
    <n v="4"/>
    <n v="249.95000000000002"/>
    <n v="12.500000000000028"/>
  </r>
  <r>
    <s v="ORD-100258"/>
    <x v="225"/>
    <x v="26"/>
    <x v="1"/>
    <n v="2"/>
    <n v="599.99"/>
    <x v="3"/>
    <n v="539.99"/>
    <n v="1079.98"/>
    <x v="2"/>
    <x v="0"/>
    <x v="1"/>
    <x v="6"/>
    <s v="Comunitat Valenciana"/>
    <x v="0"/>
    <m/>
    <n v="1199.98"/>
    <n v="120"/>
  </r>
  <r>
    <s v="ORD-100259"/>
    <x v="226"/>
    <x v="20"/>
    <x v="3"/>
    <n v="5"/>
    <n v="39.99"/>
    <x v="0"/>
    <n v="33.99"/>
    <n v="169.95"/>
    <x v="2"/>
    <x v="0"/>
    <x v="2"/>
    <x v="1"/>
    <s v="Comunitat Valenciana"/>
    <x v="1"/>
    <m/>
    <n v="199.95000000000002"/>
    <n v="30.000000000000028"/>
  </r>
  <r>
    <s v="ORD-100260"/>
    <x v="21"/>
    <x v="16"/>
    <x v="1"/>
    <n v="5"/>
    <n v="79.989999999999995"/>
    <x v="1"/>
    <n v="79.989999999999995"/>
    <n v="399.95"/>
    <x v="0"/>
    <x v="0"/>
    <x v="1"/>
    <x v="3"/>
    <s v="Comunidad de Madrid"/>
    <x v="2"/>
    <n v="4"/>
    <n v="399.95"/>
    <n v="0"/>
  </r>
  <r>
    <s v="ORD-100261"/>
    <x v="125"/>
    <x v="13"/>
    <x v="3"/>
    <n v="1"/>
    <n v="49.99"/>
    <x v="3"/>
    <n v="44.99"/>
    <n v="44.99"/>
    <x v="0"/>
    <x v="2"/>
    <x v="1"/>
    <x v="9"/>
    <s v="Asturias"/>
    <x v="1"/>
    <n v="5"/>
    <n v="49.99"/>
    <n v="5"/>
  </r>
  <r>
    <s v="ORD-100262"/>
    <x v="227"/>
    <x v="10"/>
    <x v="2"/>
    <n v="1"/>
    <n v="69.989999999999995"/>
    <x v="3"/>
    <n v="62.99"/>
    <n v="62.99"/>
    <x v="0"/>
    <x v="1"/>
    <x v="1"/>
    <x v="7"/>
    <s v="Castilla y León"/>
    <x v="1"/>
    <n v="4"/>
    <n v="69.989999999999995"/>
    <n v="6.9999999999999929"/>
  </r>
  <r>
    <s v="ORD-100263"/>
    <x v="228"/>
    <x v="25"/>
    <x v="4"/>
    <n v="2"/>
    <n v="34.99"/>
    <x v="1"/>
    <n v="34.99"/>
    <n v="69.98"/>
    <x v="0"/>
    <x v="0"/>
    <x v="0"/>
    <x v="10"/>
    <s v="Cantabria"/>
    <x v="1"/>
    <n v="3"/>
    <n v="69.98"/>
    <n v="0"/>
  </r>
  <r>
    <s v="ORD-100264"/>
    <x v="220"/>
    <x v="11"/>
    <x v="0"/>
    <n v="4"/>
    <n v="349.99"/>
    <x v="0"/>
    <n v="297.49"/>
    <n v="1189.96"/>
    <x v="0"/>
    <x v="2"/>
    <x v="4"/>
    <x v="7"/>
    <s v="Castilla y León"/>
    <x v="1"/>
    <n v="1"/>
    <n v="1399.96"/>
    <n v="210"/>
  </r>
  <r>
    <s v="ORD-100265"/>
    <x v="116"/>
    <x v="11"/>
    <x v="0"/>
    <n v="5"/>
    <n v="349.99"/>
    <x v="1"/>
    <n v="349.99"/>
    <n v="1749.95"/>
    <x v="0"/>
    <x v="1"/>
    <x v="3"/>
    <x v="9"/>
    <s v="Asturias"/>
    <x v="1"/>
    <n v="2"/>
    <n v="1749.95"/>
    <n v="0"/>
  </r>
  <r>
    <s v="ORD-100266"/>
    <x v="229"/>
    <x v="22"/>
    <x v="4"/>
    <n v="5"/>
    <n v="44.99"/>
    <x v="1"/>
    <n v="44.99"/>
    <n v="224.95"/>
    <x v="0"/>
    <x v="2"/>
    <x v="1"/>
    <x v="9"/>
    <s v="Asturias"/>
    <x v="1"/>
    <n v="3"/>
    <n v="224.95000000000002"/>
    <n v="0"/>
  </r>
  <r>
    <s v="ORD-100267"/>
    <x v="230"/>
    <x v="16"/>
    <x v="1"/>
    <n v="2"/>
    <n v="79.989999999999995"/>
    <x v="1"/>
    <n v="79.989999999999995"/>
    <n v="159.97999999999999"/>
    <x v="0"/>
    <x v="0"/>
    <x v="4"/>
    <x v="5"/>
    <s v="País Vasco"/>
    <x v="0"/>
    <n v="3"/>
    <n v="159.97999999999999"/>
    <n v="0"/>
  </r>
  <r>
    <s v="ORD-100268"/>
    <x v="231"/>
    <x v="2"/>
    <x v="2"/>
    <n v="2"/>
    <n v="299.99"/>
    <x v="0"/>
    <n v="254.99"/>
    <n v="509.98"/>
    <x v="1"/>
    <x v="1"/>
    <x v="3"/>
    <x v="14"/>
    <s v="Aragón"/>
    <x v="0"/>
    <m/>
    <n v="599.98"/>
    <n v="90"/>
  </r>
  <r>
    <s v="ORD-100269"/>
    <x v="232"/>
    <x v="13"/>
    <x v="3"/>
    <n v="1"/>
    <n v="49.99"/>
    <x v="3"/>
    <n v="44.99"/>
    <n v="44.99"/>
    <x v="1"/>
    <x v="2"/>
    <x v="3"/>
    <x v="13"/>
    <s v="Andalucía"/>
    <x v="0"/>
    <m/>
    <n v="49.99"/>
    <n v="5"/>
  </r>
  <r>
    <s v="ORD-100270"/>
    <x v="233"/>
    <x v="18"/>
    <x v="2"/>
    <n v="2"/>
    <n v="99.99"/>
    <x v="1"/>
    <n v="99.99"/>
    <n v="199.98"/>
    <x v="0"/>
    <x v="0"/>
    <x v="4"/>
    <x v="10"/>
    <s v="Cantabria"/>
    <x v="1"/>
    <n v="3"/>
    <n v="199.98"/>
    <n v="0"/>
  </r>
  <r>
    <s v="ORD-100271"/>
    <x v="234"/>
    <x v="21"/>
    <x v="0"/>
    <n v="2"/>
    <n v="799.99"/>
    <x v="4"/>
    <n v="639.99"/>
    <n v="1279.98"/>
    <x v="0"/>
    <x v="1"/>
    <x v="0"/>
    <x v="4"/>
    <s v="Castilla y León"/>
    <x v="1"/>
    <n v="1"/>
    <n v="1599.98"/>
    <n v="320"/>
  </r>
  <r>
    <s v="ORD-100272"/>
    <x v="235"/>
    <x v="10"/>
    <x v="2"/>
    <n v="5"/>
    <n v="69.989999999999995"/>
    <x v="1"/>
    <n v="69.989999999999995"/>
    <n v="349.95"/>
    <x v="0"/>
    <x v="2"/>
    <x v="0"/>
    <x v="9"/>
    <s v="Asturias"/>
    <x v="1"/>
    <n v="2"/>
    <n v="349.95"/>
    <n v="0"/>
  </r>
  <r>
    <s v="ORD-100273"/>
    <x v="236"/>
    <x v="0"/>
    <x v="0"/>
    <n v="4"/>
    <n v="45.99"/>
    <x v="1"/>
    <n v="45.99"/>
    <n v="183.96"/>
    <x v="1"/>
    <x v="1"/>
    <x v="0"/>
    <x v="11"/>
    <s v="Cataluña"/>
    <x v="2"/>
    <m/>
    <n v="183.96"/>
    <n v="0"/>
  </r>
  <r>
    <s v="ORD-100274"/>
    <x v="237"/>
    <x v="22"/>
    <x v="4"/>
    <n v="2"/>
    <n v="44.99"/>
    <x v="2"/>
    <n v="42.74"/>
    <n v="85.48"/>
    <x v="1"/>
    <x v="2"/>
    <x v="3"/>
    <x v="4"/>
    <s v="Castilla y León"/>
    <x v="1"/>
    <m/>
    <n v="89.98"/>
    <n v="4.5"/>
  </r>
  <r>
    <s v="ORD-100275"/>
    <x v="185"/>
    <x v="18"/>
    <x v="2"/>
    <n v="3"/>
    <n v="99.99"/>
    <x v="1"/>
    <n v="99.99"/>
    <n v="299.97000000000003"/>
    <x v="0"/>
    <x v="2"/>
    <x v="0"/>
    <x v="3"/>
    <s v="Comunidad de Madrid"/>
    <x v="2"/>
    <n v="5"/>
    <n v="299.96999999999997"/>
    <n v="0"/>
  </r>
  <r>
    <s v="ORD-100276"/>
    <x v="97"/>
    <x v="5"/>
    <x v="1"/>
    <n v="1"/>
    <n v="149.99"/>
    <x v="1"/>
    <n v="149.99"/>
    <n v="149.99"/>
    <x v="0"/>
    <x v="0"/>
    <x v="4"/>
    <x v="8"/>
    <s v="La Rioja"/>
    <x v="1"/>
    <n v="4"/>
    <n v="149.99"/>
    <n v="0"/>
  </r>
  <r>
    <s v="ORD-100277"/>
    <x v="117"/>
    <x v="29"/>
    <x v="0"/>
    <n v="3"/>
    <n v="129.99"/>
    <x v="1"/>
    <n v="129.99"/>
    <n v="389.97"/>
    <x v="0"/>
    <x v="1"/>
    <x v="4"/>
    <x v="1"/>
    <s v="Comunitat Valenciana"/>
    <x v="1"/>
    <n v="3"/>
    <n v="389.97"/>
    <n v="0"/>
  </r>
  <r>
    <s v="ORD-100278"/>
    <x v="91"/>
    <x v="26"/>
    <x v="1"/>
    <n v="5"/>
    <n v="599.99"/>
    <x v="3"/>
    <n v="539.99"/>
    <n v="2699.95"/>
    <x v="0"/>
    <x v="2"/>
    <x v="3"/>
    <x v="6"/>
    <s v="Comunitat Valenciana"/>
    <x v="0"/>
    <n v="2"/>
    <n v="2999.95"/>
    <n v="300"/>
  </r>
  <r>
    <s v="ORD-100279"/>
    <x v="238"/>
    <x v="24"/>
    <x v="3"/>
    <n v="2"/>
    <n v="89.99"/>
    <x v="0"/>
    <n v="76.489999999999995"/>
    <n v="152.97999999999999"/>
    <x v="0"/>
    <x v="1"/>
    <x v="0"/>
    <x v="5"/>
    <s v="País Vasco"/>
    <x v="0"/>
    <n v="3"/>
    <n v="179.98"/>
    <n v="27"/>
  </r>
  <r>
    <s v="ORD-100280"/>
    <x v="133"/>
    <x v="1"/>
    <x v="1"/>
    <n v="2"/>
    <n v="399.99"/>
    <x v="1"/>
    <n v="399.99"/>
    <n v="799.98"/>
    <x v="1"/>
    <x v="2"/>
    <x v="2"/>
    <x v="9"/>
    <s v="Asturias"/>
    <x v="1"/>
    <m/>
    <n v="799.98"/>
    <n v="0"/>
  </r>
  <r>
    <s v="ORD-100281"/>
    <x v="239"/>
    <x v="24"/>
    <x v="3"/>
    <n v="1"/>
    <n v="89.99"/>
    <x v="2"/>
    <n v="85.49"/>
    <n v="85.49"/>
    <x v="1"/>
    <x v="3"/>
    <x v="3"/>
    <x v="6"/>
    <s v="Comunitat Valenciana"/>
    <x v="0"/>
    <m/>
    <n v="89.99"/>
    <n v="4.5"/>
  </r>
  <r>
    <s v="ORD-100282"/>
    <x v="47"/>
    <x v="19"/>
    <x v="0"/>
    <n v="3"/>
    <n v="1199.99"/>
    <x v="2"/>
    <n v="1139.99"/>
    <n v="3419.97"/>
    <x v="0"/>
    <x v="0"/>
    <x v="0"/>
    <x v="2"/>
    <s v="Navarra"/>
    <x v="1"/>
    <n v="5"/>
    <n v="3599.9700000000003"/>
    <n v="180.00000000000045"/>
  </r>
  <r>
    <s v="ORD-100283"/>
    <x v="240"/>
    <x v="19"/>
    <x v="0"/>
    <n v="3"/>
    <n v="1199.99"/>
    <x v="0"/>
    <n v="1019.99"/>
    <n v="3059.97"/>
    <x v="0"/>
    <x v="0"/>
    <x v="0"/>
    <x v="0"/>
    <s v="Andalucía"/>
    <x v="0"/>
    <n v="3"/>
    <n v="3599.9700000000003"/>
    <n v="540.00000000000045"/>
  </r>
  <r>
    <s v="ORD-100284"/>
    <x v="241"/>
    <x v="20"/>
    <x v="3"/>
    <n v="5"/>
    <n v="39.99"/>
    <x v="0"/>
    <n v="33.99"/>
    <n v="169.95"/>
    <x v="1"/>
    <x v="0"/>
    <x v="4"/>
    <x v="10"/>
    <s v="Cantabria"/>
    <x v="1"/>
    <m/>
    <n v="199.95000000000002"/>
    <n v="30.000000000000028"/>
  </r>
  <r>
    <s v="ORD-100285"/>
    <x v="133"/>
    <x v="15"/>
    <x v="3"/>
    <n v="5"/>
    <n v="69.989999999999995"/>
    <x v="1"/>
    <n v="69.989999999999995"/>
    <n v="349.95"/>
    <x v="0"/>
    <x v="1"/>
    <x v="3"/>
    <x v="6"/>
    <s v="Comunitat Valenciana"/>
    <x v="0"/>
    <n v="5"/>
    <n v="349.95"/>
    <n v="0"/>
  </r>
  <r>
    <s v="ORD-100286"/>
    <x v="242"/>
    <x v="3"/>
    <x v="3"/>
    <n v="5"/>
    <n v="34.99"/>
    <x v="2"/>
    <n v="33.24"/>
    <n v="166.2"/>
    <x v="1"/>
    <x v="1"/>
    <x v="0"/>
    <x v="2"/>
    <s v="Navarra"/>
    <x v="1"/>
    <m/>
    <n v="174.95000000000002"/>
    <n v="8.7500000000000284"/>
  </r>
  <r>
    <s v="ORD-100287"/>
    <x v="243"/>
    <x v="12"/>
    <x v="2"/>
    <n v="5"/>
    <n v="189.99"/>
    <x v="4"/>
    <n v="151.99"/>
    <n v="759.95"/>
    <x v="1"/>
    <x v="0"/>
    <x v="1"/>
    <x v="7"/>
    <s v="Castilla y León"/>
    <x v="1"/>
    <m/>
    <n v="949.95"/>
    <n v="190"/>
  </r>
  <r>
    <s v="ORD-100288"/>
    <x v="244"/>
    <x v="22"/>
    <x v="4"/>
    <n v="5"/>
    <n v="44.99"/>
    <x v="1"/>
    <n v="44.99"/>
    <n v="224.95"/>
    <x v="0"/>
    <x v="2"/>
    <x v="0"/>
    <x v="7"/>
    <s v="Castilla y León"/>
    <x v="1"/>
    <n v="5"/>
    <n v="224.95000000000002"/>
    <n v="0"/>
  </r>
  <r>
    <s v="ORD-100289"/>
    <x v="176"/>
    <x v="29"/>
    <x v="0"/>
    <n v="3"/>
    <n v="129.99"/>
    <x v="4"/>
    <n v="103.99"/>
    <n v="311.97000000000003"/>
    <x v="0"/>
    <x v="1"/>
    <x v="1"/>
    <x v="11"/>
    <s v="Cataluña"/>
    <x v="2"/>
    <n v="4"/>
    <n v="389.97"/>
    <n v="78"/>
  </r>
  <r>
    <s v="ORD-100290"/>
    <x v="141"/>
    <x v="23"/>
    <x v="4"/>
    <n v="5"/>
    <n v="24.99"/>
    <x v="2"/>
    <n v="23.74"/>
    <n v="118.7"/>
    <x v="2"/>
    <x v="0"/>
    <x v="3"/>
    <x v="12"/>
    <s v="Región de Murcia"/>
    <x v="1"/>
    <m/>
    <n v="124.94999999999999"/>
    <n v="6.2499999999999858"/>
  </r>
  <r>
    <s v="ORD-100291"/>
    <x v="245"/>
    <x v="17"/>
    <x v="0"/>
    <n v="5"/>
    <n v="899.99"/>
    <x v="2"/>
    <n v="854.99"/>
    <n v="4274.95"/>
    <x v="1"/>
    <x v="1"/>
    <x v="3"/>
    <x v="5"/>
    <s v="País Vasco"/>
    <x v="0"/>
    <m/>
    <n v="4499.95"/>
    <n v="225"/>
  </r>
  <r>
    <s v="ORD-100292"/>
    <x v="246"/>
    <x v="10"/>
    <x v="2"/>
    <n v="2"/>
    <n v="69.989999999999995"/>
    <x v="3"/>
    <n v="62.99"/>
    <n v="125.98"/>
    <x v="0"/>
    <x v="0"/>
    <x v="0"/>
    <x v="13"/>
    <s v="Andalucía"/>
    <x v="0"/>
    <n v="1"/>
    <n v="139.97999999999999"/>
    <n v="13.999999999999986"/>
  </r>
  <r>
    <s v="ORD-100293"/>
    <x v="247"/>
    <x v="22"/>
    <x v="4"/>
    <n v="4"/>
    <n v="44.99"/>
    <x v="1"/>
    <n v="44.99"/>
    <n v="179.96"/>
    <x v="0"/>
    <x v="2"/>
    <x v="1"/>
    <x v="6"/>
    <s v="Comunitat Valenciana"/>
    <x v="0"/>
    <n v="4"/>
    <n v="179.96"/>
    <n v="0"/>
  </r>
  <r>
    <s v="ORD-100294"/>
    <x v="189"/>
    <x v="23"/>
    <x v="4"/>
    <n v="4"/>
    <n v="24.99"/>
    <x v="2"/>
    <n v="23.74"/>
    <n v="94.96"/>
    <x v="2"/>
    <x v="0"/>
    <x v="0"/>
    <x v="4"/>
    <s v="Castilla y León"/>
    <x v="1"/>
    <m/>
    <n v="99.96"/>
    <n v="5"/>
  </r>
  <r>
    <s v="ORD-100295"/>
    <x v="248"/>
    <x v="4"/>
    <x v="4"/>
    <n v="5"/>
    <n v="349.99"/>
    <x v="1"/>
    <n v="349.99"/>
    <n v="1749.95"/>
    <x v="1"/>
    <x v="0"/>
    <x v="4"/>
    <x v="14"/>
    <s v="Aragón"/>
    <x v="0"/>
    <m/>
    <n v="1749.95"/>
    <n v="0"/>
  </r>
  <r>
    <s v="ORD-100296"/>
    <x v="249"/>
    <x v="14"/>
    <x v="1"/>
    <n v="2"/>
    <n v="249.99"/>
    <x v="0"/>
    <n v="212.49"/>
    <n v="424.98"/>
    <x v="4"/>
    <x v="0"/>
    <x v="0"/>
    <x v="8"/>
    <s v="La Rioja"/>
    <x v="1"/>
    <m/>
    <n v="499.98"/>
    <n v="75"/>
  </r>
  <r>
    <s v="ORD-100297"/>
    <x v="113"/>
    <x v="26"/>
    <x v="1"/>
    <n v="5"/>
    <n v="599.99"/>
    <x v="2"/>
    <n v="569.99"/>
    <n v="2849.95"/>
    <x v="0"/>
    <x v="0"/>
    <x v="3"/>
    <x v="8"/>
    <s v="La Rioja"/>
    <x v="1"/>
    <n v="2"/>
    <n v="2999.95"/>
    <n v="150"/>
  </r>
  <r>
    <s v="ORD-100298"/>
    <x v="250"/>
    <x v="21"/>
    <x v="0"/>
    <n v="1"/>
    <n v="799.99"/>
    <x v="1"/>
    <n v="799.99"/>
    <n v="799.99"/>
    <x v="2"/>
    <x v="1"/>
    <x v="4"/>
    <x v="13"/>
    <s v="Andalucía"/>
    <x v="0"/>
    <m/>
    <n v="799.99"/>
    <n v="0"/>
  </r>
  <r>
    <s v="ORD-100299"/>
    <x v="251"/>
    <x v="28"/>
    <x v="0"/>
    <n v="2"/>
    <n v="499.99"/>
    <x v="1"/>
    <n v="499.99"/>
    <n v="999.98"/>
    <x v="0"/>
    <x v="0"/>
    <x v="1"/>
    <x v="3"/>
    <s v="Comunidad de Madrid"/>
    <x v="2"/>
    <n v="1"/>
    <n v="999.98"/>
    <n v="0"/>
  </r>
  <r>
    <s v="ORD-100300"/>
    <x v="38"/>
    <x v="10"/>
    <x v="2"/>
    <n v="1"/>
    <n v="69.989999999999995"/>
    <x v="2"/>
    <n v="66.489999999999995"/>
    <n v="66.489999999999995"/>
    <x v="0"/>
    <x v="0"/>
    <x v="2"/>
    <x v="7"/>
    <s v="Castilla y León"/>
    <x v="1"/>
    <n v="1"/>
    <n v="69.989999999999995"/>
    <n v="3.5"/>
  </r>
  <r>
    <s v="ORD-100301"/>
    <x v="29"/>
    <x v="14"/>
    <x v="1"/>
    <n v="3"/>
    <n v="249.99"/>
    <x v="1"/>
    <n v="249.99"/>
    <n v="749.97"/>
    <x v="2"/>
    <x v="1"/>
    <x v="3"/>
    <x v="10"/>
    <s v="Cantabria"/>
    <x v="1"/>
    <m/>
    <n v="749.97"/>
    <n v="0"/>
  </r>
  <r>
    <s v="ORD-100302"/>
    <x v="252"/>
    <x v="25"/>
    <x v="4"/>
    <n v="3"/>
    <n v="34.99"/>
    <x v="1"/>
    <n v="34.99"/>
    <n v="104.97"/>
    <x v="0"/>
    <x v="3"/>
    <x v="3"/>
    <x v="6"/>
    <s v="Comunitat Valenciana"/>
    <x v="0"/>
    <n v="4"/>
    <n v="104.97"/>
    <n v="0"/>
  </r>
  <r>
    <s v="ORD-100303"/>
    <x v="54"/>
    <x v="7"/>
    <x v="3"/>
    <n v="1"/>
    <n v="19.989999999999998"/>
    <x v="3"/>
    <n v="17.989999999999998"/>
    <n v="17.989999999999998"/>
    <x v="3"/>
    <x v="1"/>
    <x v="0"/>
    <x v="4"/>
    <s v="Castilla y León"/>
    <x v="1"/>
    <m/>
    <n v="19.989999999999998"/>
    <n v="2"/>
  </r>
  <r>
    <s v="ORD-100304"/>
    <x v="50"/>
    <x v="3"/>
    <x v="3"/>
    <n v="5"/>
    <n v="34.99"/>
    <x v="2"/>
    <n v="33.24"/>
    <n v="166.2"/>
    <x v="0"/>
    <x v="2"/>
    <x v="1"/>
    <x v="14"/>
    <s v="Aragón"/>
    <x v="0"/>
    <n v="5"/>
    <n v="174.95000000000002"/>
    <n v="8.7500000000000284"/>
  </r>
  <r>
    <s v="ORD-100305"/>
    <x v="218"/>
    <x v="2"/>
    <x v="2"/>
    <n v="4"/>
    <n v="299.99"/>
    <x v="2"/>
    <n v="284.99"/>
    <n v="1139.96"/>
    <x v="0"/>
    <x v="0"/>
    <x v="3"/>
    <x v="13"/>
    <s v="Andalucía"/>
    <x v="0"/>
    <n v="2"/>
    <n v="1199.96"/>
    <n v="60"/>
  </r>
  <r>
    <s v="ORD-100306"/>
    <x v="253"/>
    <x v="13"/>
    <x v="3"/>
    <n v="2"/>
    <n v="49.99"/>
    <x v="4"/>
    <n v="39.99"/>
    <n v="79.98"/>
    <x v="0"/>
    <x v="1"/>
    <x v="4"/>
    <x v="3"/>
    <s v="Comunidad de Madrid"/>
    <x v="2"/>
    <n v="5"/>
    <n v="99.98"/>
    <n v="20"/>
  </r>
  <r>
    <s v="ORD-100307"/>
    <x v="254"/>
    <x v="11"/>
    <x v="0"/>
    <n v="4"/>
    <n v="349.99"/>
    <x v="1"/>
    <n v="349.99"/>
    <n v="1399.96"/>
    <x v="0"/>
    <x v="1"/>
    <x v="4"/>
    <x v="14"/>
    <s v="Aragón"/>
    <x v="0"/>
    <n v="3"/>
    <n v="1399.96"/>
    <n v="0"/>
  </r>
  <r>
    <s v="ORD-100308"/>
    <x v="255"/>
    <x v="5"/>
    <x v="1"/>
    <n v="2"/>
    <n v="149.99"/>
    <x v="1"/>
    <n v="149.99"/>
    <n v="299.98"/>
    <x v="0"/>
    <x v="1"/>
    <x v="0"/>
    <x v="9"/>
    <s v="Asturias"/>
    <x v="1"/>
    <n v="1"/>
    <n v="299.98"/>
    <n v="0"/>
  </r>
  <r>
    <s v="ORD-100309"/>
    <x v="256"/>
    <x v="8"/>
    <x v="2"/>
    <n v="5"/>
    <n v="59.99"/>
    <x v="0"/>
    <n v="50.99"/>
    <n v="254.95"/>
    <x v="1"/>
    <x v="1"/>
    <x v="2"/>
    <x v="0"/>
    <s v="Andalucía"/>
    <x v="0"/>
    <m/>
    <n v="299.95"/>
    <n v="45"/>
  </r>
  <r>
    <s v="ORD-100310"/>
    <x v="257"/>
    <x v="13"/>
    <x v="3"/>
    <n v="1"/>
    <n v="49.99"/>
    <x v="1"/>
    <n v="49.99"/>
    <n v="49.99"/>
    <x v="3"/>
    <x v="0"/>
    <x v="4"/>
    <x v="10"/>
    <s v="Cantabria"/>
    <x v="1"/>
    <m/>
    <n v="49.99"/>
    <n v="0"/>
  </r>
  <r>
    <s v="ORD-100311"/>
    <x v="234"/>
    <x v="22"/>
    <x v="4"/>
    <n v="2"/>
    <n v="44.99"/>
    <x v="0"/>
    <n v="38.24"/>
    <n v="76.48"/>
    <x v="1"/>
    <x v="0"/>
    <x v="0"/>
    <x v="0"/>
    <s v="Andalucía"/>
    <x v="0"/>
    <m/>
    <n v="89.98"/>
    <n v="13.5"/>
  </r>
  <r>
    <s v="ORD-100312"/>
    <x v="258"/>
    <x v="18"/>
    <x v="2"/>
    <n v="3"/>
    <n v="99.99"/>
    <x v="2"/>
    <n v="94.99"/>
    <n v="284.97000000000003"/>
    <x v="0"/>
    <x v="0"/>
    <x v="0"/>
    <x v="9"/>
    <s v="Asturias"/>
    <x v="1"/>
    <n v="5"/>
    <n v="299.96999999999997"/>
    <n v="14.999999999999943"/>
  </r>
  <r>
    <s v="ORD-100313"/>
    <x v="259"/>
    <x v="26"/>
    <x v="1"/>
    <n v="1"/>
    <n v="599.99"/>
    <x v="4"/>
    <n v="479.99"/>
    <n v="479.99"/>
    <x v="4"/>
    <x v="2"/>
    <x v="0"/>
    <x v="12"/>
    <s v="Región de Murcia"/>
    <x v="1"/>
    <m/>
    <n v="599.99"/>
    <n v="120"/>
  </r>
  <r>
    <s v="ORD-100314"/>
    <x v="41"/>
    <x v="15"/>
    <x v="3"/>
    <n v="3"/>
    <n v="69.989999999999995"/>
    <x v="2"/>
    <n v="66.489999999999995"/>
    <n v="199.47"/>
    <x v="0"/>
    <x v="0"/>
    <x v="0"/>
    <x v="8"/>
    <s v="La Rioja"/>
    <x v="1"/>
    <n v="3"/>
    <n v="209.96999999999997"/>
    <n v="10.499999999999972"/>
  </r>
  <r>
    <s v="ORD-100315"/>
    <x v="90"/>
    <x v="22"/>
    <x v="4"/>
    <n v="5"/>
    <n v="44.99"/>
    <x v="3"/>
    <n v="40.49"/>
    <n v="202.45"/>
    <x v="1"/>
    <x v="0"/>
    <x v="0"/>
    <x v="5"/>
    <s v="País Vasco"/>
    <x v="0"/>
    <m/>
    <n v="224.95000000000002"/>
    <n v="22.500000000000028"/>
  </r>
  <r>
    <s v="ORD-100316"/>
    <x v="9"/>
    <x v="1"/>
    <x v="1"/>
    <n v="2"/>
    <n v="399.99"/>
    <x v="2"/>
    <n v="379.99"/>
    <n v="759.98"/>
    <x v="0"/>
    <x v="0"/>
    <x v="1"/>
    <x v="9"/>
    <s v="Asturias"/>
    <x v="1"/>
    <n v="4"/>
    <n v="799.98"/>
    <n v="40"/>
  </r>
  <r>
    <s v="ORD-100317"/>
    <x v="260"/>
    <x v="10"/>
    <x v="2"/>
    <n v="4"/>
    <n v="69.989999999999995"/>
    <x v="2"/>
    <n v="66.489999999999995"/>
    <n v="265.95999999999998"/>
    <x v="0"/>
    <x v="0"/>
    <x v="0"/>
    <x v="2"/>
    <s v="Navarra"/>
    <x v="1"/>
    <n v="5"/>
    <n v="279.95999999999998"/>
    <n v="14"/>
  </r>
  <r>
    <s v="ORD-100318"/>
    <x v="261"/>
    <x v="29"/>
    <x v="0"/>
    <n v="5"/>
    <n v="129.99"/>
    <x v="0"/>
    <n v="110.49"/>
    <n v="552.45000000000005"/>
    <x v="3"/>
    <x v="0"/>
    <x v="2"/>
    <x v="7"/>
    <s v="Castilla y León"/>
    <x v="1"/>
    <m/>
    <n v="649.95000000000005"/>
    <n v="97.5"/>
  </r>
  <r>
    <s v="ORD-100319"/>
    <x v="262"/>
    <x v="17"/>
    <x v="0"/>
    <n v="1"/>
    <n v="899.99"/>
    <x v="2"/>
    <n v="854.99"/>
    <n v="854.99"/>
    <x v="0"/>
    <x v="0"/>
    <x v="1"/>
    <x v="9"/>
    <s v="Asturias"/>
    <x v="1"/>
    <n v="1"/>
    <n v="899.99"/>
    <n v="45"/>
  </r>
  <r>
    <s v="ORD-100320"/>
    <x v="263"/>
    <x v="14"/>
    <x v="1"/>
    <n v="4"/>
    <n v="249.99"/>
    <x v="1"/>
    <n v="249.99"/>
    <n v="999.96"/>
    <x v="0"/>
    <x v="1"/>
    <x v="1"/>
    <x v="9"/>
    <s v="Asturias"/>
    <x v="1"/>
    <n v="4"/>
    <n v="999.96"/>
    <n v="0"/>
  </r>
  <r>
    <s v="ORD-100321"/>
    <x v="264"/>
    <x v="16"/>
    <x v="1"/>
    <n v="1"/>
    <n v="79.989999999999995"/>
    <x v="1"/>
    <n v="79.989999999999995"/>
    <n v="79.989999999999995"/>
    <x v="0"/>
    <x v="0"/>
    <x v="3"/>
    <x v="13"/>
    <s v="Andalucía"/>
    <x v="0"/>
    <n v="3"/>
    <n v="79.989999999999995"/>
    <n v="0"/>
  </r>
  <r>
    <s v="ORD-100322"/>
    <x v="265"/>
    <x v="13"/>
    <x v="3"/>
    <n v="1"/>
    <n v="49.99"/>
    <x v="3"/>
    <n v="44.99"/>
    <n v="44.99"/>
    <x v="2"/>
    <x v="0"/>
    <x v="4"/>
    <x v="9"/>
    <s v="Asturias"/>
    <x v="1"/>
    <m/>
    <n v="49.99"/>
    <n v="5"/>
  </r>
  <r>
    <s v="ORD-100323"/>
    <x v="46"/>
    <x v="0"/>
    <x v="0"/>
    <n v="1"/>
    <n v="45.99"/>
    <x v="3"/>
    <n v="41.39"/>
    <n v="41.39"/>
    <x v="0"/>
    <x v="1"/>
    <x v="0"/>
    <x v="0"/>
    <s v="Andalucía"/>
    <x v="0"/>
    <n v="3"/>
    <n v="45.99"/>
    <n v="4.6000000000000014"/>
  </r>
  <r>
    <s v="ORD-100324"/>
    <x v="8"/>
    <x v="8"/>
    <x v="2"/>
    <n v="4"/>
    <n v="59.99"/>
    <x v="1"/>
    <n v="59.99"/>
    <n v="239.96"/>
    <x v="0"/>
    <x v="1"/>
    <x v="0"/>
    <x v="13"/>
    <s v="Andalucía"/>
    <x v="0"/>
    <n v="2"/>
    <n v="239.96"/>
    <n v="0"/>
  </r>
  <r>
    <s v="ORD-100325"/>
    <x v="54"/>
    <x v="12"/>
    <x v="2"/>
    <n v="1"/>
    <n v="189.99"/>
    <x v="0"/>
    <n v="161.49"/>
    <n v="161.49"/>
    <x v="4"/>
    <x v="2"/>
    <x v="0"/>
    <x v="9"/>
    <s v="Asturias"/>
    <x v="1"/>
    <m/>
    <n v="189.99"/>
    <n v="28.5"/>
  </r>
  <r>
    <s v="ORD-100326"/>
    <x v="9"/>
    <x v="20"/>
    <x v="3"/>
    <n v="5"/>
    <n v="39.99"/>
    <x v="2"/>
    <n v="37.99"/>
    <n v="189.95"/>
    <x v="0"/>
    <x v="1"/>
    <x v="0"/>
    <x v="3"/>
    <s v="Comunidad de Madrid"/>
    <x v="2"/>
    <n v="4"/>
    <n v="199.95000000000002"/>
    <n v="10.000000000000028"/>
  </r>
  <r>
    <s v="ORD-100327"/>
    <x v="266"/>
    <x v="8"/>
    <x v="2"/>
    <n v="3"/>
    <n v="59.99"/>
    <x v="3"/>
    <n v="53.99"/>
    <n v="161.97"/>
    <x v="4"/>
    <x v="2"/>
    <x v="4"/>
    <x v="11"/>
    <s v="Cataluña"/>
    <x v="2"/>
    <m/>
    <n v="179.97"/>
    <n v="18"/>
  </r>
  <r>
    <s v="ORD-100328"/>
    <x v="163"/>
    <x v="21"/>
    <x v="0"/>
    <n v="5"/>
    <n v="799.99"/>
    <x v="2"/>
    <n v="759.99"/>
    <n v="3799.95"/>
    <x v="0"/>
    <x v="0"/>
    <x v="4"/>
    <x v="4"/>
    <s v="Castilla y León"/>
    <x v="1"/>
    <n v="5"/>
    <n v="3999.95"/>
    <n v="200"/>
  </r>
  <r>
    <s v="ORD-100329"/>
    <x v="245"/>
    <x v="12"/>
    <x v="2"/>
    <n v="1"/>
    <n v="189.99"/>
    <x v="1"/>
    <n v="189.99"/>
    <n v="189.99"/>
    <x v="3"/>
    <x v="0"/>
    <x v="0"/>
    <x v="14"/>
    <s v="Aragón"/>
    <x v="0"/>
    <m/>
    <n v="189.99"/>
    <n v="0"/>
  </r>
  <r>
    <s v="ORD-100330"/>
    <x v="267"/>
    <x v="18"/>
    <x v="2"/>
    <n v="4"/>
    <n v="99.99"/>
    <x v="1"/>
    <n v="99.99"/>
    <n v="399.96"/>
    <x v="0"/>
    <x v="0"/>
    <x v="2"/>
    <x v="1"/>
    <s v="Comunitat Valenciana"/>
    <x v="1"/>
    <n v="4"/>
    <n v="399.96"/>
    <n v="0"/>
  </r>
  <r>
    <s v="ORD-100331"/>
    <x v="268"/>
    <x v="23"/>
    <x v="4"/>
    <n v="5"/>
    <n v="24.99"/>
    <x v="1"/>
    <n v="24.99"/>
    <n v="124.95"/>
    <x v="0"/>
    <x v="0"/>
    <x v="4"/>
    <x v="10"/>
    <s v="Cantabria"/>
    <x v="1"/>
    <n v="1"/>
    <n v="124.94999999999999"/>
    <n v="0"/>
  </r>
  <r>
    <s v="ORD-100332"/>
    <x v="269"/>
    <x v="10"/>
    <x v="2"/>
    <n v="3"/>
    <n v="69.989999999999995"/>
    <x v="1"/>
    <n v="69.989999999999995"/>
    <n v="209.97"/>
    <x v="0"/>
    <x v="2"/>
    <x v="0"/>
    <x v="0"/>
    <s v="Andalucía"/>
    <x v="0"/>
    <n v="5"/>
    <n v="209.96999999999997"/>
    <n v="0"/>
  </r>
  <r>
    <s v="ORD-100333"/>
    <x v="270"/>
    <x v="20"/>
    <x v="3"/>
    <n v="3"/>
    <n v="39.99"/>
    <x v="1"/>
    <n v="39.99"/>
    <n v="119.97"/>
    <x v="1"/>
    <x v="3"/>
    <x v="3"/>
    <x v="2"/>
    <s v="Navarra"/>
    <x v="1"/>
    <m/>
    <n v="119.97"/>
    <n v="0"/>
  </r>
  <r>
    <s v="ORD-100334"/>
    <x v="271"/>
    <x v="5"/>
    <x v="1"/>
    <n v="4"/>
    <n v="149.99"/>
    <x v="2"/>
    <n v="142.49"/>
    <n v="569.96"/>
    <x v="0"/>
    <x v="1"/>
    <x v="0"/>
    <x v="1"/>
    <s v="Comunitat Valenciana"/>
    <x v="1"/>
    <n v="5"/>
    <n v="599.96"/>
    <n v="30"/>
  </r>
  <r>
    <s v="ORD-100335"/>
    <x v="133"/>
    <x v="8"/>
    <x v="2"/>
    <n v="2"/>
    <n v="59.99"/>
    <x v="0"/>
    <n v="50.99"/>
    <n v="101.98"/>
    <x v="0"/>
    <x v="0"/>
    <x v="1"/>
    <x v="5"/>
    <s v="País Vasco"/>
    <x v="0"/>
    <n v="2"/>
    <n v="119.98"/>
    <n v="18"/>
  </r>
  <r>
    <s v="ORD-100336"/>
    <x v="272"/>
    <x v="24"/>
    <x v="3"/>
    <n v="3"/>
    <n v="89.99"/>
    <x v="1"/>
    <n v="89.99"/>
    <n v="269.97000000000003"/>
    <x v="0"/>
    <x v="0"/>
    <x v="1"/>
    <x v="5"/>
    <s v="País Vasco"/>
    <x v="0"/>
    <n v="1"/>
    <n v="269.96999999999997"/>
    <n v="0"/>
  </r>
  <r>
    <s v="ORD-100337"/>
    <x v="273"/>
    <x v="6"/>
    <x v="0"/>
    <n v="2"/>
    <n v="89.99"/>
    <x v="2"/>
    <n v="85.49"/>
    <n v="170.98"/>
    <x v="0"/>
    <x v="1"/>
    <x v="0"/>
    <x v="7"/>
    <s v="Castilla y León"/>
    <x v="1"/>
    <n v="1"/>
    <n v="179.98"/>
    <n v="9"/>
  </r>
  <r>
    <s v="ORD-100338"/>
    <x v="274"/>
    <x v="5"/>
    <x v="1"/>
    <n v="1"/>
    <n v="149.99"/>
    <x v="3"/>
    <n v="134.99"/>
    <n v="134.99"/>
    <x v="0"/>
    <x v="2"/>
    <x v="0"/>
    <x v="14"/>
    <s v="Aragón"/>
    <x v="0"/>
    <n v="4"/>
    <n v="149.99"/>
    <n v="15"/>
  </r>
  <r>
    <s v="ORD-100339"/>
    <x v="275"/>
    <x v="18"/>
    <x v="2"/>
    <n v="1"/>
    <n v="99.99"/>
    <x v="0"/>
    <n v="84.99"/>
    <n v="84.99"/>
    <x v="3"/>
    <x v="3"/>
    <x v="0"/>
    <x v="4"/>
    <s v="Castilla y León"/>
    <x v="1"/>
    <m/>
    <n v="99.99"/>
    <n v="15"/>
  </r>
  <r>
    <s v="ORD-100340"/>
    <x v="276"/>
    <x v="29"/>
    <x v="0"/>
    <n v="4"/>
    <n v="129.99"/>
    <x v="1"/>
    <n v="129.99"/>
    <n v="519.96"/>
    <x v="0"/>
    <x v="0"/>
    <x v="0"/>
    <x v="5"/>
    <s v="País Vasco"/>
    <x v="0"/>
    <n v="2"/>
    <n v="519.96"/>
    <n v="0"/>
  </r>
  <r>
    <s v="ORD-100341"/>
    <x v="277"/>
    <x v="7"/>
    <x v="3"/>
    <n v="4"/>
    <n v="19.989999999999998"/>
    <x v="1"/>
    <n v="19.989999999999998"/>
    <n v="79.959999999999994"/>
    <x v="0"/>
    <x v="0"/>
    <x v="4"/>
    <x v="11"/>
    <s v="Cataluña"/>
    <x v="2"/>
    <n v="4"/>
    <n v="79.959999999999994"/>
    <n v="0"/>
  </r>
  <r>
    <s v="ORD-100342"/>
    <x v="278"/>
    <x v="27"/>
    <x v="1"/>
    <n v="2"/>
    <n v="49.99"/>
    <x v="2"/>
    <n v="47.49"/>
    <n v="94.98"/>
    <x v="0"/>
    <x v="0"/>
    <x v="3"/>
    <x v="5"/>
    <s v="País Vasco"/>
    <x v="0"/>
    <n v="5"/>
    <n v="99.98"/>
    <n v="5"/>
  </r>
  <r>
    <s v="ORD-100343"/>
    <x v="7"/>
    <x v="8"/>
    <x v="2"/>
    <n v="3"/>
    <n v="59.99"/>
    <x v="2"/>
    <n v="56.99"/>
    <n v="170.97"/>
    <x v="0"/>
    <x v="2"/>
    <x v="1"/>
    <x v="8"/>
    <s v="La Rioja"/>
    <x v="1"/>
    <n v="5"/>
    <n v="179.97"/>
    <n v="9"/>
  </r>
  <r>
    <s v="ORD-100344"/>
    <x v="279"/>
    <x v="13"/>
    <x v="3"/>
    <n v="3"/>
    <n v="49.99"/>
    <x v="3"/>
    <n v="44.99"/>
    <n v="134.97"/>
    <x v="3"/>
    <x v="1"/>
    <x v="0"/>
    <x v="0"/>
    <s v="Andalucía"/>
    <x v="0"/>
    <m/>
    <n v="149.97"/>
    <n v="15"/>
  </r>
  <r>
    <s v="ORD-100345"/>
    <x v="280"/>
    <x v="24"/>
    <x v="3"/>
    <n v="3"/>
    <n v="89.99"/>
    <x v="0"/>
    <n v="76.489999999999995"/>
    <n v="229.47"/>
    <x v="1"/>
    <x v="3"/>
    <x v="1"/>
    <x v="12"/>
    <s v="Región de Murcia"/>
    <x v="1"/>
    <m/>
    <n v="269.96999999999997"/>
    <n v="40.499999999999972"/>
  </r>
  <r>
    <s v="ORD-100346"/>
    <x v="281"/>
    <x v="20"/>
    <x v="3"/>
    <n v="3"/>
    <n v="39.99"/>
    <x v="4"/>
    <n v="31.99"/>
    <n v="95.97"/>
    <x v="1"/>
    <x v="0"/>
    <x v="3"/>
    <x v="14"/>
    <s v="Aragón"/>
    <x v="0"/>
    <m/>
    <n v="119.97"/>
    <n v="24"/>
  </r>
  <r>
    <s v="ORD-100347"/>
    <x v="282"/>
    <x v="5"/>
    <x v="1"/>
    <n v="2"/>
    <n v="149.99"/>
    <x v="0"/>
    <n v="127.49"/>
    <n v="254.98"/>
    <x v="1"/>
    <x v="3"/>
    <x v="3"/>
    <x v="3"/>
    <s v="Comunidad de Madrid"/>
    <x v="2"/>
    <m/>
    <n v="299.98"/>
    <n v="45.000000000000028"/>
  </r>
  <r>
    <s v="ORD-100348"/>
    <x v="283"/>
    <x v="21"/>
    <x v="0"/>
    <n v="4"/>
    <n v="799.99"/>
    <x v="4"/>
    <n v="639.99"/>
    <n v="2559.96"/>
    <x v="0"/>
    <x v="0"/>
    <x v="2"/>
    <x v="10"/>
    <s v="Cantabria"/>
    <x v="1"/>
    <n v="4"/>
    <n v="3199.96"/>
    <n v="640"/>
  </r>
  <r>
    <s v="ORD-100349"/>
    <x v="284"/>
    <x v="16"/>
    <x v="1"/>
    <n v="2"/>
    <n v="79.989999999999995"/>
    <x v="0"/>
    <n v="67.989999999999995"/>
    <n v="135.97999999999999"/>
    <x v="0"/>
    <x v="1"/>
    <x v="1"/>
    <x v="5"/>
    <s v="País Vasco"/>
    <x v="0"/>
    <n v="4"/>
    <n v="159.97999999999999"/>
    <n v="24"/>
  </r>
  <r>
    <s v="ORD-100350"/>
    <x v="207"/>
    <x v="26"/>
    <x v="1"/>
    <n v="5"/>
    <n v="599.99"/>
    <x v="2"/>
    <n v="569.99"/>
    <n v="2849.95"/>
    <x v="0"/>
    <x v="1"/>
    <x v="4"/>
    <x v="7"/>
    <s v="Castilla y León"/>
    <x v="1"/>
    <n v="4"/>
    <n v="2999.95"/>
    <n v="150"/>
  </r>
  <r>
    <s v="ORD-100351"/>
    <x v="285"/>
    <x v="17"/>
    <x v="0"/>
    <n v="3"/>
    <n v="899.99"/>
    <x v="0"/>
    <n v="764.99"/>
    <n v="2294.9699999999998"/>
    <x v="2"/>
    <x v="1"/>
    <x v="4"/>
    <x v="7"/>
    <s v="Castilla y León"/>
    <x v="1"/>
    <m/>
    <n v="2699.9700000000003"/>
    <n v="405.00000000000045"/>
  </r>
  <r>
    <s v="ORD-100352"/>
    <x v="286"/>
    <x v="18"/>
    <x v="2"/>
    <n v="2"/>
    <n v="99.99"/>
    <x v="0"/>
    <n v="84.99"/>
    <n v="169.98"/>
    <x v="1"/>
    <x v="1"/>
    <x v="0"/>
    <x v="6"/>
    <s v="Comunitat Valenciana"/>
    <x v="0"/>
    <m/>
    <n v="199.98"/>
    <n v="30"/>
  </r>
  <r>
    <s v="ORD-100353"/>
    <x v="266"/>
    <x v="12"/>
    <x v="2"/>
    <n v="4"/>
    <n v="189.99"/>
    <x v="4"/>
    <n v="151.99"/>
    <n v="607.96"/>
    <x v="0"/>
    <x v="0"/>
    <x v="0"/>
    <x v="2"/>
    <s v="Navarra"/>
    <x v="1"/>
    <n v="3"/>
    <n v="759.96"/>
    <n v="152"/>
  </r>
  <r>
    <s v="ORD-100354"/>
    <x v="48"/>
    <x v="14"/>
    <x v="1"/>
    <n v="5"/>
    <n v="249.99"/>
    <x v="3"/>
    <n v="224.99"/>
    <n v="1124.95"/>
    <x v="0"/>
    <x v="0"/>
    <x v="3"/>
    <x v="1"/>
    <s v="Comunitat Valenciana"/>
    <x v="1"/>
    <n v="4"/>
    <n v="1249.95"/>
    <n v="125"/>
  </r>
  <r>
    <s v="ORD-100355"/>
    <x v="50"/>
    <x v="1"/>
    <x v="1"/>
    <n v="5"/>
    <n v="399.99"/>
    <x v="1"/>
    <n v="399.99"/>
    <n v="1999.95"/>
    <x v="0"/>
    <x v="1"/>
    <x v="0"/>
    <x v="3"/>
    <s v="Comunidad de Madrid"/>
    <x v="2"/>
    <n v="1"/>
    <n v="1999.95"/>
    <n v="0"/>
  </r>
  <r>
    <s v="ORD-100356"/>
    <x v="40"/>
    <x v="25"/>
    <x v="4"/>
    <n v="2"/>
    <n v="34.99"/>
    <x v="1"/>
    <n v="34.99"/>
    <n v="69.98"/>
    <x v="0"/>
    <x v="2"/>
    <x v="3"/>
    <x v="12"/>
    <s v="Región de Murcia"/>
    <x v="1"/>
    <n v="3"/>
    <n v="69.98"/>
    <n v="0"/>
  </r>
  <r>
    <s v="ORD-100357"/>
    <x v="287"/>
    <x v="0"/>
    <x v="0"/>
    <n v="4"/>
    <n v="45.99"/>
    <x v="0"/>
    <n v="39.090000000000003"/>
    <n v="156.36000000000001"/>
    <x v="1"/>
    <x v="0"/>
    <x v="0"/>
    <x v="14"/>
    <s v="Aragón"/>
    <x v="0"/>
    <m/>
    <n v="183.96"/>
    <n v="27.599999999999994"/>
  </r>
  <r>
    <s v="ORD-100358"/>
    <x v="288"/>
    <x v="0"/>
    <x v="0"/>
    <n v="1"/>
    <n v="45.99"/>
    <x v="4"/>
    <n v="36.79"/>
    <n v="36.79"/>
    <x v="0"/>
    <x v="1"/>
    <x v="0"/>
    <x v="11"/>
    <s v="Cataluña"/>
    <x v="2"/>
    <n v="2"/>
    <n v="45.99"/>
    <n v="9.2000000000000028"/>
  </r>
  <r>
    <s v="ORD-100359"/>
    <x v="289"/>
    <x v="29"/>
    <x v="0"/>
    <n v="5"/>
    <n v="129.99"/>
    <x v="1"/>
    <n v="129.99"/>
    <n v="649.95000000000005"/>
    <x v="0"/>
    <x v="3"/>
    <x v="0"/>
    <x v="13"/>
    <s v="Andalucía"/>
    <x v="0"/>
    <n v="4"/>
    <n v="649.95000000000005"/>
    <n v="0"/>
  </r>
  <r>
    <s v="ORD-100360"/>
    <x v="290"/>
    <x v="29"/>
    <x v="0"/>
    <n v="2"/>
    <n v="129.99"/>
    <x v="0"/>
    <n v="110.49"/>
    <n v="220.98"/>
    <x v="1"/>
    <x v="0"/>
    <x v="1"/>
    <x v="13"/>
    <s v="Andalucía"/>
    <x v="0"/>
    <m/>
    <n v="259.98"/>
    <n v="39.000000000000028"/>
  </r>
  <r>
    <s v="ORD-100361"/>
    <x v="291"/>
    <x v="26"/>
    <x v="1"/>
    <n v="5"/>
    <n v="599.99"/>
    <x v="2"/>
    <n v="569.99"/>
    <n v="2849.95"/>
    <x v="0"/>
    <x v="0"/>
    <x v="0"/>
    <x v="10"/>
    <s v="Cantabria"/>
    <x v="1"/>
    <n v="1"/>
    <n v="2999.95"/>
    <n v="150"/>
  </r>
  <r>
    <s v="ORD-100362"/>
    <x v="292"/>
    <x v="0"/>
    <x v="0"/>
    <n v="5"/>
    <n v="45.99"/>
    <x v="1"/>
    <n v="45.99"/>
    <n v="229.95"/>
    <x v="0"/>
    <x v="1"/>
    <x v="0"/>
    <x v="0"/>
    <s v="Andalucía"/>
    <x v="0"/>
    <n v="4"/>
    <n v="229.95000000000002"/>
    <n v="0"/>
  </r>
  <r>
    <s v="ORD-100363"/>
    <x v="293"/>
    <x v="9"/>
    <x v="2"/>
    <n v="3"/>
    <n v="29.99"/>
    <x v="3"/>
    <n v="26.99"/>
    <n v="80.97"/>
    <x v="0"/>
    <x v="1"/>
    <x v="0"/>
    <x v="13"/>
    <s v="Andalucía"/>
    <x v="0"/>
    <n v="4"/>
    <n v="89.97"/>
    <n v="9"/>
  </r>
  <r>
    <s v="ORD-100364"/>
    <x v="294"/>
    <x v="29"/>
    <x v="0"/>
    <n v="3"/>
    <n v="129.99"/>
    <x v="3"/>
    <n v="116.99"/>
    <n v="350.97"/>
    <x v="0"/>
    <x v="0"/>
    <x v="0"/>
    <x v="9"/>
    <s v="Asturias"/>
    <x v="1"/>
    <n v="3"/>
    <n v="389.97"/>
    <n v="39"/>
  </r>
  <r>
    <s v="ORD-100365"/>
    <x v="295"/>
    <x v="29"/>
    <x v="0"/>
    <n v="3"/>
    <n v="129.99"/>
    <x v="0"/>
    <n v="110.49"/>
    <n v="331.47"/>
    <x v="0"/>
    <x v="0"/>
    <x v="0"/>
    <x v="13"/>
    <s v="Andalucía"/>
    <x v="0"/>
    <n v="4"/>
    <n v="389.97"/>
    <n v="58.5"/>
  </r>
  <r>
    <s v="ORD-100366"/>
    <x v="155"/>
    <x v="29"/>
    <x v="0"/>
    <n v="4"/>
    <n v="129.99"/>
    <x v="0"/>
    <n v="110.49"/>
    <n v="441.96"/>
    <x v="0"/>
    <x v="1"/>
    <x v="4"/>
    <x v="4"/>
    <s v="Castilla y León"/>
    <x v="1"/>
    <n v="5"/>
    <n v="519.96"/>
    <n v="78.000000000000057"/>
  </r>
  <r>
    <s v="ORD-100367"/>
    <x v="296"/>
    <x v="16"/>
    <x v="1"/>
    <n v="3"/>
    <n v="79.989999999999995"/>
    <x v="1"/>
    <n v="79.989999999999995"/>
    <n v="239.97"/>
    <x v="0"/>
    <x v="1"/>
    <x v="0"/>
    <x v="8"/>
    <s v="La Rioja"/>
    <x v="1"/>
    <n v="3"/>
    <n v="239.96999999999997"/>
    <n v="0"/>
  </r>
  <r>
    <s v="ORD-100368"/>
    <x v="297"/>
    <x v="16"/>
    <x v="1"/>
    <n v="2"/>
    <n v="79.989999999999995"/>
    <x v="1"/>
    <n v="79.989999999999995"/>
    <n v="159.97999999999999"/>
    <x v="2"/>
    <x v="1"/>
    <x v="3"/>
    <x v="7"/>
    <s v="Castilla y León"/>
    <x v="1"/>
    <m/>
    <n v="159.97999999999999"/>
    <n v="0"/>
  </r>
  <r>
    <s v="ORD-100369"/>
    <x v="298"/>
    <x v="16"/>
    <x v="1"/>
    <n v="4"/>
    <n v="79.989999999999995"/>
    <x v="0"/>
    <n v="67.989999999999995"/>
    <n v="271.95999999999998"/>
    <x v="2"/>
    <x v="0"/>
    <x v="3"/>
    <x v="12"/>
    <s v="Región de Murcia"/>
    <x v="1"/>
    <m/>
    <n v="319.95999999999998"/>
    <n v="48"/>
  </r>
  <r>
    <s v="ORD-100370"/>
    <x v="299"/>
    <x v="13"/>
    <x v="3"/>
    <n v="1"/>
    <n v="49.99"/>
    <x v="1"/>
    <n v="49.99"/>
    <n v="49.99"/>
    <x v="0"/>
    <x v="0"/>
    <x v="3"/>
    <x v="5"/>
    <s v="País Vasco"/>
    <x v="0"/>
    <n v="4"/>
    <n v="49.99"/>
    <n v="0"/>
  </r>
  <r>
    <s v="ORD-100371"/>
    <x v="300"/>
    <x v="14"/>
    <x v="1"/>
    <n v="1"/>
    <n v="249.99"/>
    <x v="3"/>
    <n v="224.99"/>
    <n v="224.99"/>
    <x v="0"/>
    <x v="1"/>
    <x v="4"/>
    <x v="2"/>
    <s v="Navarra"/>
    <x v="1"/>
    <n v="5"/>
    <n v="249.99"/>
    <n v="25"/>
  </r>
  <r>
    <s v="ORD-100372"/>
    <x v="301"/>
    <x v="18"/>
    <x v="2"/>
    <n v="4"/>
    <n v="99.99"/>
    <x v="3"/>
    <n v="89.99"/>
    <n v="359.96"/>
    <x v="0"/>
    <x v="0"/>
    <x v="2"/>
    <x v="13"/>
    <s v="Andalucía"/>
    <x v="0"/>
    <n v="2"/>
    <n v="399.96"/>
    <n v="40"/>
  </r>
  <r>
    <s v="ORD-100373"/>
    <x v="302"/>
    <x v="4"/>
    <x v="4"/>
    <n v="1"/>
    <n v="349.99"/>
    <x v="2"/>
    <n v="332.49"/>
    <n v="332.49"/>
    <x v="0"/>
    <x v="2"/>
    <x v="3"/>
    <x v="8"/>
    <s v="La Rioja"/>
    <x v="1"/>
    <n v="1"/>
    <n v="349.99"/>
    <n v="17.5"/>
  </r>
  <r>
    <s v="ORD-100374"/>
    <x v="303"/>
    <x v="21"/>
    <x v="0"/>
    <n v="5"/>
    <n v="799.99"/>
    <x v="0"/>
    <n v="679.99"/>
    <n v="3399.95"/>
    <x v="0"/>
    <x v="1"/>
    <x v="3"/>
    <x v="10"/>
    <s v="Cantabria"/>
    <x v="1"/>
    <n v="5"/>
    <n v="3999.95"/>
    <n v="600"/>
  </r>
  <r>
    <s v="ORD-100375"/>
    <x v="304"/>
    <x v="8"/>
    <x v="2"/>
    <n v="2"/>
    <n v="59.99"/>
    <x v="4"/>
    <n v="47.99"/>
    <n v="95.98"/>
    <x v="0"/>
    <x v="1"/>
    <x v="3"/>
    <x v="3"/>
    <s v="Comunidad de Madrid"/>
    <x v="2"/>
    <n v="5"/>
    <n v="119.98"/>
    <n v="24"/>
  </r>
  <r>
    <s v="ORD-100376"/>
    <x v="68"/>
    <x v="29"/>
    <x v="0"/>
    <n v="3"/>
    <n v="129.99"/>
    <x v="0"/>
    <n v="110.49"/>
    <n v="331.47"/>
    <x v="0"/>
    <x v="0"/>
    <x v="2"/>
    <x v="1"/>
    <s v="Comunitat Valenciana"/>
    <x v="1"/>
    <n v="1"/>
    <n v="389.97"/>
    <n v="58.5"/>
  </r>
  <r>
    <s v="ORD-100377"/>
    <x v="305"/>
    <x v="18"/>
    <x v="2"/>
    <n v="4"/>
    <n v="99.99"/>
    <x v="1"/>
    <n v="99.99"/>
    <n v="399.96"/>
    <x v="4"/>
    <x v="1"/>
    <x v="1"/>
    <x v="8"/>
    <s v="La Rioja"/>
    <x v="1"/>
    <m/>
    <n v="399.96"/>
    <n v="0"/>
  </r>
  <r>
    <s v="ORD-100378"/>
    <x v="273"/>
    <x v="28"/>
    <x v="0"/>
    <n v="2"/>
    <n v="499.99"/>
    <x v="0"/>
    <n v="424.99"/>
    <n v="849.98"/>
    <x v="0"/>
    <x v="2"/>
    <x v="1"/>
    <x v="0"/>
    <s v="Andalucía"/>
    <x v="0"/>
    <n v="4"/>
    <n v="999.98"/>
    <n v="150"/>
  </r>
  <r>
    <s v="ORD-100379"/>
    <x v="306"/>
    <x v="1"/>
    <x v="1"/>
    <n v="3"/>
    <n v="399.99"/>
    <x v="0"/>
    <n v="339.99"/>
    <n v="1019.97"/>
    <x v="0"/>
    <x v="0"/>
    <x v="1"/>
    <x v="12"/>
    <s v="Región de Murcia"/>
    <x v="1"/>
    <n v="1"/>
    <n v="1199.97"/>
    <n v="180"/>
  </r>
  <r>
    <s v="ORD-100380"/>
    <x v="307"/>
    <x v="14"/>
    <x v="1"/>
    <n v="3"/>
    <n v="249.99"/>
    <x v="0"/>
    <n v="212.49"/>
    <n v="637.47"/>
    <x v="3"/>
    <x v="1"/>
    <x v="3"/>
    <x v="14"/>
    <s v="Aragón"/>
    <x v="0"/>
    <m/>
    <n v="749.97"/>
    <n v="112.5"/>
  </r>
  <r>
    <s v="ORD-100381"/>
    <x v="308"/>
    <x v="19"/>
    <x v="0"/>
    <n v="1"/>
    <n v="1199.99"/>
    <x v="0"/>
    <n v="1019.99"/>
    <n v="1019.99"/>
    <x v="4"/>
    <x v="1"/>
    <x v="3"/>
    <x v="9"/>
    <s v="Asturias"/>
    <x v="1"/>
    <m/>
    <n v="1199.99"/>
    <n v="180"/>
  </r>
  <r>
    <s v="ORD-100382"/>
    <x v="309"/>
    <x v="8"/>
    <x v="2"/>
    <n v="5"/>
    <n v="59.99"/>
    <x v="2"/>
    <n v="56.99"/>
    <n v="284.95"/>
    <x v="0"/>
    <x v="2"/>
    <x v="3"/>
    <x v="13"/>
    <s v="Andalucía"/>
    <x v="0"/>
    <n v="3"/>
    <n v="299.95"/>
    <n v="15"/>
  </r>
  <r>
    <s v="ORD-100383"/>
    <x v="213"/>
    <x v="24"/>
    <x v="3"/>
    <n v="5"/>
    <n v="89.99"/>
    <x v="3"/>
    <n v="80.989999999999995"/>
    <n v="404.95"/>
    <x v="0"/>
    <x v="1"/>
    <x v="0"/>
    <x v="8"/>
    <s v="La Rioja"/>
    <x v="1"/>
    <n v="1"/>
    <n v="449.95"/>
    <n v="45"/>
  </r>
  <r>
    <s v="ORD-100384"/>
    <x v="310"/>
    <x v="0"/>
    <x v="0"/>
    <n v="4"/>
    <n v="45.99"/>
    <x v="1"/>
    <n v="45.99"/>
    <n v="183.96"/>
    <x v="0"/>
    <x v="0"/>
    <x v="3"/>
    <x v="8"/>
    <s v="La Rioja"/>
    <x v="1"/>
    <n v="4"/>
    <n v="183.96"/>
    <n v="0"/>
  </r>
  <r>
    <s v="ORD-100385"/>
    <x v="311"/>
    <x v="2"/>
    <x v="2"/>
    <n v="2"/>
    <n v="299.99"/>
    <x v="0"/>
    <n v="254.99"/>
    <n v="509.98"/>
    <x v="0"/>
    <x v="2"/>
    <x v="0"/>
    <x v="8"/>
    <s v="La Rioja"/>
    <x v="1"/>
    <n v="3"/>
    <n v="599.98"/>
    <n v="90"/>
  </r>
  <r>
    <s v="ORD-100386"/>
    <x v="312"/>
    <x v="6"/>
    <x v="0"/>
    <n v="3"/>
    <n v="89.99"/>
    <x v="0"/>
    <n v="76.489999999999995"/>
    <n v="229.47"/>
    <x v="3"/>
    <x v="0"/>
    <x v="1"/>
    <x v="6"/>
    <s v="Comunitat Valenciana"/>
    <x v="0"/>
    <m/>
    <n v="269.96999999999997"/>
    <n v="40.499999999999972"/>
  </r>
  <r>
    <s v="ORD-100387"/>
    <x v="313"/>
    <x v="18"/>
    <x v="2"/>
    <n v="2"/>
    <n v="99.99"/>
    <x v="2"/>
    <n v="94.99"/>
    <n v="189.98"/>
    <x v="1"/>
    <x v="0"/>
    <x v="0"/>
    <x v="10"/>
    <s v="Cantabria"/>
    <x v="1"/>
    <m/>
    <n v="199.98"/>
    <n v="10"/>
  </r>
  <r>
    <s v="ORD-100388"/>
    <x v="244"/>
    <x v="11"/>
    <x v="0"/>
    <n v="5"/>
    <n v="349.99"/>
    <x v="1"/>
    <n v="349.99"/>
    <n v="1749.95"/>
    <x v="0"/>
    <x v="0"/>
    <x v="1"/>
    <x v="12"/>
    <s v="Región de Murcia"/>
    <x v="1"/>
    <n v="1"/>
    <n v="1749.95"/>
    <n v="0"/>
  </r>
  <r>
    <s v="ORD-100389"/>
    <x v="314"/>
    <x v="2"/>
    <x v="2"/>
    <n v="2"/>
    <n v="299.99"/>
    <x v="2"/>
    <n v="284.99"/>
    <n v="569.98"/>
    <x v="0"/>
    <x v="0"/>
    <x v="2"/>
    <x v="13"/>
    <s v="Andalucía"/>
    <x v="0"/>
    <n v="1"/>
    <n v="599.98"/>
    <n v="30"/>
  </r>
  <r>
    <s v="ORD-100390"/>
    <x v="152"/>
    <x v="15"/>
    <x v="3"/>
    <n v="3"/>
    <n v="69.989999999999995"/>
    <x v="1"/>
    <n v="69.989999999999995"/>
    <n v="209.97"/>
    <x v="0"/>
    <x v="2"/>
    <x v="0"/>
    <x v="8"/>
    <s v="La Rioja"/>
    <x v="1"/>
    <n v="2"/>
    <n v="209.96999999999997"/>
    <n v="0"/>
  </r>
  <r>
    <s v="ORD-100391"/>
    <x v="247"/>
    <x v="14"/>
    <x v="1"/>
    <n v="5"/>
    <n v="249.99"/>
    <x v="1"/>
    <n v="249.99"/>
    <n v="1249.95"/>
    <x v="1"/>
    <x v="0"/>
    <x v="1"/>
    <x v="6"/>
    <s v="Comunitat Valenciana"/>
    <x v="0"/>
    <m/>
    <n v="1249.95"/>
    <n v="0"/>
  </r>
  <r>
    <s v="ORD-100392"/>
    <x v="130"/>
    <x v="10"/>
    <x v="2"/>
    <n v="2"/>
    <n v="69.989999999999995"/>
    <x v="2"/>
    <n v="66.489999999999995"/>
    <n v="132.97999999999999"/>
    <x v="1"/>
    <x v="2"/>
    <x v="0"/>
    <x v="12"/>
    <s v="Región de Murcia"/>
    <x v="1"/>
    <m/>
    <n v="139.97999999999999"/>
    <n v="7"/>
  </r>
  <r>
    <s v="ORD-100393"/>
    <x v="315"/>
    <x v="11"/>
    <x v="0"/>
    <n v="1"/>
    <n v="349.99"/>
    <x v="3"/>
    <n v="314.99"/>
    <n v="314.99"/>
    <x v="1"/>
    <x v="3"/>
    <x v="0"/>
    <x v="14"/>
    <s v="Aragón"/>
    <x v="0"/>
    <m/>
    <n v="349.99"/>
    <n v="35"/>
  </r>
  <r>
    <s v="ORD-100394"/>
    <x v="29"/>
    <x v="28"/>
    <x v="0"/>
    <n v="3"/>
    <n v="499.99"/>
    <x v="0"/>
    <n v="424.99"/>
    <n v="1274.97"/>
    <x v="0"/>
    <x v="1"/>
    <x v="1"/>
    <x v="7"/>
    <s v="Castilla y León"/>
    <x v="1"/>
    <n v="3"/>
    <n v="1499.97"/>
    <n v="225"/>
  </r>
  <r>
    <s v="ORD-100395"/>
    <x v="316"/>
    <x v="19"/>
    <x v="0"/>
    <n v="3"/>
    <n v="1199.99"/>
    <x v="1"/>
    <n v="1199.99"/>
    <n v="3599.97"/>
    <x v="0"/>
    <x v="0"/>
    <x v="3"/>
    <x v="7"/>
    <s v="Castilla y León"/>
    <x v="1"/>
    <n v="1"/>
    <n v="3599.9700000000003"/>
    <n v="0"/>
  </r>
  <r>
    <s v="ORD-100396"/>
    <x v="20"/>
    <x v="16"/>
    <x v="1"/>
    <n v="4"/>
    <n v="79.989999999999995"/>
    <x v="1"/>
    <n v="79.989999999999995"/>
    <n v="319.95999999999998"/>
    <x v="0"/>
    <x v="1"/>
    <x v="3"/>
    <x v="9"/>
    <s v="Asturias"/>
    <x v="1"/>
    <n v="1"/>
    <n v="319.95999999999998"/>
    <n v="0"/>
  </r>
  <r>
    <s v="ORD-100397"/>
    <x v="317"/>
    <x v="22"/>
    <x v="4"/>
    <n v="3"/>
    <n v="44.99"/>
    <x v="1"/>
    <n v="44.99"/>
    <n v="134.97"/>
    <x v="0"/>
    <x v="1"/>
    <x v="3"/>
    <x v="8"/>
    <s v="La Rioja"/>
    <x v="1"/>
    <n v="2"/>
    <n v="134.97"/>
    <n v="0"/>
  </r>
  <r>
    <s v="ORD-100398"/>
    <x v="318"/>
    <x v="18"/>
    <x v="2"/>
    <n v="1"/>
    <n v="99.99"/>
    <x v="1"/>
    <n v="99.99"/>
    <n v="99.99"/>
    <x v="0"/>
    <x v="0"/>
    <x v="0"/>
    <x v="3"/>
    <s v="Comunidad de Madrid"/>
    <x v="2"/>
    <n v="1"/>
    <n v="99.99"/>
    <n v="0"/>
  </r>
  <r>
    <s v="ORD-100399"/>
    <x v="280"/>
    <x v="14"/>
    <x v="1"/>
    <n v="3"/>
    <n v="249.99"/>
    <x v="0"/>
    <n v="212.49"/>
    <n v="637.47"/>
    <x v="1"/>
    <x v="0"/>
    <x v="1"/>
    <x v="2"/>
    <s v="Navarra"/>
    <x v="1"/>
    <m/>
    <n v="749.97"/>
    <n v="112.5"/>
  </r>
  <r>
    <s v="ORD-100400"/>
    <x v="199"/>
    <x v="9"/>
    <x v="2"/>
    <n v="5"/>
    <n v="29.99"/>
    <x v="3"/>
    <n v="26.99"/>
    <n v="134.94999999999999"/>
    <x v="1"/>
    <x v="0"/>
    <x v="0"/>
    <x v="5"/>
    <s v="País Vasco"/>
    <x v="0"/>
    <m/>
    <n v="149.94999999999999"/>
    <n v="15"/>
  </r>
  <r>
    <s v="ORD-100401"/>
    <x v="41"/>
    <x v="8"/>
    <x v="2"/>
    <n v="2"/>
    <n v="59.99"/>
    <x v="3"/>
    <n v="53.99"/>
    <n v="107.98"/>
    <x v="0"/>
    <x v="1"/>
    <x v="2"/>
    <x v="1"/>
    <s v="Comunitat Valenciana"/>
    <x v="1"/>
    <n v="1"/>
    <n v="119.98"/>
    <n v="12"/>
  </r>
  <r>
    <s v="ORD-100402"/>
    <x v="319"/>
    <x v="2"/>
    <x v="2"/>
    <n v="4"/>
    <n v="299.99"/>
    <x v="0"/>
    <n v="254.99"/>
    <n v="1019.96"/>
    <x v="3"/>
    <x v="0"/>
    <x v="0"/>
    <x v="0"/>
    <s v="Andalucía"/>
    <x v="0"/>
    <m/>
    <n v="1199.96"/>
    <n v="180"/>
  </r>
  <r>
    <s v="ORD-100403"/>
    <x v="122"/>
    <x v="0"/>
    <x v="0"/>
    <n v="4"/>
    <n v="45.99"/>
    <x v="3"/>
    <n v="41.39"/>
    <n v="165.56"/>
    <x v="1"/>
    <x v="1"/>
    <x v="1"/>
    <x v="5"/>
    <s v="País Vasco"/>
    <x v="0"/>
    <m/>
    <n v="183.96"/>
    <n v="18.400000000000006"/>
  </r>
  <r>
    <s v="ORD-100404"/>
    <x v="320"/>
    <x v="0"/>
    <x v="0"/>
    <n v="1"/>
    <n v="45.99"/>
    <x v="0"/>
    <n v="39.090000000000003"/>
    <n v="39.090000000000003"/>
    <x v="0"/>
    <x v="0"/>
    <x v="4"/>
    <x v="3"/>
    <s v="Comunidad de Madrid"/>
    <x v="2"/>
    <n v="5"/>
    <n v="45.99"/>
    <n v="6.8999999999999986"/>
  </r>
  <r>
    <s v="ORD-100405"/>
    <x v="321"/>
    <x v="8"/>
    <x v="2"/>
    <n v="3"/>
    <n v="59.99"/>
    <x v="1"/>
    <n v="59.99"/>
    <n v="179.97"/>
    <x v="0"/>
    <x v="2"/>
    <x v="0"/>
    <x v="10"/>
    <s v="Cantabria"/>
    <x v="1"/>
    <n v="1"/>
    <n v="179.97"/>
    <n v="0"/>
  </r>
  <r>
    <s v="ORD-100406"/>
    <x v="322"/>
    <x v="24"/>
    <x v="3"/>
    <n v="4"/>
    <n v="89.99"/>
    <x v="1"/>
    <n v="89.99"/>
    <n v="359.96"/>
    <x v="0"/>
    <x v="1"/>
    <x v="3"/>
    <x v="5"/>
    <s v="País Vasco"/>
    <x v="0"/>
    <n v="1"/>
    <n v="359.96"/>
    <n v="0"/>
  </r>
  <r>
    <s v="ORD-100407"/>
    <x v="128"/>
    <x v="26"/>
    <x v="1"/>
    <n v="5"/>
    <n v="599.99"/>
    <x v="1"/>
    <n v="599.99"/>
    <n v="2999.95"/>
    <x v="0"/>
    <x v="1"/>
    <x v="3"/>
    <x v="8"/>
    <s v="La Rioja"/>
    <x v="1"/>
    <n v="3"/>
    <n v="2999.95"/>
    <n v="0"/>
  </r>
  <r>
    <s v="ORD-100408"/>
    <x v="323"/>
    <x v="23"/>
    <x v="4"/>
    <n v="5"/>
    <n v="24.99"/>
    <x v="0"/>
    <n v="21.24"/>
    <n v="106.2"/>
    <x v="1"/>
    <x v="1"/>
    <x v="0"/>
    <x v="0"/>
    <s v="Andalucía"/>
    <x v="0"/>
    <m/>
    <n v="124.94999999999999"/>
    <n v="18.749999999999986"/>
  </r>
  <r>
    <s v="ORD-100409"/>
    <x v="324"/>
    <x v="28"/>
    <x v="0"/>
    <n v="1"/>
    <n v="499.99"/>
    <x v="2"/>
    <n v="474.99"/>
    <n v="474.99"/>
    <x v="0"/>
    <x v="0"/>
    <x v="4"/>
    <x v="4"/>
    <s v="Castilla y León"/>
    <x v="1"/>
    <n v="1"/>
    <n v="499.99"/>
    <n v="25"/>
  </r>
  <r>
    <s v="ORD-100410"/>
    <x v="90"/>
    <x v="8"/>
    <x v="2"/>
    <n v="4"/>
    <n v="59.99"/>
    <x v="1"/>
    <n v="59.99"/>
    <n v="239.96"/>
    <x v="0"/>
    <x v="2"/>
    <x v="0"/>
    <x v="13"/>
    <s v="Andalucía"/>
    <x v="0"/>
    <n v="1"/>
    <n v="239.96"/>
    <n v="0"/>
  </r>
  <r>
    <s v="ORD-100411"/>
    <x v="325"/>
    <x v="15"/>
    <x v="3"/>
    <n v="1"/>
    <n v="69.989999999999995"/>
    <x v="3"/>
    <n v="62.99"/>
    <n v="62.99"/>
    <x v="1"/>
    <x v="0"/>
    <x v="2"/>
    <x v="3"/>
    <s v="Comunidad de Madrid"/>
    <x v="2"/>
    <m/>
    <n v="69.989999999999995"/>
    <n v="6.9999999999999929"/>
  </r>
  <r>
    <s v="ORD-100412"/>
    <x v="310"/>
    <x v="20"/>
    <x v="3"/>
    <n v="1"/>
    <n v="39.99"/>
    <x v="2"/>
    <n v="37.99"/>
    <n v="37.99"/>
    <x v="2"/>
    <x v="2"/>
    <x v="0"/>
    <x v="2"/>
    <s v="Navarra"/>
    <x v="1"/>
    <m/>
    <n v="39.99"/>
    <n v="2"/>
  </r>
  <r>
    <s v="ORD-100413"/>
    <x v="90"/>
    <x v="26"/>
    <x v="1"/>
    <n v="1"/>
    <n v="599.99"/>
    <x v="1"/>
    <n v="599.99"/>
    <n v="599.99"/>
    <x v="0"/>
    <x v="2"/>
    <x v="1"/>
    <x v="1"/>
    <s v="Comunitat Valenciana"/>
    <x v="1"/>
    <n v="2"/>
    <n v="599.99"/>
    <n v="0"/>
  </r>
  <r>
    <s v="ORD-100414"/>
    <x v="326"/>
    <x v="15"/>
    <x v="3"/>
    <n v="5"/>
    <n v="69.989999999999995"/>
    <x v="2"/>
    <n v="66.489999999999995"/>
    <n v="332.45"/>
    <x v="4"/>
    <x v="0"/>
    <x v="4"/>
    <x v="2"/>
    <s v="Navarra"/>
    <x v="1"/>
    <m/>
    <n v="349.95"/>
    <n v="17.5"/>
  </r>
  <r>
    <s v="ORD-100415"/>
    <x v="327"/>
    <x v="11"/>
    <x v="0"/>
    <n v="1"/>
    <n v="349.99"/>
    <x v="2"/>
    <n v="332.49"/>
    <n v="332.49"/>
    <x v="0"/>
    <x v="0"/>
    <x v="2"/>
    <x v="7"/>
    <s v="Castilla y León"/>
    <x v="1"/>
    <n v="1"/>
    <n v="349.99"/>
    <n v="17.5"/>
  </r>
  <r>
    <s v="ORD-100416"/>
    <x v="328"/>
    <x v="19"/>
    <x v="0"/>
    <n v="4"/>
    <n v="1199.99"/>
    <x v="4"/>
    <n v="959.99"/>
    <n v="3839.96"/>
    <x v="1"/>
    <x v="0"/>
    <x v="3"/>
    <x v="5"/>
    <s v="País Vasco"/>
    <x v="0"/>
    <m/>
    <n v="4799.96"/>
    <n v="960"/>
  </r>
  <r>
    <s v="ORD-100417"/>
    <x v="145"/>
    <x v="3"/>
    <x v="3"/>
    <n v="4"/>
    <n v="34.99"/>
    <x v="1"/>
    <n v="34.99"/>
    <n v="139.96"/>
    <x v="4"/>
    <x v="1"/>
    <x v="0"/>
    <x v="6"/>
    <s v="Comunitat Valenciana"/>
    <x v="0"/>
    <m/>
    <n v="139.96"/>
    <n v="0"/>
  </r>
  <r>
    <s v="ORD-100418"/>
    <x v="97"/>
    <x v="23"/>
    <x v="4"/>
    <n v="5"/>
    <n v="24.99"/>
    <x v="2"/>
    <n v="23.74"/>
    <n v="118.7"/>
    <x v="1"/>
    <x v="1"/>
    <x v="1"/>
    <x v="14"/>
    <s v="Aragón"/>
    <x v="0"/>
    <m/>
    <n v="124.94999999999999"/>
    <n v="6.2499999999999858"/>
  </r>
  <r>
    <s v="ORD-100419"/>
    <x v="51"/>
    <x v="0"/>
    <x v="0"/>
    <n v="5"/>
    <n v="45.99"/>
    <x v="1"/>
    <n v="45.99"/>
    <n v="229.95"/>
    <x v="1"/>
    <x v="0"/>
    <x v="3"/>
    <x v="13"/>
    <s v="Andalucía"/>
    <x v="0"/>
    <m/>
    <n v="229.95000000000002"/>
    <n v="0"/>
  </r>
  <r>
    <s v="ORD-100420"/>
    <x v="277"/>
    <x v="12"/>
    <x v="2"/>
    <n v="2"/>
    <n v="189.99"/>
    <x v="1"/>
    <n v="189.99"/>
    <n v="379.98"/>
    <x v="0"/>
    <x v="0"/>
    <x v="2"/>
    <x v="8"/>
    <s v="La Rioja"/>
    <x v="1"/>
    <n v="3"/>
    <n v="379.98"/>
    <n v="0"/>
  </r>
  <r>
    <s v="ORD-100421"/>
    <x v="329"/>
    <x v="26"/>
    <x v="1"/>
    <n v="3"/>
    <n v="599.99"/>
    <x v="1"/>
    <n v="599.99"/>
    <n v="1799.97"/>
    <x v="0"/>
    <x v="0"/>
    <x v="1"/>
    <x v="0"/>
    <s v="Andalucía"/>
    <x v="0"/>
    <n v="1"/>
    <n v="1799.97"/>
    <n v="0"/>
  </r>
  <r>
    <s v="ORD-100422"/>
    <x v="330"/>
    <x v="0"/>
    <x v="0"/>
    <n v="2"/>
    <n v="45.99"/>
    <x v="2"/>
    <n v="43.69"/>
    <n v="87.38"/>
    <x v="0"/>
    <x v="0"/>
    <x v="3"/>
    <x v="13"/>
    <s v="Andalucía"/>
    <x v="0"/>
    <n v="2"/>
    <n v="91.98"/>
    <n v="4.6000000000000085"/>
  </r>
  <r>
    <s v="ORD-100423"/>
    <x v="172"/>
    <x v="13"/>
    <x v="3"/>
    <n v="4"/>
    <n v="49.99"/>
    <x v="1"/>
    <n v="49.99"/>
    <n v="199.96"/>
    <x v="2"/>
    <x v="0"/>
    <x v="1"/>
    <x v="11"/>
    <s v="Cataluña"/>
    <x v="2"/>
    <m/>
    <n v="199.96"/>
    <n v="0"/>
  </r>
  <r>
    <s v="ORD-100424"/>
    <x v="6"/>
    <x v="2"/>
    <x v="2"/>
    <n v="5"/>
    <n v="299.99"/>
    <x v="1"/>
    <n v="299.99"/>
    <n v="1499.95"/>
    <x v="0"/>
    <x v="0"/>
    <x v="0"/>
    <x v="8"/>
    <s v="La Rioja"/>
    <x v="1"/>
    <n v="2"/>
    <n v="1499.95"/>
    <n v="0"/>
  </r>
  <r>
    <s v="ORD-100425"/>
    <x v="271"/>
    <x v="20"/>
    <x v="3"/>
    <n v="5"/>
    <n v="39.99"/>
    <x v="1"/>
    <n v="39.99"/>
    <n v="199.95"/>
    <x v="1"/>
    <x v="2"/>
    <x v="0"/>
    <x v="5"/>
    <s v="País Vasco"/>
    <x v="0"/>
    <m/>
    <n v="199.95000000000002"/>
    <n v="0"/>
  </r>
  <r>
    <s v="ORD-100426"/>
    <x v="165"/>
    <x v="4"/>
    <x v="4"/>
    <n v="4"/>
    <n v="349.99"/>
    <x v="3"/>
    <n v="314.99"/>
    <n v="1259.96"/>
    <x v="1"/>
    <x v="0"/>
    <x v="0"/>
    <x v="0"/>
    <s v="Andalucía"/>
    <x v="0"/>
    <m/>
    <n v="1399.96"/>
    <n v="140"/>
  </r>
  <r>
    <s v="ORD-100427"/>
    <x v="29"/>
    <x v="0"/>
    <x v="0"/>
    <n v="1"/>
    <n v="45.99"/>
    <x v="1"/>
    <n v="45.99"/>
    <n v="45.99"/>
    <x v="2"/>
    <x v="0"/>
    <x v="2"/>
    <x v="0"/>
    <s v="Andalucía"/>
    <x v="0"/>
    <m/>
    <n v="45.99"/>
    <n v="0"/>
  </r>
  <r>
    <s v="ORD-100428"/>
    <x v="331"/>
    <x v="12"/>
    <x v="2"/>
    <n v="1"/>
    <n v="189.99"/>
    <x v="3"/>
    <n v="170.99"/>
    <n v="170.99"/>
    <x v="0"/>
    <x v="2"/>
    <x v="0"/>
    <x v="4"/>
    <s v="Castilla y León"/>
    <x v="1"/>
    <n v="1"/>
    <n v="189.99"/>
    <n v="19"/>
  </r>
  <r>
    <s v="ORD-100429"/>
    <x v="291"/>
    <x v="23"/>
    <x v="4"/>
    <n v="4"/>
    <n v="24.99"/>
    <x v="4"/>
    <n v="19.989999999999998"/>
    <n v="79.959999999999994"/>
    <x v="0"/>
    <x v="2"/>
    <x v="2"/>
    <x v="4"/>
    <s v="Castilla y León"/>
    <x v="1"/>
    <n v="1"/>
    <n v="99.96"/>
    <n v="20"/>
  </r>
  <r>
    <s v="ORD-100430"/>
    <x v="164"/>
    <x v="26"/>
    <x v="1"/>
    <n v="1"/>
    <n v="599.99"/>
    <x v="1"/>
    <n v="599.99"/>
    <n v="599.99"/>
    <x v="3"/>
    <x v="2"/>
    <x v="3"/>
    <x v="13"/>
    <s v="Andalucía"/>
    <x v="0"/>
    <m/>
    <n v="599.99"/>
    <n v="0"/>
  </r>
  <r>
    <s v="ORD-100431"/>
    <x v="322"/>
    <x v="20"/>
    <x v="3"/>
    <n v="4"/>
    <n v="39.99"/>
    <x v="1"/>
    <n v="39.99"/>
    <n v="159.96"/>
    <x v="0"/>
    <x v="0"/>
    <x v="0"/>
    <x v="4"/>
    <s v="Castilla y León"/>
    <x v="1"/>
    <n v="2"/>
    <n v="159.96"/>
    <n v="0"/>
  </r>
  <r>
    <s v="ORD-100432"/>
    <x v="332"/>
    <x v="27"/>
    <x v="1"/>
    <n v="5"/>
    <n v="49.99"/>
    <x v="3"/>
    <n v="44.99"/>
    <n v="224.95"/>
    <x v="0"/>
    <x v="1"/>
    <x v="2"/>
    <x v="5"/>
    <s v="País Vasco"/>
    <x v="0"/>
    <n v="4"/>
    <n v="249.95000000000002"/>
    <n v="25.000000000000028"/>
  </r>
  <r>
    <s v="ORD-100433"/>
    <x v="28"/>
    <x v="6"/>
    <x v="0"/>
    <n v="3"/>
    <n v="89.99"/>
    <x v="2"/>
    <n v="85.49"/>
    <n v="256.47000000000003"/>
    <x v="0"/>
    <x v="1"/>
    <x v="1"/>
    <x v="0"/>
    <s v="Andalucía"/>
    <x v="0"/>
    <n v="2"/>
    <n v="269.96999999999997"/>
    <n v="13.499999999999943"/>
  </r>
  <r>
    <s v="ORD-100434"/>
    <x v="333"/>
    <x v="8"/>
    <x v="2"/>
    <n v="5"/>
    <n v="59.99"/>
    <x v="4"/>
    <n v="47.99"/>
    <n v="239.95"/>
    <x v="0"/>
    <x v="2"/>
    <x v="3"/>
    <x v="13"/>
    <s v="Andalucía"/>
    <x v="0"/>
    <n v="5"/>
    <n v="299.95"/>
    <n v="60"/>
  </r>
  <r>
    <s v="ORD-100435"/>
    <x v="334"/>
    <x v="15"/>
    <x v="3"/>
    <n v="5"/>
    <n v="69.989999999999995"/>
    <x v="3"/>
    <n v="62.99"/>
    <n v="314.95"/>
    <x v="0"/>
    <x v="0"/>
    <x v="0"/>
    <x v="5"/>
    <s v="País Vasco"/>
    <x v="0"/>
    <n v="2"/>
    <n v="349.95"/>
    <n v="35"/>
  </r>
  <r>
    <s v="ORD-100436"/>
    <x v="322"/>
    <x v="23"/>
    <x v="4"/>
    <n v="3"/>
    <n v="24.99"/>
    <x v="1"/>
    <n v="24.99"/>
    <n v="74.97"/>
    <x v="2"/>
    <x v="1"/>
    <x v="1"/>
    <x v="12"/>
    <s v="Región de Murcia"/>
    <x v="1"/>
    <m/>
    <n v="74.97"/>
    <n v="0"/>
  </r>
  <r>
    <s v="ORD-100437"/>
    <x v="335"/>
    <x v="29"/>
    <x v="0"/>
    <n v="1"/>
    <n v="129.99"/>
    <x v="1"/>
    <n v="129.99"/>
    <n v="129.99"/>
    <x v="1"/>
    <x v="1"/>
    <x v="1"/>
    <x v="5"/>
    <s v="País Vasco"/>
    <x v="0"/>
    <m/>
    <n v="129.99"/>
    <n v="0"/>
  </r>
  <r>
    <s v="ORD-100438"/>
    <x v="336"/>
    <x v="18"/>
    <x v="2"/>
    <n v="2"/>
    <n v="99.99"/>
    <x v="3"/>
    <n v="89.99"/>
    <n v="179.98"/>
    <x v="2"/>
    <x v="0"/>
    <x v="4"/>
    <x v="2"/>
    <s v="Navarra"/>
    <x v="1"/>
    <m/>
    <n v="199.98"/>
    <n v="20"/>
  </r>
  <r>
    <s v="ORD-100439"/>
    <x v="96"/>
    <x v="29"/>
    <x v="0"/>
    <n v="2"/>
    <n v="129.99"/>
    <x v="3"/>
    <n v="116.99"/>
    <n v="233.98"/>
    <x v="0"/>
    <x v="1"/>
    <x v="4"/>
    <x v="10"/>
    <s v="Cantabria"/>
    <x v="1"/>
    <n v="1"/>
    <n v="259.98"/>
    <n v="26.000000000000028"/>
  </r>
  <r>
    <s v="ORD-100440"/>
    <x v="337"/>
    <x v="2"/>
    <x v="2"/>
    <n v="3"/>
    <n v="299.99"/>
    <x v="3"/>
    <n v="269.99"/>
    <n v="809.97"/>
    <x v="0"/>
    <x v="2"/>
    <x v="2"/>
    <x v="1"/>
    <s v="Comunitat Valenciana"/>
    <x v="1"/>
    <n v="4"/>
    <n v="899.97"/>
    <n v="90"/>
  </r>
  <r>
    <s v="ORD-100441"/>
    <x v="338"/>
    <x v="13"/>
    <x v="3"/>
    <n v="2"/>
    <n v="49.99"/>
    <x v="2"/>
    <n v="47.49"/>
    <n v="94.98"/>
    <x v="0"/>
    <x v="0"/>
    <x v="0"/>
    <x v="3"/>
    <s v="Comunidad de Madrid"/>
    <x v="2"/>
    <n v="5"/>
    <n v="99.98"/>
    <n v="5"/>
  </r>
  <r>
    <s v="ORD-100442"/>
    <x v="339"/>
    <x v="19"/>
    <x v="0"/>
    <n v="3"/>
    <n v="1199.99"/>
    <x v="3"/>
    <n v="1079.99"/>
    <n v="3239.97"/>
    <x v="0"/>
    <x v="0"/>
    <x v="0"/>
    <x v="6"/>
    <s v="Comunitat Valenciana"/>
    <x v="0"/>
    <n v="3"/>
    <n v="3599.9700000000003"/>
    <n v="360.00000000000045"/>
  </r>
  <r>
    <s v="ORD-100443"/>
    <x v="340"/>
    <x v="19"/>
    <x v="0"/>
    <n v="2"/>
    <n v="1199.99"/>
    <x v="3"/>
    <n v="1079.99"/>
    <n v="2159.98"/>
    <x v="1"/>
    <x v="2"/>
    <x v="2"/>
    <x v="6"/>
    <s v="Comunitat Valenciana"/>
    <x v="0"/>
    <m/>
    <n v="2399.98"/>
    <n v="240"/>
  </r>
  <r>
    <s v="ORD-100444"/>
    <x v="341"/>
    <x v="6"/>
    <x v="0"/>
    <n v="3"/>
    <n v="89.99"/>
    <x v="0"/>
    <n v="76.489999999999995"/>
    <n v="229.47"/>
    <x v="3"/>
    <x v="1"/>
    <x v="0"/>
    <x v="13"/>
    <s v="Andalucía"/>
    <x v="0"/>
    <m/>
    <n v="269.96999999999997"/>
    <n v="40.499999999999972"/>
  </r>
  <r>
    <s v="ORD-100445"/>
    <x v="342"/>
    <x v="11"/>
    <x v="0"/>
    <n v="2"/>
    <n v="349.99"/>
    <x v="0"/>
    <n v="297.49"/>
    <n v="594.98"/>
    <x v="3"/>
    <x v="1"/>
    <x v="3"/>
    <x v="2"/>
    <s v="Navarra"/>
    <x v="1"/>
    <m/>
    <n v="699.98"/>
    <n v="105"/>
  </r>
  <r>
    <s v="ORD-100446"/>
    <x v="343"/>
    <x v="29"/>
    <x v="0"/>
    <n v="5"/>
    <n v="129.99"/>
    <x v="0"/>
    <n v="110.49"/>
    <n v="552.45000000000005"/>
    <x v="2"/>
    <x v="2"/>
    <x v="0"/>
    <x v="1"/>
    <s v="Comunitat Valenciana"/>
    <x v="1"/>
    <m/>
    <n v="649.95000000000005"/>
    <n v="97.5"/>
  </r>
  <r>
    <s v="ORD-100447"/>
    <x v="344"/>
    <x v="25"/>
    <x v="4"/>
    <n v="2"/>
    <n v="34.99"/>
    <x v="2"/>
    <n v="33.24"/>
    <n v="66.48"/>
    <x v="0"/>
    <x v="0"/>
    <x v="0"/>
    <x v="10"/>
    <s v="Cantabria"/>
    <x v="1"/>
    <n v="1"/>
    <n v="69.98"/>
    <n v="3.5"/>
  </r>
  <r>
    <s v="ORD-100448"/>
    <x v="84"/>
    <x v="1"/>
    <x v="1"/>
    <n v="4"/>
    <n v="399.99"/>
    <x v="4"/>
    <n v="319.99"/>
    <n v="1279.96"/>
    <x v="4"/>
    <x v="0"/>
    <x v="1"/>
    <x v="1"/>
    <s v="Comunitat Valenciana"/>
    <x v="1"/>
    <m/>
    <n v="1599.96"/>
    <n v="320"/>
  </r>
  <r>
    <s v="ORD-100449"/>
    <x v="345"/>
    <x v="28"/>
    <x v="0"/>
    <n v="5"/>
    <n v="499.99"/>
    <x v="1"/>
    <n v="499.99"/>
    <n v="2499.9499999999998"/>
    <x v="3"/>
    <x v="0"/>
    <x v="0"/>
    <x v="6"/>
    <s v="Comunitat Valenciana"/>
    <x v="0"/>
    <m/>
    <n v="2499.9499999999998"/>
    <n v="0"/>
  </r>
  <r>
    <s v="ORD-100450"/>
    <x v="346"/>
    <x v="24"/>
    <x v="3"/>
    <n v="2"/>
    <n v="89.99"/>
    <x v="0"/>
    <n v="76.489999999999995"/>
    <n v="152.97999999999999"/>
    <x v="2"/>
    <x v="2"/>
    <x v="1"/>
    <x v="11"/>
    <s v="Cataluña"/>
    <x v="2"/>
    <m/>
    <n v="179.98"/>
    <n v="27"/>
  </r>
  <r>
    <s v="ORD-100451"/>
    <x v="328"/>
    <x v="26"/>
    <x v="1"/>
    <n v="1"/>
    <n v="599.99"/>
    <x v="1"/>
    <n v="599.99"/>
    <n v="599.99"/>
    <x v="0"/>
    <x v="0"/>
    <x v="0"/>
    <x v="10"/>
    <s v="Cantabria"/>
    <x v="1"/>
    <n v="1"/>
    <n v="599.99"/>
    <n v="0"/>
  </r>
  <r>
    <s v="ORD-100452"/>
    <x v="347"/>
    <x v="17"/>
    <x v="0"/>
    <n v="4"/>
    <n v="899.99"/>
    <x v="2"/>
    <n v="854.99"/>
    <n v="3419.96"/>
    <x v="1"/>
    <x v="2"/>
    <x v="3"/>
    <x v="6"/>
    <s v="Comunitat Valenciana"/>
    <x v="0"/>
    <m/>
    <n v="3599.96"/>
    <n v="180"/>
  </r>
  <r>
    <s v="ORD-100453"/>
    <x v="348"/>
    <x v="15"/>
    <x v="3"/>
    <n v="5"/>
    <n v="69.989999999999995"/>
    <x v="2"/>
    <n v="66.489999999999995"/>
    <n v="332.45"/>
    <x v="0"/>
    <x v="2"/>
    <x v="3"/>
    <x v="12"/>
    <s v="Región de Murcia"/>
    <x v="1"/>
    <n v="2"/>
    <n v="349.95"/>
    <n v="17.5"/>
  </r>
  <r>
    <s v="ORD-100454"/>
    <x v="226"/>
    <x v="26"/>
    <x v="1"/>
    <n v="1"/>
    <n v="599.99"/>
    <x v="4"/>
    <n v="479.99"/>
    <n v="479.99"/>
    <x v="2"/>
    <x v="0"/>
    <x v="0"/>
    <x v="5"/>
    <s v="País Vasco"/>
    <x v="0"/>
    <m/>
    <n v="599.99"/>
    <n v="120"/>
  </r>
  <r>
    <s v="ORD-100455"/>
    <x v="349"/>
    <x v="6"/>
    <x v="0"/>
    <n v="3"/>
    <n v="89.99"/>
    <x v="1"/>
    <n v="89.99"/>
    <n v="269.97000000000003"/>
    <x v="2"/>
    <x v="1"/>
    <x v="3"/>
    <x v="6"/>
    <s v="Comunitat Valenciana"/>
    <x v="0"/>
    <m/>
    <n v="269.96999999999997"/>
    <n v="0"/>
  </r>
  <r>
    <s v="ORD-100456"/>
    <x v="350"/>
    <x v="24"/>
    <x v="3"/>
    <n v="5"/>
    <n v="89.99"/>
    <x v="3"/>
    <n v="80.989999999999995"/>
    <n v="404.95"/>
    <x v="2"/>
    <x v="0"/>
    <x v="4"/>
    <x v="10"/>
    <s v="Cantabria"/>
    <x v="1"/>
    <m/>
    <n v="449.95"/>
    <n v="45"/>
  </r>
  <r>
    <s v="ORD-100457"/>
    <x v="351"/>
    <x v="27"/>
    <x v="1"/>
    <n v="4"/>
    <n v="49.99"/>
    <x v="1"/>
    <n v="49.99"/>
    <n v="199.96"/>
    <x v="0"/>
    <x v="0"/>
    <x v="0"/>
    <x v="14"/>
    <s v="Aragón"/>
    <x v="0"/>
    <n v="5"/>
    <n v="199.96"/>
    <n v="0"/>
  </r>
  <r>
    <s v="ORD-100458"/>
    <x v="352"/>
    <x v="7"/>
    <x v="3"/>
    <n v="3"/>
    <n v="19.989999999999998"/>
    <x v="1"/>
    <n v="19.989999999999998"/>
    <n v="59.97"/>
    <x v="0"/>
    <x v="0"/>
    <x v="3"/>
    <x v="3"/>
    <s v="Comunidad de Madrid"/>
    <x v="2"/>
    <n v="4"/>
    <n v="59.97"/>
    <n v="0"/>
  </r>
  <r>
    <s v="ORD-100459"/>
    <x v="353"/>
    <x v="17"/>
    <x v="0"/>
    <n v="3"/>
    <n v="899.99"/>
    <x v="1"/>
    <n v="899.99"/>
    <n v="2699.97"/>
    <x v="0"/>
    <x v="2"/>
    <x v="1"/>
    <x v="5"/>
    <s v="País Vasco"/>
    <x v="0"/>
    <n v="4"/>
    <n v="2699.9700000000003"/>
    <n v="0"/>
  </r>
  <r>
    <s v="ORD-100460"/>
    <x v="185"/>
    <x v="0"/>
    <x v="0"/>
    <n v="1"/>
    <n v="45.99"/>
    <x v="1"/>
    <n v="45.99"/>
    <n v="45.99"/>
    <x v="0"/>
    <x v="3"/>
    <x v="3"/>
    <x v="5"/>
    <s v="País Vasco"/>
    <x v="0"/>
    <n v="1"/>
    <n v="45.99"/>
    <n v="0"/>
  </r>
  <r>
    <s v="ORD-100461"/>
    <x v="354"/>
    <x v="8"/>
    <x v="2"/>
    <n v="4"/>
    <n v="59.99"/>
    <x v="2"/>
    <n v="56.99"/>
    <n v="227.96"/>
    <x v="0"/>
    <x v="0"/>
    <x v="1"/>
    <x v="9"/>
    <s v="Asturias"/>
    <x v="1"/>
    <n v="4"/>
    <n v="239.96"/>
    <n v="12"/>
  </r>
  <r>
    <s v="ORD-100462"/>
    <x v="355"/>
    <x v="15"/>
    <x v="3"/>
    <n v="4"/>
    <n v="69.989999999999995"/>
    <x v="1"/>
    <n v="69.989999999999995"/>
    <n v="279.95999999999998"/>
    <x v="0"/>
    <x v="0"/>
    <x v="3"/>
    <x v="3"/>
    <s v="Comunidad de Madrid"/>
    <x v="2"/>
    <n v="2"/>
    <n v="279.95999999999998"/>
    <n v="0"/>
  </r>
  <r>
    <s v="ORD-100463"/>
    <x v="356"/>
    <x v="1"/>
    <x v="1"/>
    <n v="1"/>
    <n v="399.99"/>
    <x v="1"/>
    <n v="399.99"/>
    <n v="399.99"/>
    <x v="1"/>
    <x v="0"/>
    <x v="1"/>
    <x v="9"/>
    <s v="Asturias"/>
    <x v="1"/>
    <m/>
    <n v="399.99"/>
    <n v="0"/>
  </r>
  <r>
    <s v="ORD-100464"/>
    <x v="121"/>
    <x v="3"/>
    <x v="3"/>
    <n v="5"/>
    <n v="34.99"/>
    <x v="1"/>
    <n v="34.99"/>
    <n v="174.95"/>
    <x v="0"/>
    <x v="0"/>
    <x v="3"/>
    <x v="8"/>
    <s v="La Rioja"/>
    <x v="1"/>
    <n v="5"/>
    <n v="174.95000000000002"/>
    <n v="0"/>
  </r>
  <r>
    <s v="ORD-100465"/>
    <x v="53"/>
    <x v="4"/>
    <x v="4"/>
    <n v="4"/>
    <n v="349.99"/>
    <x v="3"/>
    <n v="314.99"/>
    <n v="1259.96"/>
    <x v="2"/>
    <x v="0"/>
    <x v="3"/>
    <x v="12"/>
    <s v="Región de Murcia"/>
    <x v="1"/>
    <m/>
    <n v="1399.96"/>
    <n v="140"/>
  </r>
  <r>
    <s v="ORD-100466"/>
    <x v="332"/>
    <x v="14"/>
    <x v="1"/>
    <n v="5"/>
    <n v="249.99"/>
    <x v="3"/>
    <n v="224.99"/>
    <n v="1124.95"/>
    <x v="2"/>
    <x v="3"/>
    <x v="0"/>
    <x v="9"/>
    <s v="Asturias"/>
    <x v="1"/>
    <m/>
    <n v="1249.95"/>
    <n v="125"/>
  </r>
  <r>
    <s v="ORD-100467"/>
    <x v="357"/>
    <x v="29"/>
    <x v="0"/>
    <n v="2"/>
    <n v="129.99"/>
    <x v="1"/>
    <n v="129.99"/>
    <n v="259.98"/>
    <x v="2"/>
    <x v="0"/>
    <x v="0"/>
    <x v="6"/>
    <s v="Comunitat Valenciana"/>
    <x v="0"/>
    <m/>
    <n v="259.98"/>
    <n v="0"/>
  </r>
  <r>
    <s v="ORD-100468"/>
    <x v="358"/>
    <x v="3"/>
    <x v="3"/>
    <n v="2"/>
    <n v="34.99"/>
    <x v="4"/>
    <n v="27.99"/>
    <n v="55.98"/>
    <x v="1"/>
    <x v="1"/>
    <x v="0"/>
    <x v="8"/>
    <s v="La Rioja"/>
    <x v="1"/>
    <m/>
    <n v="69.98"/>
    <n v="14.000000000000007"/>
  </r>
  <r>
    <s v="ORD-100469"/>
    <x v="359"/>
    <x v="6"/>
    <x v="0"/>
    <n v="4"/>
    <n v="89.99"/>
    <x v="3"/>
    <n v="80.989999999999995"/>
    <n v="323.95999999999998"/>
    <x v="0"/>
    <x v="2"/>
    <x v="3"/>
    <x v="14"/>
    <s v="Aragón"/>
    <x v="0"/>
    <n v="1"/>
    <n v="359.96"/>
    <n v="36"/>
  </r>
  <r>
    <s v="ORD-100470"/>
    <x v="360"/>
    <x v="27"/>
    <x v="1"/>
    <n v="5"/>
    <n v="49.99"/>
    <x v="3"/>
    <n v="44.99"/>
    <n v="224.95"/>
    <x v="1"/>
    <x v="0"/>
    <x v="0"/>
    <x v="11"/>
    <s v="Cataluña"/>
    <x v="2"/>
    <m/>
    <n v="249.95000000000002"/>
    <n v="25.000000000000028"/>
  </r>
  <r>
    <s v="ORD-100471"/>
    <x v="361"/>
    <x v="1"/>
    <x v="1"/>
    <n v="1"/>
    <n v="399.99"/>
    <x v="1"/>
    <n v="399.99"/>
    <n v="399.99"/>
    <x v="0"/>
    <x v="2"/>
    <x v="2"/>
    <x v="11"/>
    <s v="Cataluña"/>
    <x v="2"/>
    <n v="3"/>
    <n v="399.99"/>
    <n v="0"/>
  </r>
  <r>
    <s v="ORD-100472"/>
    <x v="362"/>
    <x v="7"/>
    <x v="3"/>
    <n v="4"/>
    <n v="19.989999999999998"/>
    <x v="0"/>
    <n v="16.989999999999998"/>
    <n v="67.959999999999994"/>
    <x v="0"/>
    <x v="1"/>
    <x v="0"/>
    <x v="1"/>
    <s v="Comunitat Valenciana"/>
    <x v="1"/>
    <n v="4"/>
    <n v="79.959999999999994"/>
    <n v="12"/>
  </r>
  <r>
    <s v="ORD-100473"/>
    <x v="267"/>
    <x v="27"/>
    <x v="1"/>
    <n v="5"/>
    <n v="49.99"/>
    <x v="0"/>
    <n v="42.49"/>
    <n v="212.45"/>
    <x v="1"/>
    <x v="0"/>
    <x v="2"/>
    <x v="3"/>
    <s v="Comunidad de Madrid"/>
    <x v="2"/>
    <m/>
    <n v="249.95000000000002"/>
    <n v="37.500000000000028"/>
  </r>
  <r>
    <s v="ORD-100474"/>
    <x v="316"/>
    <x v="28"/>
    <x v="0"/>
    <n v="1"/>
    <n v="499.99"/>
    <x v="0"/>
    <n v="424.99"/>
    <n v="424.99"/>
    <x v="0"/>
    <x v="2"/>
    <x v="0"/>
    <x v="5"/>
    <s v="País Vasco"/>
    <x v="0"/>
    <n v="3"/>
    <n v="499.99"/>
    <n v="75"/>
  </r>
  <r>
    <s v="ORD-100475"/>
    <x v="109"/>
    <x v="7"/>
    <x v="3"/>
    <n v="4"/>
    <n v="19.989999999999998"/>
    <x v="4"/>
    <n v="15.99"/>
    <n v="63.96"/>
    <x v="1"/>
    <x v="3"/>
    <x v="0"/>
    <x v="11"/>
    <s v="Cataluña"/>
    <x v="2"/>
    <m/>
    <n v="79.959999999999994"/>
    <n v="15.999999999999993"/>
  </r>
  <r>
    <s v="ORD-100476"/>
    <x v="54"/>
    <x v="10"/>
    <x v="2"/>
    <n v="4"/>
    <n v="69.989999999999995"/>
    <x v="4"/>
    <n v="55.99"/>
    <n v="223.96"/>
    <x v="2"/>
    <x v="1"/>
    <x v="1"/>
    <x v="5"/>
    <s v="País Vasco"/>
    <x v="0"/>
    <m/>
    <n v="279.95999999999998"/>
    <n v="55.999999999999972"/>
  </r>
  <r>
    <s v="ORD-100477"/>
    <x v="363"/>
    <x v="21"/>
    <x v="0"/>
    <n v="4"/>
    <n v="799.99"/>
    <x v="1"/>
    <n v="799.99"/>
    <n v="3199.96"/>
    <x v="3"/>
    <x v="1"/>
    <x v="1"/>
    <x v="13"/>
    <s v="Andalucía"/>
    <x v="0"/>
    <m/>
    <n v="3199.96"/>
    <n v="0"/>
  </r>
  <r>
    <s v="ORD-100478"/>
    <x v="242"/>
    <x v="25"/>
    <x v="4"/>
    <n v="1"/>
    <n v="34.99"/>
    <x v="3"/>
    <n v="31.49"/>
    <n v="31.49"/>
    <x v="1"/>
    <x v="0"/>
    <x v="3"/>
    <x v="11"/>
    <s v="Cataluña"/>
    <x v="2"/>
    <m/>
    <n v="34.99"/>
    <n v="3.5000000000000036"/>
  </r>
  <r>
    <s v="ORD-100479"/>
    <x v="305"/>
    <x v="18"/>
    <x v="2"/>
    <n v="5"/>
    <n v="99.99"/>
    <x v="3"/>
    <n v="89.99"/>
    <n v="449.95"/>
    <x v="0"/>
    <x v="2"/>
    <x v="0"/>
    <x v="0"/>
    <s v="Andalucía"/>
    <x v="0"/>
    <n v="1"/>
    <n v="499.95"/>
    <n v="50"/>
  </r>
  <r>
    <s v="ORD-100480"/>
    <x v="364"/>
    <x v="17"/>
    <x v="0"/>
    <n v="4"/>
    <n v="899.99"/>
    <x v="1"/>
    <n v="899.99"/>
    <n v="3599.96"/>
    <x v="3"/>
    <x v="0"/>
    <x v="3"/>
    <x v="10"/>
    <s v="Cantabria"/>
    <x v="1"/>
    <m/>
    <n v="3599.96"/>
    <n v="0"/>
  </r>
  <r>
    <s v="ORD-100481"/>
    <x v="326"/>
    <x v="14"/>
    <x v="1"/>
    <n v="4"/>
    <n v="249.99"/>
    <x v="0"/>
    <n v="212.49"/>
    <n v="849.96"/>
    <x v="3"/>
    <x v="0"/>
    <x v="3"/>
    <x v="9"/>
    <s v="Asturias"/>
    <x v="1"/>
    <m/>
    <n v="999.96"/>
    <n v="150"/>
  </r>
  <r>
    <s v="ORD-100482"/>
    <x v="278"/>
    <x v="26"/>
    <x v="1"/>
    <n v="2"/>
    <n v="599.99"/>
    <x v="4"/>
    <n v="479.99"/>
    <n v="959.98"/>
    <x v="0"/>
    <x v="0"/>
    <x v="0"/>
    <x v="7"/>
    <s v="Castilla y León"/>
    <x v="1"/>
    <n v="3"/>
    <n v="1199.98"/>
    <n v="240"/>
  </r>
  <r>
    <s v="ORD-100483"/>
    <x v="217"/>
    <x v="6"/>
    <x v="0"/>
    <n v="3"/>
    <n v="89.99"/>
    <x v="1"/>
    <n v="89.99"/>
    <n v="269.97000000000003"/>
    <x v="0"/>
    <x v="2"/>
    <x v="1"/>
    <x v="6"/>
    <s v="Comunitat Valenciana"/>
    <x v="0"/>
    <n v="2"/>
    <n v="269.96999999999997"/>
    <n v="0"/>
  </r>
  <r>
    <s v="ORD-100484"/>
    <x v="365"/>
    <x v="9"/>
    <x v="2"/>
    <n v="2"/>
    <n v="29.99"/>
    <x v="0"/>
    <n v="25.49"/>
    <n v="50.98"/>
    <x v="0"/>
    <x v="0"/>
    <x v="0"/>
    <x v="9"/>
    <s v="Asturias"/>
    <x v="1"/>
    <n v="1"/>
    <n v="59.98"/>
    <n v="9"/>
  </r>
  <r>
    <s v="ORD-100485"/>
    <x v="366"/>
    <x v="22"/>
    <x v="4"/>
    <n v="2"/>
    <n v="44.99"/>
    <x v="0"/>
    <n v="38.24"/>
    <n v="76.48"/>
    <x v="0"/>
    <x v="0"/>
    <x v="0"/>
    <x v="2"/>
    <s v="Navarra"/>
    <x v="1"/>
    <n v="3"/>
    <n v="89.98"/>
    <n v="13.5"/>
  </r>
  <r>
    <s v="ORD-100486"/>
    <x v="367"/>
    <x v="2"/>
    <x v="2"/>
    <n v="3"/>
    <n v="299.99"/>
    <x v="2"/>
    <n v="284.99"/>
    <n v="854.97"/>
    <x v="2"/>
    <x v="0"/>
    <x v="0"/>
    <x v="8"/>
    <s v="La Rioja"/>
    <x v="1"/>
    <m/>
    <n v="899.97"/>
    <n v="45"/>
  </r>
  <r>
    <s v="ORD-100487"/>
    <x v="219"/>
    <x v="13"/>
    <x v="3"/>
    <n v="5"/>
    <n v="49.99"/>
    <x v="4"/>
    <n v="39.99"/>
    <n v="199.95"/>
    <x v="1"/>
    <x v="0"/>
    <x v="3"/>
    <x v="1"/>
    <s v="Comunitat Valenciana"/>
    <x v="1"/>
    <m/>
    <n v="249.95000000000002"/>
    <n v="50.000000000000028"/>
  </r>
  <r>
    <s v="ORD-100488"/>
    <x v="105"/>
    <x v="25"/>
    <x v="4"/>
    <n v="3"/>
    <n v="34.99"/>
    <x v="3"/>
    <n v="31.49"/>
    <n v="94.47"/>
    <x v="1"/>
    <x v="0"/>
    <x v="1"/>
    <x v="1"/>
    <s v="Comunitat Valenciana"/>
    <x v="1"/>
    <m/>
    <n v="104.97"/>
    <n v="10.5"/>
  </r>
  <r>
    <s v="ORD-100489"/>
    <x v="368"/>
    <x v="6"/>
    <x v="0"/>
    <n v="3"/>
    <n v="89.99"/>
    <x v="1"/>
    <n v="89.99"/>
    <n v="269.97000000000003"/>
    <x v="1"/>
    <x v="0"/>
    <x v="1"/>
    <x v="8"/>
    <s v="La Rioja"/>
    <x v="1"/>
    <m/>
    <n v="269.96999999999997"/>
    <n v="0"/>
  </r>
  <r>
    <s v="ORD-100490"/>
    <x v="369"/>
    <x v="13"/>
    <x v="3"/>
    <n v="2"/>
    <n v="49.99"/>
    <x v="1"/>
    <n v="49.99"/>
    <n v="99.98"/>
    <x v="0"/>
    <x v="2"/>
    <x v="2"/>
    <x v="0"/>
    <s v="Andalucía"/>
    <x v="0"/>
    <n v="5"/>
    <n v="99.98"/>
    <n v="0"/>
  </r>
  <r>
    <s v="ORD-100491"/>
    <x v="370"/>
    <x v="12"/>
    <x v="2"/>
    <n v="3"/>
    <n v="189.99"/>
    <x v="0"/>
    <n v="161.49"/>
    <n v="484.47"/>
    <x v="0"/>
    <x v="1"/>
    <x v="4"/>
    <x v="3"/>
    <s v="Comunidad de Madrid"/>
    <x v="2"/>
    <n v="3"/>
    <n v="569.97"/>
    <n v="85.5"/>
  </r>
  <r>
    <s v="ORD-100492"/>
    <x v="220"/>
    <x v="20"/>
    <x v="3"/>
    <n v="4"/>
    <n v="39.99"/>
    <x v="0"/>
    <n v="33.99"/>
    <n v="135.96"/>
    <x v="0"/>
    <x v="3"/>
    <x v="2"/>
    <x v="10"/>
    <s v="Cantabria"/>
    <x v="1"/>
    <n v="3"/>
    <n v="159.96"/>
    <n v="24"/>
  </r>
  <r>
    <s v="ORD-100493"/>
    <x v="371"/>
    <x v="28"/>
    <x v="0"/>
    <n v="5"/>
    <n v="499.99"/>
    <x v="0"/>
    <n v="424.99"/>
    <n v="2124.9499999999998"/>
    <x v="1"/>
    <x v="2"/>
    <x v="3"/>
    <x v="4"/>
    <s v="Castilla y León"/>
    <x v="1"/>
    <m/>
    <n v="2499.9499999999998"/>
    <n v="375"/>
  </r>
  <r>
    <s v="ORD-100494"/>
    <x v="54"/>
    <x v="4"/>
    <x v="4"/>
    <n v="2"/>
    <n v="349.99"/>
    <x v="4"/>
    <n v="279.99"/>
    <n v="559.98"/>
    <x v="1"/>
    <x v="0"/>
    <x v="0"/>
    <x v="7"/>
    <s v="Castilla y León"/>
    <x v="1"/>
    <m/>
    <n v="699.98"/>
    <n v="140"/>
  </r>
  <r>
    <s v="ORD-100495"/>
    <x v="212"/>
    <x v="10"/>
    <x v="2"/>
    <n v="3"/>
    <n v="69.989999999999995"/>
    <x v="0"/>
    <n v="59.49"/>
    <n v="178.47"/>
    <x v="2"/>
    <x v="2"/>
    <x v="4"/>
    <x v="2"/>
    <s v="Navarra"/>
    <x v="1"/>
    <m/>
    <n v="209.96999999999997"/>
    <n v="31.499999999999972"/>
  </r>
  <r>
    <s v="ORD-100496"/>
    <x v="328"/>
    <x v="9"/>
    <x v="2"/>
    <n v="1"/>
    <n v="29.99"/>
    <x v="1"/>
    <n v="29.99"/>
    <n v="29.99"/>
    <x v="0"/>
    <x v="2"/>
    <x v="3"/>
    <x v="10"/>
    <s v="Cantabria"/>
    <x v="1"/>
    <n v="3"/>
    <n v="29.99"/>
    <n v="0"/>
  </r>
  <r>
    <s v="ORD-100497"/>
    <x v="372"/>
    <x v="7"/>
    <x v="3"/>
    <n v="5"/>
    <n v="19.989999999999998"/>
    <x v="1"/>
    <n v="19.989999999999998"/>
    <n v="99.95"/>
    <x v="0"/>
    <x v="1"/>
    <x v="2"/>
    <x v="11"/>
    <s v="Cataluña"/>
    <x v="2"/>
    <n v="5"/>
    <n v="99.949999999999989"/>
    <n v="0"/>
  </r>
  <r>
    <s v="ORD-100498"/>
    <x v="51"/>
    <x v="27"/>
    <x v="1"/>
    <n v="1"/>
    <n v="49.99"/>
    <x v="2"/>
    <n v="47.49"/>
    <n v="47.49"/>
    <x v="2"/>
    <x v="0"/>
    <x v="1"/>
    <x v="7"/>
    <s v="Castilla y León"/>
    <x v="1"/>
    <m/>
    <n v="49.99"/>
    <n v="2.5"/>
  </r>
  <r>
    <s v="ORD-100499"/>
    <x v="254"/>
    <x v="13"/>
    <x v="3"/>
    <n v="4"/>
    <n v="49.99"/>
    <x v="1"/>
    <n v="49.99"/>
    <n v="199.96"/>
    <x v="2"/>
    <x v="0"/>
    <x v="0"/>
    <x v="6"/>
    <s v="Comunitat Valenciana"/>
    <x v="0"/>
    <m/>
    <n v="199.96"/>
    <n v="0"/>
  </r>
  <r>
    <s v="ORD-100500"/>
    <x v="373"/>
    <x v="1"/>
    <x v="1"/>
    <n v="4"/>
    <n v="399.99"/>
    <x v="1"/>
    <n v="399.99"/>
    <n v="1599.96"/>
    <x v="0"/>
    <x v="0"/>
    <x v="0"/>
    <x v="10"/>
    <s v="Cantabria"/>
    <x v="1"/>
    <n v="3"/>
    <n v="1599.96"/>
    <n v="0"/>
  </r>
  <r>
    <s v="ORD-100501"/>
    <x v="374"/>
    <x v="29"/>
    <x v="0"/>
    <n v="3"/>
    <n v="129.99"/>
    <x v="0"/>
    <n v="110.49"/>
    <n v="331.47"/>
    <x v="0"/>
    <x v="0"/>
    <x v="1"/>
    <x v="12"/>
    <s v="Región de Murcia"/>
    <x v="1"/>
    <n v="2"/>
    <n v="389.97"/>
    <n v="58.5"/>
  </r>
  <r>
    <s v="ORD-100502"/>
    <x v="215"/>
    <x v="18"/>
    <x v="2"/>
    <n v="2"/>
    <n v="99.99"/>
    <x v="2"/>
    <n v="94.99"/>
    <n v="189.98"/>
    <x v="1"/>
    <x v="0"/>
    <x v="1"/>
    <x v="2"/>
    <s v="Navarra"/>
    <x v="1"/>
    <m/>
    <n v="199.98"/>
    <n v="10"/>
  </r>
  <r>
    <s v="ORD-100503"/>
    <x v="375"/>
    <x v="3"/>
    <x v="3"/>
    <n v="4"/>
    <n v="34.99"/>
    <x v="2"/>
    <n v="33.24"/>
    <n v="132.96"/>
    <x v="4"/>
    <x v="0"/>
    <x v="3"/>
    <x v="13"/>
    <s v="Andalucía"/>
    <x v="0"/>
    <m/>
    <n v="139.96"/>
    <n v="7"/>
  </r>
  <r>
    <s v="ORD-100504"/>
    <x v="242"/>
    <x v="19"/>
    <x v="0"/>
    <n v="3"/>
    <n v="1199.99"/>
    <x v="4"/>
    <n v="959.99"/>
    <n v="2879.97"/>
    <x v="2"/>
    <x v="0"/>
    <x v="0"/>
    <x v="0"/>
    <s v="Andalucía"/>
    <x v="0"/>
    <m/>
    <n v="3599.9700000000003"/>
    <n v="720.00000000000045"/>
  </r>
  <r>
    <s v="ORD-100505"/>
    <x v="47"/>
    <x v="28"/>
    <x v="0"/>
    <n v="3"/>
    <n v="499.99"/>
    <x v="1"/>
    <n v="499.99"/>
    <n v="1499.97"/>
    <x v="0"/>
    <x v="1"/>
    <x v="0"/>
    <x v="13"/>
    <s v="Andalucía"/>
    <x v="0"/>
    <n v="1"/>
    <n v="1499.97"/>
    <n v="0"/>
  </r>
  <r>
    <s v="ORD-100506"/>
    <x v="376"/>
    <x v="13"/>
    <x v="3"/>
    <n v="3"/>
    <n v="49.99"/>
    <x v="2"/>
    <n v="47.49"/>
    <n v="142.47"/>
    <x v="1"/>
    <x v="1"/>
    <x v="3"/>
    <x v="1"/>
    <s v="Comunitat Valenciana"/>
    <x v="1"/>
    <m/>
    <n v="149.97"/>
    <n v="7.5"/>
  </r>
  <r>
    <s v="ORD-100507"/>
    <x v="53"/>
    <x v="11"/>
    <x v="0"/>
    <n v="3"/>
    <n v="349.99"/>
    <x v="2"/>
    <n v="332.49"/>
    <n v="997.47"/>
    <x v="0"/>
    <x v="0"/>
    <x v="4"/>
    <x v="0"/>
    <s v="Andalucía"/>
    <x v="0"/>
    <n v="4"/>
    <n v="1049.97"/>
    <n v="52.5"/>
  </r>
  <r>
    <s v="ORD-100508"/>
    <x v="377"/>
    <x v="28"/>
    <x v="0"/>
    <n v="2"/>
    <n v="499.99"/>
    <x v="0"/>
    <n v="424.99"/>
    <n v="849.98"/>
    <x v="4"/>
    <x v="1"/>
    <x v="3"/>
    <x v="0"/>
    <s v="Andalucía"/>
    <x v="0"/>
    <m/>
    <n v="999.98"/>
    <n v="150"/>
  </r>
  <r>
    <s v="ORD-100509"/>
    <x v="378"/>
    <x v="0"/>
    <x v="0"/>
    <n v="3"/>
    <n v="45.99"/>
    <x v="0"/>
    <n v="39.090000000000003"/>
    <n v="117.27"/>
    <x v="1"/>
    <x v="0"/>
    <x v="1"/>
    <x v="3"/>
    <s v="Comunidad de Madrid"/>
    <x v="2"/>
    <m/>
    <n v="137.97"/>
    <n v="20.700000000000003"/>
  </r>
  <r>
    <s v="ORD-100510"/>
    <x v="379"/>
    <x v="27"/>
    <x v="1"/>
    <n v="1"/>
    <n v="49.99"/>
    <x v="3"/>
    <n v="44.99"/>
    <n v="44.99"/>
    <x v="4"/>
    <x v="0"/>
    <x v="2"/>
    <x v="9"/>
    <s v="Asturias"/>
    <x v="1"/>
    <m/>
    <n v="49.99"/>
    <n v="5"/>
  </r>
  <r>
    <s v="ORD-100511"/>
    <x v="380"/>
    <x v="2"/>
    <x v="2"/>
    <n v="1"/>
    <n v="299.99"/>
    <x v="2"/>
    <n v="284.99"/>
    <n v="284.99"/>
    <x v="0"/>
    <x v="1"/>
    <x v="3"/>
    <x v="11"/>
    <s v="Cataluña"/>
    <x v="2"/>
    <n v="2"/>
    <n v="299.99"/>
    <n v="15"/>
  </r>
  <r>
    <s v="ORD-100512"/>
    <x v="381"/>
    <x v="2"/>
    <x v="2"/>
    <n v="1"/>
    <n v="299.99"/>
    <x v="1"/>
    <n v="299.99"/>
    <n v="299.99"/>
    <x v="0"/>
    <x v="1"/>
    <x v="0"/>
    <x v="11"/>
    <s v="Cataluña"/>
    <x v="2"/>
    <n v="5"/>
    <n v="299.99"/>
    <n v="0"/>
  </r>
  <r>
    <s v="ORD-100513"/>
    <x v="360"/>
    <x v="11"/>
    <x v="0"/>
    <n v="4"/>
    <n v="349.99"/>
    <x v="4"/>
    <n v="279.99"/>
    <n v="1119.96"/>
    <x v="2"/>
    <x v="1"/>
    <x v="0"/>
    <x v="7"/>
    <s v="Castilla y León"/>
    <x v="1"/>
    <m/>
    <n v="1399.96"/>
    <n v="280"/>
  </r>
  <r>
    <s v="ORD-100514"/>
    <x v="382"/>
    <x v="8"/>
    <x v="2"/>
    <n v="1"/>
    <n v="59.99"/>
    <x v="2"/>
    <n v="56.99"/>
    <n v="56.99"/>
    <x v="0"/>
    <x v="2"/>
    <x v="2"/>
    <x v="0"/>
    <s v="Andalucía"/>
    <x v="0"/>
    <n v="2"/>
    <n v="59.99"/>
    <n v="3"/>
  </r>
  <r>
    <s v="ORD-100515"/>
    <x v="45"/>
    <x v="2"/>
    <x v="2"/>
    <n v="4"/>
    <n v="299.99"/>
    <x v="1"/>
    <n v="299.99"/>
    <n v="1199.96"/>
    <x v="0"/>
    <x v="1"/>
    <x v="0"/>
    <x v="7"/>
    <s v="Castilla y León"/>
    <x v="1"/>
    <n v="4"/>
    <n v="1199.96"/>
    <n v="0"/>
  </r>
  <r>
    <s v="ORD-100516"/>
    <x v="66"/>
    <x v="28"/>
    <x v="0"/>
    <n v="1"/>
    <n v="499.99"/>
    <x v="1"/>
    <n v="499.99"/>
    <n v="499.99"/>
    <x v="1"/>
    <x v="0"/>
    <x v="3"/>
    <x v="4"/>
    <s v="Castilla y León"/>
    <x v="1"/>
    <m/>
    <n v="499.99"/>
    <n v="0"/>
  </r>
  <r>
    <s v="ORD-100517"/>
    <x v="383"/>
    <x v="11"/>
    <x v="0"/>
    <n v="1"/>
    <n v="349.99"/>
    <x v="4"/>
    <n v="279.99"/>
    <n v="279.99"/>
    <x v="0"/>
    <x v="1"/>
    <x v="4"/>
    <x v="10"/>
    <s v="Cantabria"/>
    <x v="1"/>
    <n v="2"/>
    <n v="349.99"/>
    <n v="70"/>
  </r>
  <r>
    <s v="ORD-100518"/>
    <x v="384"/>
    <x v="13"/>
    <x v="3"/>
    <n v="3"/>
    <n v="49.99"/>
    <x v="2"/>
    <n v="47.49"/>
    <n v="142.47"/>
    <x v="0"/>
    <x v="0"/>
    <x v="0"/>
    <x v="8"/>
    <s v="La Rioja"/>
    <x v="1"/>
    <n v="3"/>
    <n v="149.97"/>
    <n v="7.5"/>
  </r>
  <r>
    <s v="ORD-100519"/>
    <x v="385"/>
    <x v="8"/>
    <x v="2"/>
    <n v="3"/>
    <n v="59.99"/>
    <x v="2"/>
    <n v="56.99"/>
    <n v="170.97"/>
    <x v="1"/>
    <x v="2"/>
    <x v="2"/>
    <x v="11"/>
    <s v="Cataluña"/>
    <x v="2"/>
    <m/>
    <n v="179.97"/>
    <n v="9"/>
  </r>
  <r>
    <s v="ORD-100520"/>
    <x v="297"/>
    <x v="4"/>
    <x v="4"/>
    <n v="2"/>
    <n v="349.99"/>
    <x v="0"/>
    <n v="297.49"/>
    <n v="594.98"/>
    <x v="1"/>
    <x v="0"/>
    <x v="3"/>
    <x v="14"/>
    <s v="Aragón"/>
    <x v="0"/>
    <m/>
    <n v="699.98"/>
    <n v="105"/>
  </r>
  <r>
    <s v="ORD-100521"/>
    <x v="386"/>
    <x v="7"/>
    <x v="3"/>
    <n v="1"/>
    <n v="19.989999999999998"/>
    <x v="1"/>
    <n v="19.989999999999998"/>
    <n v="19.989999999999998"/>
    <x v="2"/>
    <x v="0"/>
    <x v="3"/>
    <x v="6"/>
    <s v="Comunitat Valenciana"/>
    <x v="0"/>
    <m/>
    <n v="19.989999999999998"/>
    <n v="0"/>
  </r>
  <r>
    <s v="ORD-100522"/>
    <x v="384"/>
    <x v="7"/>
    <x v="3"/>
    <n v="4"/>
    <n v="19.989999999999998"/>
    <x v="0"/>
    <n v="16.989999999999998"/>
    <n v="67.959999999999994"/>
    <x v="2"/>
    <x v="0"/>
    <x v="2"/>
    <x v="2"/>
    <s v="Navarra"/>
    <x v="1"/>
    <m/>
    <n v="79.959999999999994"/>
    <n v="12"/>
  </r>
  <r>
    <s v="ORD-100523"/>
    <x v="296"/>
    <x v="0"/>
    <x v="0"/>
    <n v="2"/>
    <n v="45.99"/>
    <x v="0"/>
    <n v="39.090000000000003"/>
    <n v="78.180000000000007"/>
    <x v="1"/>
    <x v="0"/>
    <x v="3"/>
    <x v="8"/>
    <s v="La Rioja"/>
    <x v="1"/>
    <m/>
    <n v="91.98"/>
    <n v="13.799999999999997"/>
  </r>
  <r>
    <s v="ORD-100524"/>
    <x v="387"/>
    <x v="16"/>
    <x v="1"/>
    <n v="5"/>
    <n v="79.989999999999995"/>
    <x v="0"/>
    <n v="67.989999999999995"/>
    <n v="339.95"/>
    <x v="0"/>
    <x v="0"/>
    <x v="3"/>
    <x v="1"/>
    <s v="Comunitat Valenciana"/>
    <x v="1"/>
    <n v="1"/>
    <n v="399.95"/>
    <n v="60"/>
  </r>
  <r>
    <s v="ORD-100525"/>
    <x v="388"/>
    <x v="23"/>
    <x v="4"/>
    <n v="2"/>
    <n v="24.99"/>
    <x v="2"/>
    <n v="23.74"/>
    <n v="47.48"/>
    <x v="3"/>
    <x v="2"/>
    <x v="3"/>
    <x v="11"/>
    <s v="Cataluña"/>
    <x v="2"/>
    <m/>
    <n v="49.98"/>
    <n v="2.5"/>
  </r>
  <r>
    <s v="ORD-100526"/>
    <x v="309"/>
    <x v="7"/>
    <x v="3"/>
    <n v="3"/>
    <n v="19.989999999999998"/>
    <x v="1"/>
    <n v="19.989999999999998"/>
    <n v="59.97"/>
    <x v="1"/>
    <x v="1"/>
    <x v="1"/>
    <x v="9"/>
    <s v="Asturias"/>
    <x v="1"/>
    <m/>
    <n v="59.97"/>
    <n v="0"/>
  </r>
  <r>
    <s v="ORD-100527"/>
    <x v="170"/>
    <x v="28"/>
    <x v="0"/>
    <n v="3"/>
    <n v="499.99"/>
    <x v="3"/>
    <n v="449.99"/>
    <n v="1349.97"/>
    <x v="0"/>
    <x v="1"/>
    <x v="3"/>
    <x v="10"/>
    <s v="Cantabria"/>
    <x v="1"/>
    <n v="2"/>
    <n v="1499.97"/>
    <n v="150"/>
  </r>
  <r>
    <s v="ORD-100528"/>
    <x v="368"/>
    <x v="15"/>
    <x v="3"/>
    <n v="4"/>
    <n v="69.989999999999995"/>
    <x v="1"/>
    <n v="69.989999999999995"/>
    <n v="279.95999999999998"/>
    <x v="2"/>
    <x v="2"/>
    <x v="1"/>
    <x v="7"/>
    <s v="Castilla y León"/>
    <x v="1"/>
    <m/>
    <n v="279.95999999999998"/>
    <n v="0"/>
  </r>
  <r>
    <s v="ORD-100529"/>
    <x v="15"/>
    <x v="9"/>
    <x v="2"/>
    <n v="2"/>
    <n v="29.99"/>
    <x v="3"/>
    <n v="26.99"/>
    <n v="53.98"/>
    <x v="2"/>
    <x v="1"/>
    <x v="0"/>
    <x v="8"/>
    <s v="La Rioja"/>
    <x v="1"/>
    <m/>
    <n v="59.98"/>
    <n v="6"/>
  </r>
  <r>
    <s v="ORD-100530"/>
    <x v="389"/>
    <x v="24"/>
    <x v="3"/>
    <n v="2"/>
    <n v="89.99"/>
    <x v="1"/>
    <n v="89.99"/>
    <n v="179.98"/>
    <x v="4"/>
    <x v="1"/>
    <x v="3"/>
    <x v="3"/>
    <s v="Comunidad de Madrid"/>
    <x v="2"/>
    <m/>
    <n v="179.98"/>
    <n v="0"/>
  </r>
  <r>
    <s v="ORD-100531"/>
    <x v="348"/>
    <x v="20"/>
    <x v="3"/>
    <n v="2"/>
    <n v="39.99"/>
    <x v="1"/>
    <n v="39.99"/>
    <n v="79.98"/>
    <x v="0"/>
    <x v="1"/>
    <x v="0"/>
    <x v="2"/>
    <s v="Navarra"/>
    <x v="1"/>
    <n v="4"/>
    <n v="79.98"/>
    <n v="0"/>
  </r>
  <r>
    <s v="ORD-100532"/>
    <x v="201"/>
    <x v="24"/>
    <x v="3"/>
    <n v="1"/>
    <n v="89.99"/>
    <x v="2"/>
    <n v="85.49"/>
    <n v="85.49"/>
    <x v="1"/>
    <x v="0"/>
    <x v="3"/>
    <x v="3"/>
    <s v="Comunidad de Madrid"/>
    <x v="2"/>
    <m/>
    <n v="89.99"/>
    <n v="4.5"/>
  </r>
  <r>
    <s v="ORD-100533"/>
    <x v="134"/>
    <x v="5"/>
    <x v="1"/>
    <n v="1"/>
    <n v="149.99"/>
    <x v="4"/>
    <n v="119.99"/>
    <n v="119.99"/>
    <x v="0"/>
    <x v="3"/>
    <x v="1"/>
    <x v="1"/>
    <s v="Comunitat Valenciana"/>
    <x v="1"/>
    <n v="5"/>
    <n v="149.99"/>
    <n v="30.000000000000014"/>
  </r>
  <r>
    <s v="ORD-100534"/>
    <x v="390"/>
    <x v="21"/>
    <x v="0"/>
    <n v="4"/>
    <n v="799.99"/>
    <x v="1"/>
    <n v="799.99"/>
    <n v="3199.96"/>
    <x v="0"/>
    <x v="2"/>
    <x v="2"/>
    <x v="3"/>
    <s v="Comunidad de Madrid"/>
    <x v="2"/>
    <n v="3"/>
    <n v="3199.96"/>
    <n v="0"/>
  </r>
  <r>
    <s v="ORD-100535"/>
    <x v="391"/>
    <x v="18"/>
    <x v="2"/>
    <n v="5"/>
    <n v="99.99"/>
    <x v="3"/>
    <n v="89.99"/>
    <n v="449.95"/>
    <x v="0"/>
    <x v="0"/>
    <x v="3"/>
    <x v="9"/>
    <s v="Asturias"/>
    <x v="1"/>
    <n v="1"/>
    <n v="499.95"/>
    <n v="50"/>
  </r>
  <r>
    <s v="ORD-100536"/>
    <x v="58"/>
    <x v="28"/>
    <x v="0"/>
    <n v="1"/>
    <n v="499.99"/>
    <x v="1"/>
    <n v="499.99"/>
    <n v="499.99"/>
    <x v="0"/>
    <x v="3"/>
    <x v="0"/>
    <x v="9"/>
    <s v="Asturias"/>
    <x v="1"/>
    <n v="5"/>
    <n v="499.99"/>
    <n v="0"/>
  </r>
  <r>
    <s v="ORD-100537"/>
    <x v="242"/>
    <x v="2"/>
    <x v="2"/>
    <n v="1"/>
    <n v="299.99"/>
    <x v="1"/>
    <n v="299.99"/>
    <n v="299.99"/>
    <x v="2"/>
    <x v="0"/>
    <x v="1"/>
    <x v="12"/>
    <s v="Región de Murcia"/>
    <x v="1"/>
    <m/>
    <n v="299.99"/>
    <n v="0"/>
  </r>
  <r>
    <s v="ORD-100538"/>
    <x v="373"/>
    <x v="0"/>
    <x v="0"/>
    <n v="3"/>
    <n v="45.99"/>
    <x v="3"/>
    <n v="41.39"/>
    <n v="124.17"/>
    <x v="0"/>
    <x v="2"/>
    <x v="3"/>
    <x v="11"/>
    <s v="Cataluña"/>
    <x v="2"/>
    <n v="4"/>
    <n v="137.97"/>
    <n v="13.799999999999997"/>
  </r>
  <r>
    <s v="ORD-100539"/>
    <x v="392"/>
    <x v="2"/>
    <x v="2"/>
    <n v="3"/>
    <n v="299.99"/>
    <x v="1"/>
    <n v="299.99"/>
    <n v="899.97"/>
    <x v="1"/>
    <x v="2"/>
    <x v="2"/>
    <x v="3"/>
    <s v="Comunidad de Madrid"/>
    <x v="2"/>
    <m/>
    <n v="899.97"/>
    <n v="0"/>
  </r>
  <r>
    <s v="ORD-100540"/>
    <x v="361"/>
    <x v="0"/>
    <x v="0"/>
    <n v="4"/>
    <n v="45.99"/>
    <x v="2"/>
    <n v="43.69"/>
    <n v="174.76"/>
    <x v="1"/>
    <x v="0"/>
    <x v="3"/>
    <x v="7"/>
    <s v="Castilla y León"/>
    <x v="1"/>
    <m/>
    <n v="183.96"/>
    <n v="9.2000000000000171"/>
  </r>
  <r>
    <s v="ORD-100541"/>
    <x v="167"/>
    <x v="10"/>
    <x v="2"/>
    <n v="1"/>
    <n v="69.989999999999995"/>
    <x v="3"/>
    <n v="62.99"/>
    <n v="62.99"/>
    <x v="3"/>
    <x v="1"/>
    <x v="4"/>
    <x v="8"/>
    <s v="La Rioja"/>
    <x v="1"/>
    <m/>
    <n v="69.989999999999995"/>
    <n v="6.9999999999999929"/>
  </r>
  <r>
    <s v="ORD-100542"/>
    <x v="169"/>
    <x v="2"/>
    <x v="2"/>
    <n v="5"/>
    <n v="299.99"/>
    <x v="1"/>
    <n v="299.99"/>
    <n v="1499.95"/>
    <x v="1"/>
    <x v="0"/>
    <x v="1"/>
    <x v="6"/>
    <s v="Comunitat Valenciana"/>
    <x v="0"/>
    <m/>
    <n v="1499.95"/>
    <n v="0"/>
  </r>
  <r>
    <s v="ORD-100543"/>
    <x v="393"/>
    <x v="23"/>
    <x v="4"/>
    <n v="3"/>
    <n v="24.99"/>
    <x v="3"/>
    <n v="22.49"/>
    <n v="67.47"/>
    <x v="2"/>
    <x v="3"/>
    <x v="4"/>
    <x v="13"/>
    <s v="Andalucía"/>
    <x v="0"/>
    <m/>
    <n v="74.97"/>
    <n v="7.5"/>
  </r>
  <r>
    <s v="ORD-100544"/>
    <x v="47"/>
    <x v="7"/>
    <x v="3"/>
    <n v="4"/>
    <n v="19.989999999999998"/>
    <x v="1"/>
    <n v="19.989999999999998"/>
    <n v="79.959999999999994"/>
    <x v="4"/>
    <x v="2"/>
    <x v="0"/>
    <x v="12"/>
    <s v="Región de Murcia"/>
    <x v="1"/>
    <m/>
    <n v="79.959999999999994"/>
    <n v="0"/>
  </r>
  <r>
    <s v="ORD-100545"/>
    <x v="394"/>
    <x v="2"/>
    <x v="2"/>
    <n v="5"/>
    <n v="299.99"/>
    <x v="1"/>
    <n v="299.99"/>
    <n v="1499.95"/>
    <x v="2"/>
    <x v="2"/>
    <x v="1"/>
    <x v="7"/>
    <s v="Castilla y León"/>
    <x v="1"/>
    <m/>
    <n v="1499.95"/>
    <n v="0"/>
  </r>
  <r>
    <s v="ORD-100546"/>
    <x v="90"/>
    <x v="9"/>
    <x v="2"/>
    <n v="2"/>
    <n v="29.99"/>
    <x v="1"/>
    <n v="29.99"/>
    <n v="59.98"/>
    <x v="0"/>
    <x v="0"/>
    <x v="0"/>
    <x v="10"/>
    <s v="Cantabria"/>
    <x v="1"/>
    <n v="2"/>
    <n v="59.98"/>
    <n v="0"/>
  </r>
  <r>
    <s v="ORD-100547"/>
    <x v="288"/>
    <x v="9"/>
    <x v="2"/>
    <n v="2"/>
    <n v="29.99"/>
    <x v="3"/>
    <n v="26.99"/>
    <n v="53.98"/>
    <x v="0"/>
    <x v="0"/>
    <x v="0"/>
    <x v="9"/>
    <s v="Asturias"/>
    <x v="1"/>
    <n v="3"/>
    <n v="59.98"/>
    <n v="6"/>
  </r>
  <r>
    <s v="ORD-100548"/>
    <x v="390"/>
    <x v="16"/>
    <x v="1"/>
    <n v="5"/>
    <n v="79.989999999999995"/>
    <x v="3"/>
    <n v="71.989999999999995"/>
    <n v="359.95"/>
    <x v="3"/>
    <x v="0"/>
    <x v="1"/>
    <x v="10"/>
    <s v="Cantabria"/>
    <x v="1"/>
    <m/>
    <n v="399.95"/>
    <n v="40"/>
  </r>
  <r>
    <s v="ORD-100549"/>
    <x v="183"/>
    <x v="13"/>
    <x v="3"/>
    <n v="4"/>
    <n v="49.99"/>
    <x v="4"/>
    <n v="39.99"/>
    <n v="159.96"/>
    <x v="0"/>
    <x v="0"/>
    <x v="0"/>
    <x v="11"/>
    <s v="Cataluña"/>
    <x v="2"/>
    <n v="1"/>
    <n v="199.96"/>
    <n v="40"/>
  </r>
  <r>
    <s v="ORD-100550"/>
    <x v="185"/>
    <x v="7"/>
    <x v="3"/>
    <n v="2"/>
    <n v="19.989999999999998"/>
    <x v="1"/>
    <n v="19.989999999999998"/>
    <n v="39.979999999999997"/>
    <x v="1"/>
    <x v="2"/>
    <x v="1"/>
    <x v="6"/>
    <s v="Comunitat Valenciana"/>
    <x v="0"/>
    <m/>
    <n v="39.979999999999997"/>
    <n v="0"/>
  </r>
  <r>
    <s v="ORD-100551"/>
    <x v="133"/>
    <x v="21"/>
    <x v="0"/>
    <n v="5"/>
    <n v="799.99"/>
    <x v="1"/>
    <n v="799.99"/>
    <n v="3999.95"/>
    <x v="0"/>
    <x v="0"/>
    <x v="2"/>
    <x v="12"/>
    <s v="Región de Murcia"/>
    <x v="1"/>
    <n v="5"/>
    <n v="3999.95"/>
    <n v="0"/>
  </r>
  <r>
    <s v="ORD-100552"/>
    <x v="395"/>
    <x v="10"/>
    <x v="2"/>
    <n v="5"/>
    <n v="69.989999999999995"/>
    <x v="2"/>
    <n v="66.489999999999995"/>
    <n v="332.45"/>
    <x v="0"/>
    <x v="2"/>
    <x v="1"/>
    <x v="2"/>
    <s v="Navarra"/>
    <x v="1"/>
    <n v="1"/>
    <n v="349.95"/>
    <n v="17.5"/>
  </r>
  <r>
    <s v="ORD-100553"/>
    <x v="396"/>
    <x v="20"/>
    <x v="3"/>
    <n v="4"/>
    <n v="39.99"/>
    <x v="4"/>
    <n v="31.99"/>
    <n v="127.96"/>
    <x v="4"/>
    <x v="3"/>
    <x v="0"/>
    <x v="14"/>
    <s v="Aragón"/>
    <x v="0"/>
    <m/>
    <n v="159.96"/>
    <n v="32.000000000000014"/>
  </r>
  <r>
    <s v="ORD-100554"/>
    <x v="397"/>
    <x v="21"/>
    <x v="0"/>
    <n v="5"/>
    <n v="799.99"/>
    <x v="4"/>
    <n v="639.99"/>
    <n v="3199.95"/>
    <x v="1"/>
    <x v="0"/>
    <x v="0"/>
    <x v="8"/>
    <s v="La Rioja"/>
    <x v="1"/>
    <m/>
    <n v="3999.95"/>
    <n v="800"/>
  </r>
  <r>
    <s v="ORD-100555"/>
    <x v="375"/>
    <x v="2"/>
    <x v="2"/>
    <n v="3"/>
    <n v="299.99"/>
    <x v="4"/>
    <n v="239.99"/>
    <n v="719.97"/>
    <x v="0"/>
    <x v="1"/>
    <x v="1"/>
    <x v="10"/>
    <s v="Cantabria"/>
    <x v="1"/>
    <n v="2"/>
    <n v="899.97"/>
    <n v="180"/>
  </r>
  <r>
    <s v="ORD-100556"/>
    <x v="86"/>
    <x v="26"/>
    <x v="1"/>
    <n v="2"/>
    <n v="599.99"/>
    <x v="0"/>
    <n v="509.99"/>
    <n v="1019.98"/>
    <x v="0"/>
    <x v="1"/>
    <x v="0"/>
    <x v="6"/>
    <s v="Comunitat Valenciana"/>
    <x v="0"/>
    <n v="1"/>
    <n v="1199.98"/>
    <n v="180"/>
  </r>
  <r>
    <s v="ORD-100557"/>
    <x v="398"/>
    <x v="7"/>
    <x v="3"/>
    <n v="5"/>
    <n v="19.989999999999998"/>
    <x v="1"/>
    <n v="19.989999999999998"/>
    <n v="99.95"/>
    <x v="0"/>
    <x v="2"/>
    <x v="0"/>
    <x v="1"/>
    <s v="Comunitat Valenciana"/>
    <x v="1"/>
    <n v="4"/>
    <n v="99.949999999999989"/>
    <n v="0"/>
  </r>
  <r>
    <s v="ORD-100558"/>
    <x v="399"/>
    <x v="22"/>
    <x v="4"/>
    <n v="2"/>
    <n v="44.99"/>
    <x v="1"/>
    <n v="44.99"/>
    <n v="89.98"/>
    <x v="0"/>
    <x v="1"/>
    <x v="1"/>
    <x v="14"/>
    <s v="Aragón"/>
    <x v="0"/>
    <n v="5"/>
    <n v="89.98"/>
    <n v="0"/>
  </r>
  <r>
    <s v="ORD-100559"/>
    <x v="248"/>
    <x v="13"/>
    <x v="3"/>
    <n v="4"/>
    <n v="49.99"/>
    <x v="4"/>
    <n v="39.99"/>
    <n v="159.96"/>
    <x v="0"/>
    <x v="0"/>
    <x v="1"/>
    <x v="14"/>
    <s v="Aragón"/>
    <x v="0"/>
    <n v="5"/>
    <n v="199.96"/>
    <n v="40"/>
  </r>
  <r>
    <s v="ORD-100560"/>
    <x v="299"/>
    <x v="29"/>
    <x v="0"/>
    <n v="5"/>
    <n v="129.99"/>
    <x v="1"/>
    <n v="129.99"/>
    <n v="649.95000000000005"/>
    <x v="1"/>
    <x v="0"/>
    <x v="3"/>
    <x v="6"/>
    <s v="Comunitat Valenciana"/>
    <x v="0"/>
    <m/>
    <n v="649.95000000000005"/>
    <n v="0"/>
  </r>
  <r>
    <s v="ORD-100561"/>
    <x v="255"/>
    <x v="15"/>
    <x v="3"/>
    <n v="2"/>
    <n v="69.989999999999995"/>
    <x v="1"/>
    <n v="69.989999999999995"/>
    <n v="139.97999999999999"/>
    <x v="1"/>
    <x v="0"/>
    <x v="0"/>
    <x v="14"/>
    <s v="Aragón"/>
    <x v="0"/>
    <m/>
    <n v="139.97999999999999"/>
    <n v="0"/>
  </r>
  <r>
    <s v="ORD-100562"/>
    <x v="400"/>
    <x v="14"/>
    <x v="1"/>
    <n v="4"/>
    <n v="249.99"/>
    <x v="3"/>
    <n v="224.99"/>
    <n v="899.96"/>
    <x v="2"/>
    <x v="0"/>
    <x v="1"/>
    <x v="9"/>
    <s v="Asturias"/>
    <x v="1"/>
    <m/>
    <n v="999.96"/>
    <n v="100"/>
  </r>
  <r>
    <s v="ORD-100563"/>
    <x v="206"/>
    <x v="28"/>
    <x v="0"/>
    <n v="5"/>
    <n v="499.99"/>
    <x v="3"/>
    <n v="449.99"/>
    <n v="2249.9499999999998"/>
    <x v="0"/>
    <x v="1"/>
    <x v="0"/>
    <x v="3"/>
    <s v="Comunidad de Madrid"/>
    <x v="2"/>
    <n v="1"/>
    <n v="2499.9499999999998"/>
    <n v="250"/>
  </r>
  <r>
    <s v="ORD-100564"/>
    <x v="198"/>
    <x v="7"/>
    <x v="3"/>
    <n v="5"/>
    <n v="19.989999999999998"/>
    <x v="0"/>
    <n v="16.989999999999998"/>
    <n v="84.95"/>
    <x v="0"/>
    <x v="1"/>
    <x v="1"/>
    <x v="4"/>
    <s v="Castilla y León"/>
    <x v="1"/>
    <n v="5"/>
    <n v="99.949999999999989"/>
    <n v="14.999999999999986"/>
  </r>
  <r>
    <s v="ORD-100565"/>
    <x v="401"/>
    <x v="26"/>
    <x v="1"/>
    <n v="4"/>
    <n v="599.99"/>
    <x v="1"/>
    <n v="599.99"/>
    <n v="2399.96"/>
    <x v="0"/>
    <x v="0"/>
    <x v="3"/>
    <x v="9"/>
    <s v="Asturias"/>
    <x v="1"/>
    <n v="1"/>
    <n v="2399.96"/>
    <n v="0"/>
  </r>
  <r>
    <s v="ORD-100566"/>
    <x v="76"/>
    <x v="18"/>
    <x v="2"/>
    <n v="5"/>
    <n v="99.99"/>
    <x v="3"/>
    <n v="89.99"/>
    <n v="449.95"/>
    <x v="0"/>
    <x v="0"/>
    <x v="1"/>
    <x v="11"/>
    <s v="Cataluña"/>
    <x v="2"/>
    <n v="2"/>
    <n v="499.95"/>
    <n v="50"/>
  </r>
  <r>
    <s v="ORD-100567"/>
    <x v="298"/>
    <x v="3"/>
    <x v="3"/>
    <n v="1"/>
    <n v="34.99"/>
    <x v="1"/>
    <n v="34.99"/>
    <n v="34.99"/>
    <x v="0"/>
    <x v="2"/>
    <x v="1"/>
    <x v="10"/>
    <s v="Cantabria"/>
    <x v="1"/>
    <n v="4"/>
    <n v="34.99"/>
    <n v="0"/>
  </r>
  <r>
    <s v="ORD-100568"/>
    <x v="402"/>
    <x v="25"/>
    <x v="4"/>
    <n v="1"/>
    <n v="34.99"/>
    <x v="0"/>
    <n v="29.74"/>
    <n v="29.74"/>
    <x v="1"/>
    <x v="1"/>
    <x v="0"/>
    <x v="3"/>
    <s v="Comunidad de Madrid"/>
    <x v="2"/>
    <m/>
    <n v="34.99"/>
    <n v="5.2500000000000036"/>
  </r>
  <r>
    <s v="ORD-100569"/>
    <x v="1"/>
    <x v="6"/>
    <x v="0"/>
    <n v="1"/>
    <n v="89.99"/>
    <x v="1"/>
    <n v="89.99"/>
    <n v="89.99"/>
    <x v="1"/>
    <x v="0"/>
    <x v="2"/>
    <x v="7"/>
    <s v="Castilla y León"/>
    <x v="1"/>
    <m/>
    <n v="89.99"/>
    <n v="0"/>
  </r>
  <r>
    <s v="ORD-100570"/>
    <x v="403"/>
    <x v="3"/>
    <x v="3"/>
    <n v="4"/>
    <n v="34.99"/>
    <x v="2"/>
    <n v="33.24"/>
    <n v="132.96"/>
    <x v="1"/>
    <x v="0"/>
    <x v="3"/>
    <x v="13"/>
    <s v="Andalucía"/>
    <x v="0"/>
    <m/>
    <n v="139.96"/>
    <n v="7"/>
  </r>
  <r>
    <s v="ORD-100571"/>
    <x v="404"/>
    <x v="5"/>
    <x v="1"/>
    <n v="1"/>
    <n v="149.99"/>
    <x v="0"/>
    <n v="127.49"/>
    <n v="127.49"/>
    <x v="1"/>
    <x v="2"/>
    <x v="3"/>
    <x v="11"/>
    <s v="Cataluña"/>
    <x v="2"/>
    <m/>
    <n v="149.99"/>
    <n v="22.500000000000014"/>
  </r>
  <r>
    <s v="ORD-100572"/>
    <x v="360"/>
    <x v="4"/>
    <x v="4"/>
    <n v="1"/>
    <n v="349.99"/>
    <x v="1"/>
    <n v="349.99"/>
    <n v="349.99"/>
    <x v="3"/>
    <x v="0"/>
    <x v="1"/>
    <x v="11"/>
    <s v="Cataluña"/>
    <x v="2"/>
    <m/>
    <n v="349.99"/>
    <n v="0"/>
  </r>
  <r>
    <s v="ORD-100573"/>
    <x v="22"/>
    <x v="6"/>
    <x v="0"/>
    <n v="3"/>
    <n v="89.99"/>
    <x v="4"/>
    <n v="71.989999999999995"/>
    <n v="215.97"/>
    <x v="3"/>
    <x v="0"/>
    <x v="1"/>
    <x v="13"/>
    <s v="Andalucía"/>
    <x v="0"/>
    <m/>
    <n v="269.96999999999997"/>
    <n v="53.999999999999972"/>
  </r>
  <r>
    <s v="ORD-100574"/>
    <x v="366"/>
    <x v="29"/>
    <x v="0"/>
    <n v="5"/>
    <n v="129.99"/>
    <x v="1"/>
    <n v="129.99"/>
    <n v="649.95000000000005"/>
    <x v="0"/>
    <x v="2"/>
    <x v="2"/>
    <x v="13"/>
    <s v="Andalucía"/>
    <x v="0"/>
    <n v="3"/>
    <n v="649.95000000000005"/>
    <n v="0"/>
  </r>
  <r>
    <s v="ORD-100575"/>
    <x v="405"/>
    <x v="11"/>
    <x v="0"/>
    <n v="3"/>
    <n v="349.99"/>
    <x v="0"/>
    <n v="297.49"/>
    <n v="892.47"/>
    <x v="2"/>
    <x v="2"/>
    <x v="1"/>
    <x v="2"/>
    <s v="Navarra"/>
    <x v="1"/>
    <m/>
    <n v="1049.97"/>
    <n v="157.5"/>
  </r>
  <r>
    <s v="ORD-100576"/>
    <x v="15"/>
    <x v="5"/>
    <x v="1"/>
    <n v="5"/>
    <n v="149.99"/>
    <x v="1"/>
    <n v="149.99"/>
    <n v="749.95"/>
    <x v="0"/>
    <x v="1"/>
    <x v="3"/>
    <x v="3"/>
    <s v="Comunidad de Madrid"/>
    <x v="2"/>
    <n v="5"/>
    <n v="749.95"/>
    <n v="0"/>
  </r>
  <r>
    <s v="ORD-100577"/>
    <x v="153"/>
    <x v="13"/>
    <x v="3"/>
    <n v="2"/>
    <n v="49.99"/>
    <x v="0"/>
    <n v="42.49"/>
    <n v="84.98"/>
    <x v="1"/>
    <x v="0"/>
    <x v="3"/>
    <x v="10"/>
    <s v="Cantabria"/>
    <x v="1"/>
    <m/>
    <n v="99.98"/>
    <n v="15"/>
  </r>
  <r>
    <s v="ORD-100578"/>
    <x v="406"/>
    <x v="4"/>
    <x v="4"/>
    <n v="5"/>
    <n v="349.99"/>
    <x v="1"/>
    <n v="349.99"/>
    <n v="1749.95"/>
    <x v="0"/>
    <x v="1"/>
    <x v="0"/>
    <x v="0"/>
    <s v="Andalucía"/>
    <x v="0"/>
    <n v="1"/>
    <n v="1749.95"/>
    <n v="0"/>
  </r>
  <r>
    <s v="ORD-100579"/>
    <x v="407"/>
    <x v="12"/>
    <x v="2"/>
    <n v="5"/>
    <n v="189.99"/>
    <x v="4"/>
    <n v="151.99"/>
    <n v="759.95"/>
    <x v="0"/>
    <x v="2"/>
    <x v="4"/>
    <x v="2"/>
    <s v="Navarra"/>
    <x v="1"/>
    <n v="4"/>
    <n v="949.95"/>
    <n v="190"/>
  </r>
  <r>
    <s v="ORD-100580"/>
    <x v="266"/>
    <x v="5"/>
    <x v="1"/>
    <n v="1"/>
    <n v="149.99"/>
    <x v="1"/>
    <n v="149.99"/>
    <n v="149.99"/>
    <x v="1"/>
    <x v="0"/>
    <x v="1"/>
    <x v="5"/>
    <s v="País Vasco"/>
    <x v="0"/>
    <m/>
    <n v="149.99"/>
    <n v="0"/>
  </r>
  <r>
    <s v="ORD-100581"/>
    <x v="408"/>
    <x v="24"/>
    <x v="3"/>
    <n v="3"/>
    <n v="89.99"/>
    <x v="1"/>
    <n v="89.99"/>
    <n v="269.97000000000003"/>
    <x v="1"/>
    <x v="0"/>
    <x v="1"/>
    <x v="0"/>
    <s v="Andalucía"/>
    <x v="0"/>
    <m/>
    <n v="269.96999999999997"/>
    <n v="0"/>
  </r>
  <r>
    <s v="ORD-100582"/>
    <x v="409"/>
    <x v="24"/>
    <x v="3"/>
    <n v="4"/>
    <n v="89.99"/>
    <x v="2"/>
    <n v="85.49"/>
    <n v="341.96"/>
    <x v="0"/>
    <x v="0"/>
    <x v="3"/>
    <x v="9"/>
    <s v="Asturias"/>
    <x v="1"/>
    <n v="5"/>
    <n v="359.96"/>
    <n v="18"/>
  </r>
  <r>
    <s v="ORD-100583"/>
    <x v="203"/>
    <x v="15"/>
    <x v="3"/>
    <n v="3"/>
    <n v="69.989999999999995"/>
    <x v="2"/>
    <n v="66.489999999999995"/>
    <n v="199.47"/>
    <x v="0"/>
    <x v="0"/>
    <x v="0"/>
    <x v="14"/>
    <s v="Aragón"/>
    <x v="0"/>
    <n v="4"/>
    <n v="209.96999999999997"/>
    <n v="10.499999999999972"/>
  </r>
  <r>
    <s v="ORD-100584"/>
    <x v="42"/>
    <x v="25"/>
    <x v="4"/>
    <n v="3"/>
    <n v="34.99"/>
    <x v="1"/>
    <n v="34.99"/>
    <n v="104.97"/>
    <x v="1"/>
    <x v="2"/>
    <x v="3"/>
    <x v="14"/>
    <s v="Aragón"/>
    <x v="0"/>
    <m/>
    <n v="104.97"/>
    <n v="0"/>
  </r>
  <r>
    <s v="ORD-100585"/>
    <x v="4"/>
    <x v="18"/>
    <x v="2"/>
    <n v="3"/>
    <n v="99.99"/>
    <x v="2"/>
    <n v="94.99"/>
    <n v="284.97000000000003"/>
    <x v="0"/>
    <x v="1"/>
    <x v="0"/>
    <x v="6"/>
    <s v="Comunitat Valenciana"/>
    <x v="0"/>
    <n v="3"/>
    <n v="299.96999999999997"/>
    <n v="14.999999999999943"/>
  </r>
  <r>
    <s v="ORD-100586"/>
    <x v="29"/>
    <x v="23"/>
    <x v="4"/>
    <n v="5"/>
    <n v="24.99"/>
    <x v="1"/>
    <n v="24.99"/>
    <n v="124.95"/>
    <x v="0"/>
    <x v="1"/>
    <x v="1"/>
    <x v="4"/>
    <s v="Castilla y León"/>
    <x v="1"/>
    <n v="1"/>
    <n v="124.94999999999999"/>
    <n v="0"/>
  </r>
  <r>
    <s v="ORD-100587"/>
    <x v="410"/>
    <x v="9"/>
    <x v="2"/>
    <n v="1"/>
    <n v="29.99"/>
    <x v="4"/>
    <n v="23.99"/>
    <n v="23.99"/>
    <x v="0"/>
    <x v="2"/>
    <x v="0"/>
    <x v="13"/>
    <s v="Andalucía"/>
    <x v="0"/>
    <n v="1"/>
    <n v="29.99"/>
    <n v="6"/>
  </r>
  <r>
    <s v="ORD-100588"/>
    <x v="411"/>
    <x v="7"/>
    <x v="3"/>
    <n v="5"/>
    <n v="19.989999999999998"/>
    <x v="3"/>
    <n v="17.989999999999998"/>
    <n v="89.95"/>
    <x v="0"/>
    <x v="0"/>
    <x v="3"/>
    <x v="2"/>
    <s v="Navarra"/>
    <x v="1"/>
    <n v="5"/>
    <n v="99.949999999999989"/>
    <n v="9.9999999999999858"/>
  </r>
  <r>
    <s v="ORD-100589"/>
    <x v="412"/>
    <x v="11"/>
    <x v="0"/>
    <n v="4"/>
    <n v="349.99"/>
    <x v="3"/>
    <n v="314.99"/>
    <n v="1259.96"/>
    <x v="0"/>
    <x v="0"/>
    <x v="0"/>
    <x v="13"/>
    <s v="Andalucía"/>
    <x v="0"/>
    <n v="2"/>
    <n v="1399.96"/>
    <n v="140"/>
  </r>
  <r>
    <s v="ORD-100590"/>
    <x v="413"/>
    <x v="12"/>
    <x v="2"/>
    <n v="2"/>
    <n v="189.99"/>
    <x v="4"/>
    <n v="151.99"/>
    <n v="303.98"/>
    <x v="0"/>
    <x v="0"/>
    <x v="3"/>
    <x v="12"/>
    <s v="Región de Murcia"/>
    <x v="1"/>
    <n v="5"/>
    <n v="379.98"/>
    <n v="76"/>
  </r>
  <r>
    <s v="ORD-100591"/>
    <x v="264"/>
    <x v="4"/>
    <x v="4"/>
    <n v="2"/>
    <n v="349.99"/>
    <x v="0"/>
    <n v="297.49"/>
    <n v="594.98"/>
    <x v="1"/>
    <x v="0"/>
    <x v="1"/>
    <x v="14"/>
    <s v="Aragón"/>
    <x v="0"/>
    <m/>
    <n v="699.98"/>
    <n v="105"/>
  </r>
  <r>
    <s v="ORD-100592"/>
    <x v="97"/>
    <x v="6"/>
    <x v="0"/>
    <n v="3"/>
    <n v="89.99"/>
    <x v="1"/>
    <n v="89.99"/>
    <n v="269.97000000000003"/>
    <x v="0"/>
    <x v="0"/>
    <x v="4"/>
    <x v="9"/>
    <s v="Asturias"/>
    <x v="1"/>
    <n v="3"/>
    <n v="269.96999999999997"/>
    <n v="0"/>
  </r>
  <r>
    <s v="ORD-100593"/>
    <x v="275"/>
    <x v="16"/>
    <x v="1"/>
    <n v="4"/>
    <n v="79.989999999999995"/>
    <x v="1"/>
    <n v="79.989999999999995"/>
    <n v="319.95999999999998"/>
    <x v="0"/>
    <x v="0"/>
    <x v="1"/>
    <x v="9"/>
    <s v="Asturias"/>
    <x v="1"/>
    <n v="5"/>
    <n v="319.95999999999998"/>
    <n v="0"/>
  </r>
  <r>
    <s v="ORD-100594"/>
    <x v="375"/>
    <x v="25"/>
    <x v="4"/>
    <n v="3"/>
    <n v="34.99"/>
    <x v="4"/>
    <n v="27.99"/>
    <n v="83.97"/>
    <x v="1"/>
    <x v="1"/>
    <x v="0"/>
    <x v="1"/>
    <s v="Comunitat Valenciana"/>
    <x v="1"/>
    <m/>
    <n v="104.97"/>
    <n v="21"/>
  </r>
  <r>
    <s v="ORD-100595"/>
    <x v="414"/>
    <x v="20"/>
    <x v="3"/>
    <n v="3"/>
    <n v="39.99"/>
    <x v="3"/>
    <n v="35.99"/>
    <n v="107.97"/>
    <x v="1"/>
    <x v="0"/>
    <x v="0"/>
    <x v="8"/>
    <s v="La Rioja"/>
    <x v="1"/>
    <m/>
    <n v="119.97"/>
    <n v="12"/>
  </r>
  <r>
    <s v="ORD-100596"/>
    <x v="415"/>
    <x v="14"/>
    <x v="1"/>
    <n v="4"/>
    <n v="249.99"/>
    <x v="1"/>
    <n v="249.99"/>
    <n v="999.96"/>
    <x v="2"/>
    <x v="1"/>
    <x v="3"/>
    <x v="14"/>
    <s v="Aragón"/>
    <x v="0"/>
    <m/>
    <n v="999.96"/>
    <n v="0"/>
  </r>
  <r>
    <s v="ORD-100597"/>
    <x v="416"/>
    <x v="19"/>
    <x v="0"/>
    <n v="5"/>
    <n v="1199.99"/>
    <x v="1"/>
    <n v="1199.99"/>
    <n v="5999.95"/>
    <x v="0"/>
    <x v="0"/>
    <x v="1"/>
    <x v="0"/>
    <s v="Andalucía"/>
    <x v="0"/>
    <n v="2"/>
    <n v="5999.95"/>
    <n v="0"/>
  </r>
  <r>
    <s v="ORD-100598"/>
    <x v="176"/>
    <x v="29"/>
    <x v="0"/>
    <n v="2"/>
    <n v="129.99"/>
    <x v="1"/>
    <n v="129.99"/>
    <n v="259.98"/>
    <x v="1"/>
    <x v="0"/>
    <x v="0"/>
    <x v="8"/>
    <s v="La Rioja"/>
    <x v="1"/>
    <m/>
    <n v="259.98"/>
    <n v="0"/>
  </r>
  <r>
    <s v="ORD-100599"/>
    <x v="66"/>
    <x v="10"/>
    <x v="2"/>
    <n v="1"/>
    <n v="69.989999999999995"/>
    <x v="2"/>
    <n v="66.489999999999995"/>
    <n v="66.489999999999995"/>
    <x v="1"/>
    <x v="0"/>
    <x v="0"/>
    <x v="12"/>
    <s v="Región de Murcia"/>
    <x v="1"/>
    <m/>
    <n v="69.989999999999995"/>
    <n v="3.5"/>
  </r>
  <r>
    <s v="ORD-100600"/>
    <x v="362"/>
    <x v="19"/>
    <x v="0"/>
    <n v="2"/>
    <n v="1199.99"/>
    <x v="1"/>
    <n v="1199.99"/>
    <n v="2399.98"/>
    <x v="0"/>
    <x v="0"/>
    <x v="1"/>
    <x v="1"/>
    <s v="Comunitat Valenciana"/>
    <x v="1"/>
    <n v="1"/>
    <n v="2399.98"/>
    <n v="0"/>
  </r>
  <r>
    <s v="ORD-100601"/>
    <x v="240"/>
    <x v="11"/>
    <x v="0"/>
    <n v="1"/>
    <n v="349.99"/>
    <x v="1"/>
    <n v="349.99"/>
    <n v="349.99"/>
    <x v="0"/>
    <x v="1"/>
    <x v="3"/>
    <x v="6"/>
    <s v="Comunitat Valenciana"/>
    <x v="0"/>
    <n v="5"/>
    <n v="349.99"/>
    <n v="0"/>
  </r>
  <r>
    <s v="ORD-100602"/>
    <x v="417"/>
    <x v="19"/>
    <x v="0"/>
    <n v="3"/>
    <n v="1199.99"/>
    <x v="1"/>
    <n v="1199.99"/>
    <n v="3599.97"/>
    <x v="0"/>
    <x v="3"/>
    <x v="2"/>
    <x v="1"/>
    <s v="Comunitat Valenciana"/>
    <x v="1"/>
    <n v="2"/>
    <n v="3599.9700000000003"/>
    <n v="0"/>
  </r>
  <r>
    <s v="ORD-100603"/>
    <x v="13"/>
    <x v="25"/>
    <x v="4"/>
    <n v="4"/>
    <n v="34.99"/>
    <x v="3"/>
    <n v="31.49"/>
    <n v="125.96"/>
    <x v="0"/>
    <x v="2"/>
    <x v="0"/>
    <x v="1"/>
    <s v="Comunitat Valenciana"/>
    <x v="1"/>
    <n v="5"/>
    <n v="139.96"/>
    <n v="14.000000000000014"/>
  </r>
  <r>
    <s v="ORD-100604"/>
    <x v="418"/>
    <x v="29"/>
    <x v="0"/>
    <n v="3"/>
    <n v="129.99"/>
    <x v="2"/>
    <n v="123.49"/>
    <n v="370.47"/>
    <x v="0"/>
    <x v="0"/>
    <x v="3"/>
    <x v="11"/>
    <s v="Cataluña"/>
    <x v="2"/>
    <n v="1"/>
    <n v="389.97"/>
    <n v="19.5"/>
  </r>
  <r>
    <s v="ORD-100605"/>
    <x v="251"/>
    <x v="21"/>
    <x v="0"/>
    <n v="5"/>
    <n v="799.99"/>
    <x v="4"/>
    <n v="639.99"/>
    <n v="3199.95"/>
    <x v="3"/>
    <x v="0"/>
    <x v="0"/>
    <x v="9"/>
    <s v="Asturias"/>
    <x v="1"/>
    <m/>
    <n v="3999.95"/>
    <n v="800"/>
  </r>
  <r>
    <s v="ORD-100606"/>
    <x v="419"/>
    <x v="29"/>
    <x v="0"/>
    <n v="4"/>
    <n v="129.99"/>
    <x v="3"/>
    <n v="116.99"/>
    <n v="467.96"/>
    <x v="0"/>
    <x v="2"/>
    <x v="3"/>
    <x v="4"/>
    <s v="Castilla y León"/>
    <x v="1"/>
    <n v="1"/>
    <n v="519.96"/>
    <n v="52.000000000000057"/>
  </r>
  <r>
    <s v="ORD-100607"/>
    <x v="350"/>
    <x v="16"/>
    <x v="1"/>
    <n v="2"/>
    <n v="79.989999999999995"/>
    <x v="3"/>
    <n v="71.989999999999995"/>
    <n v="143.97999999999999"/>
    <x v="0"/>
    <x v="2"/>
    <x v="1"/>
    <x v="3"/>
    <s v="Comunidad de Madrid"/>
    <x v="2"/>
    <n v="4"/>
    <n v="159.97999999999999"/>
    <n v="16"/>
  </r>
  <r>
    <s v="ORD-100608"/>
    <x v="420"/>
    <x v="3"/>
    <x v="3"/>
    <n v="3"/>
    <n v="34.99"/>
    <x v="4"/>
    <n v="27.99"/>
    <n v="83.97"/>
    <x v="0"/>
    <x v="0"/>
    <x v="4"/>
    <x v="7"/>
    <s v="Castilla y León"/>
    <x v="1"/>
    <n v="4"/>
    <n v="104.97"/>
    <n v="21"/>
  </r>
  <r>
    <s v="ORD-100609"/>
    <x v="396"/>
    <x v="15"/>
    <x v="3"/>
    <n v="5"/>
    <n v="69.989999999999995"/>
    <x v="4"/>
    <n v="55.99"/>
    <n v="279.95"/>
    <x v="1"/>
    <x v="2"/>
    <x v="3"/>
    <x v="2"/>
    <s v="Navarra"/>
    <x v="1"/>
    <m/>
    <n v="349.95"/>
    <n v="70"/>
  </r>
  <r>
    <s v="ORD-100610"/>
    <x v="421"/>
    <x v="11"/>
    <x v="0"/>
    <n v="3"/>
    <n v="349.99"/>
    <x v="2"/>
    <n v="332.49"/>
    <n v="997.47"/>
    <x v="1"/>
    <x v="2"/>
    <x v="0"/>
    <x v="4"/>
    <s v="Castilla y León"/>
    <x v="1"/>
    <m/>
    <n v="1049.97"/>
    <n v="52.5"/>
  </r>
  <r>
    <s v="ORD-100611"/>
    <x v="285"/>
    <x v="3"/>
    <x v="3"/>
    <n v="3"/>
    <n v="34.99"/>
    <x v="1"/>
    <n v="34.99"/>
    <n v="104.97"/>
    <x v="0"/>
    <x v="2"/>
    <x v="3"/>
    <x v="10"/>
    <s v="Cantabria"/>
    <x v="1"/>
    <n v="1"/>
    <n v="104.97"/>
    <n v="0"/>
  </r>
  <r>
    <s v="ORD-100612"/>
    <x v="422"/>
    <x v="19"/>
    <x v="0"/>
    <n v="4"/>
    <n v="1199.99"/>
    <x v="0"/>
    <n v="1019.99"/>
    <n v="4079.96"/>
    <x v="0"/>
    <x v="0"/>
    <x v="3"/>
    <x v="2"/>
    <s v="Navarra"/>
    <x v="1"/>
    <n v="2"/>
    <n v="4799.96"/>
    <n v="720"/>
  </r>
  <r>
    <s v="ORD-100613"/>
    <x v="148"/>
    <x v="9"/>
    <x v="2"/>
    <n v="5"/>
    <n v="29.99"/>
    <x v="1"/>
    <n v="29.99"/>
    <n v="149.94999999999999"/>
    <x v="0"/>
    <x v="0"/>
    <x v="3"/>
    <x v="7"/>
    <s v="Castilla y León"/>
    <x v="1"/>
    <n v="3"/>
    <n v="149.94999999999999"/>
    <n v="0"/>
  </r>
  <r>
    <s v="ORD-100614"/>
    <x v="14"/>
    <x v="20"/>
    <x v="3"/>
    <n v="2"/>
    <n v="39.99"/>
    <x v="2"/>
    <n v="37.99"/>
    <n v="75.98"/>
    <x v="0"/>
    <x v="1"/>
    <x v="3"/>
    <x v="7"/>
    <s v="Castilla y León"/>
    <x v="1"/>
    <n v="5"/>
    <n v="79.98"/>
    <n v="4"/>
  </r>
  <r>
    <s v="ORD-100615"/>
    <x v="114"/>
    <x v="7"/>
    <x v="3"/>
    <n v="3"/>
    <n v="19.989999999999998"/>
    <x v="3"/>
    <n v="17.989999999999998"/>
    <n v="53.97"/>
    <x v="0"/>
    <x v="0"/>
    <x v="0"/>
    <x v="10"/>
    <s v="Cantabria"/>
    <x v="1"/>
    <n v="1"/>
    <n v="59.97"/>
    <n v="6"/>
  </r>
  <r>
    <s v="ORD-100616"/>
    <x v="163"/>
    <x v="26"/>
    <x v="1"/>
    <n v="2"/>
    <n v="599.99"/>
    <x v="1"/>
    <n v="599.99"/>
    <n v="1199.98"/>
    <x v="0"/>
    <x v="2"/>
    <x v="2"/>
    <x v="13"/>
    <s v="Andalucía"/>
    <x v="0"/>
    <n v="5"/>
    <n v="1199.98"/>
    <n v="0"/>
  </r>
  <r>
    <s v="ORD-100617"/>
    <x v="423"/>
    <x v="12"/>
    <x v="2"/>
    <n v="1"/>
    <n v="189.99"/>
    <x v="1"/>
    <n v="189.99"/>
    <n v="189.99"/>
    <x v="0"/>
    <x v="0"/>
    <x v="0"/>
    <x v="9"/>
    <s v="Asturias"/>
    <x v="1"/>
    <n v="2"/>
    <n v="189.99"/>
    <n v="0"/>
  </r>
  <r>
    <s v="ORD-100618"/>
    <x v="318"/>
    <x v="22"/>
    <x v="4"/>
    <n v="5"/>
    <n v="44.99"/>
    <x v="2"/>
    <n v="42.74"/>
    <n v="213.7"/>
    <x v="0"/>
    <x v="0"/>
    <x v="0"/>
    <x v="5"/>
    <s v="País Vasco"/>
    <x v="0"/>
    <n v="1"/>
    <n v="224.95000000000002"/>
    <n v="11.250000000000028"/>
  </r>
  <r>
    <s v="ORD-100619"/>
    <x v="424"/>
    <x v="22"/>
    <x v="4"/>
    <n v="4"/>
    <n v="44.99"/>
    <x v="3"/>
    <n v="40.49"/>
    <n v="161.96"/>
    <x v="1"/>
    <x v="1"/>
    <x v="3"/>
    <x v="5"/>
    <s v="País Vasco"/>
    <x v="0"/>
    <m/>
    <n v="179.96"/>
    <n v="18"/>
  </r>
  <r>
    <s v="ORD-100620"/>
    <x v="320"/>
    <x v="9"/>
    <x v="2"/>
    <n v="4"/>
    <n v="29.99"/>
    <x v="2"/>
    <n v="28.49"/>
    <n v="113.96"/>
    <x v="0"/>
    <x v="1"/>
    <x v="2"/>
    <x v="8"/>
    <s v="La Rioja"/>
    <x v="1"/>
    <n v="3"/>
    <n v="119.96"/>
    <n v="6"/>
  </r>
  <r>
    <s v="ORD-100621"/>
    <x v="425"/>
    <x v="17"/>
    <x v="0"/>
    <n v="5"/>
    <n v="899.99"/>
    <x v="3"/>
    <n v="809.99"/>
    <n v="4049.95"/>
    <x v="0"/>
    <x v="1"/>
    <x v="1"/>
    <x v="0"/>
    <s v="Andalucía"/>
    <x v="0"/>
    <n v="3"/>
    <n v="4499.95"/>
    <n v="450"/>
  </r>
  <r>
    <s v="ORD-100622"/>
    <x v="75"/>
    <x v="9"/>
    <x v="2"/>
    <n v="1"/>
    <n v="29.99"/>
    <x v="1"/>
    <n v="29.99"/>
    <n v="29.99"/>
    <x v="0"/>
    <x v="2"/>
    <x v="3"/>
    <x v="5"/>
    <s v="País Vasco"/>
    <x v="0"/>
    <n v="4"/>
    <n v="29.99"/>
    <n v="0"/>
  </r>
  <r>
    <s v="ORD-100623"/>
    <x v="426"/>
    <x v="1"/>
    <x v="1"/>
    <n v="2"/>
    <n v="399.99"/>
    <x v="3"/>
    <n v="359.99"/>
    <n v="719.98"/>
    <x v="0"/>
    <x v="0"/>
    <x v="0"/>
    <x v="10"/>
    <s v="Cantabria"/>
    <x v="1"/>
    <n v="3"/>
    <n v="799.98"/>
    <n v="80"/>
  </r>
  <r>
    <s v="ORD-100624"/>
    <x v="427"/>
    <x v="22"/>
    <x v="4"/>
    <n v="5"/>
    <n v="44.99"/>
    <x v="1"/>
    <n v="44.99"/>
    <n v="224.95"/>
    <x v="0"/>
    <x v="0"/>
    <x v="1"/>
    <x v="8"/>
    <s v="La Rioja"/>
    <x v="1"/>
    <n v="2"/>
    <n v="224.95000000000002"/>
    <n v="0"/>
  </r>
  <r>
    <s v="ORD-100625"/>
    <x v="428"/>
    <x v="22"/>
    <x v="4"/>
    <n v="4"/>
    <n v="44.99"/>
    <x v="3"/>
    <n v="40.49"/>
    <n v="161.96"/>
    <x v="0"/>
    <x v="0"/>
    <x v="0"/>
    <x v="6"/>
    <s v="Comunitat Valenciana"/>
    <x v="0"/>
    <n v="1"/>
    <n v="179.96"/>
    <n v="18"/>
  </r>
  <r>
    <s v="ORD-100626"/>
    <x v="429"/>
    <x v="13"/>
    <x v="3"/>
    <n v="3"/>
    <n v="49.99"/>
    <x v="1"/>
    <n v="49.99"/>
    <n v="149.97"/>
    <x v="2"/>
    <x v="2"/>
    <x v="2"/>
    <x v="5"/>
    <s v="País Vasco"/>
    <x v="0"/>
    <m/>
    <n v="149.97"/>
    <n v="0"/>
  </r>
  <r>
    <s v="ORD-100627"/>
    <x v="211"/>
    <x v="7"/>
    <x v="3"/>
    <n v="4"/>
    <n v="19.989999999999998"/>
    <x v="2"/>
    <n v="18.989999999999998"/>
    <n v="75.959999999999994"/>
    <x v="0"/>
    <x v="0"/>
    <x v="0"/>
    <x v="2"/>
    <s v="Navarra"/>
    <x v="1"/>
    <n v="4"/>
    <n v="79.959999999999994"/>
    <n v="4"/>
  </r>
  <r>
    <s v="ORD-100628"/>
    <x v="430"/>
    <x v="26"/>
    <x v="1"/>
    <n v="5"/>
    <n v="599.99"/>
    <x v="4"/>
    <n v="479.99"/>
    <n v="2399.9499999999998"/>
    <x v="0"/>
    <x v="0"/>
    <x v="3"/>
    <x v="11"/>
    <s v="Cataluña"/>
    <x v="2"/>
    <n v="2"/>
    <n v="2999.95"/>
    <n v="600"/>
  </r>
  <r>
    <s v="ORD-100629"/>
    <x v="268"/>
    <x v="2"/>
    <x v="2"/>
    <n v="2"/>
    <n v="299.99"/>
    <x v="4"/>
    <n v="239.99"/>
    <n v="479.98"/>
    <x v="0"/>
    <x v="1"/>
    <x v="0"/>
    <x v="14"/>
    <s v="Aragón"/>
    <x v="0"/>
    <n v="3"/>
    <n v="599.98"/>
    <n v="120"/>
  </r>
  <r>
    <s v="ORD-100630"/>
    <x v="47"/>
    <x v="13"/>
    <x v="3"/>
    <n v="1"/>
    <n v="49.99"/>
    <x v="2"/>
    <n v="47.49"/>
    <n v="47.49"/>
    <x v="1"/>
    <x v="0"/>
    <x v="3"/>
    <x v="8"/>
    <s v="La Rioja"/>
    <x v="1"/>
    <m/>
    <n v="49.99"/>
    <n v="2.5"/>
  </r>
  <r>
    <s v="ORD-100631"/>
    <x v="17"/>
    <x v="16"/>
    <x v="1"/>
    <n v="3"/>
    <n v="79.989999999999995"/>
    <x v="1"/>
    <n v="79.989999999999995"/>
    <n v="239.97"/>
    <x v="0"/>
    <x v="0"/>
    <x v="4"/>
    <x v="1"/>
    <s v="Comunitat Valenciana"/>
    <x v="1"/>
    <n v="2"/>
    <n v="239.96999999999997"/>
    <n v="0"/>
  </r>
  <r>
    <s v="ORD-100632"/>
    <x v="221"/>
    <x v="10"/>
    <x v="2"/>
    <n v="2"/>
    <n v="69.989999999999995"/>
    <x v="1"/>
    <n v="69.989999999999995"/>
    <n v="139.97999999999999"/>
    <x v="1"/>
    <x v="0"/>
    <x v="0"/>
    <x v="8"/>
    <s v="La Rioja"/>
    <x v="1"/>
    <m/>
    <n v="139.97999999999999"/>
    <n v="0"/>
  </r>
  <r>
    <s v="ORD-100633"/>
    <x v="364"/>
    <x v="25"/>
    <x v="4"/>
    <n v="5"/>
    <n v="34.99"/>
    <x v="1"/>
    <n v="34.99"/>
    <n v="174.95"/>
    <x v="0"/>
    <x v="0"/>
    <x v="0"/>
    <x v="11"/>
    <s v="Cataluña"/>
    <x v="2"/>
    <n v="4"/>
    <n v="174.95000000000002"/>
    <n v="0"/>
  </r>
  <r>
    <s v="ORD-100634"/>
    <x v="413"/>
    <x v="19"/>
    <x v="0"/>
    <n v="5"/>
    <n v="1199.99"/>
    <x v="1"/>
    <n v="1199.99"/>
    <n v="5999.95"/>
    <x v="2"/>
    <x v="1"/>
    <x v="3"/>
    <x v="14"/>
    <s v="Aragón"/>
    <x v="0"/>
    <m/>
    <n v="5999.95"/>
    <n v="0"/>
  </r>
  <r>
    <s v="ORD-100635"/>
    <x v="211"/>
    <x v="4"/>
    <x v="4"/>
    <n v="3"/>
    <n v="349.99"/>
    <x v="2"/>
    <n v="332.49"/>
    <n v="997.47"/>
    <x v="0"/>
    <x v="2"/>
    <x v="0"/>
    <x v="2"/>
    <s v="Navarra"/>
    <x v="1"/>
    <n v="2"/>
    <n v="1049.97"/>
    <n v="52.5"/>
  </r>
  <r>
    <s v="ORD-100636"/>
    <x v="215"/>
    <x v="11"/>
    <x v="0"/>
    <n v="1"/>
    <n v="349.99"/>
    <x v="3"/>
    <n v="314.99"/>
    <n v="314.99"/>
    <x v="1"/>
    <x v="2"/>
    <x v="0"/>
    <x v="12"/>
    <s v="Región de Murcia"/>
    <x v="1"/>
    <m/>
    <n v="349.99"/>
    <n v="35"/>
  </r>
  <r>
    <s v="ORD-100637"/>
    <x v="346"/>
    <x v="20"/>
    <x v="3"/>
    <n v="2"/>
    <n v="39.99"/>
    <x v="2"/>
    <n v="37.99"/>
    <n v="75.98"/>
    <x v="4"/>
    <x v="1"/>
    <x v="0"/>
    <x v="10"/>
    <s v="Cantabria"/>
    <x v="1"/>
    <m/>
    <n v="79.98"/>
    <n v="4"/>
  </r>
  <r>
    <s v="ORD-100638"/>
    <x v="39"/>
    <x v="19"/>
    <x v="0"/>
    <n v="2"/>
    <n v="1199.99"/>
    <x v="2"/>
    <n v="1139.99"/>
    <n v="2279.98"/>
    <x v="0"/>
    <x v="0"/>
    <x v="2"/>
    <x v="14"/>
    <s v="Aragón"/>
    <x v="0"/>
    <n v="2"/>
    <n v="2399.98"/>
    <n v="120"/>
  </r>
  <r>
    <s v="ORD-100639"/>
    <x v="56"/>
    <x v="7"/>
    <x v="3"/>
    <n v="2"/>
    <n v="19.989999999999998"/>
    <x v="1"/>
    <n v="19.989999999999998"/>
    <n v="39.979999999999997"/>
    <x v="0"/>
    <x v="0"/>
    <x v="0"/>
    <x v="1"/>
    <s v="Comunitat Valenciana"/>
    <x v="1"/>
    <n v="4"/>
    <n v="39.979999999999997"/>
    <n v="0"/>
  </r>
  <r>
    <s v="ORD-100640"/>
    <x v="431"/>
    <x v="3"/>
    <x v="3"/>
    <n v="3"/>
    <n v="34.99"/>
    <x v="1"/>
    <n v="34.99"/>
    <n v="104.97"/>
    <x v="2"/>
    <x v="1"/>
    <x v="3"/>
    <x v="5"/>
    <s v="País Vasco"/>
    <x v="0"/>
    <m/>
    <n v="104.97"/>
    <n v="0"/>
  </r>
  <r>
    <s v="ORD-100641"/>
    <x v="432"/>
    <x v="12"/>
    <x v="2"/>
    <n v="2"/>
    <n v="189.99"/>
    <x v="4"/>
    <n v="151.99"/>
    <n v="303.98"/>
    <x v="0"/>
    <x v="2"/>
    <x v="3"/>
    <x v="5"/>
    <s v="País Vasco"/>
    <x v="0"/>
    <n v="4"/>
    <n v="379.98"/>
    <n v="76"/>
  </r>
  <r>
    <s v="ORD-100642"/>
    <x v="433"/>
    <x v="11"/>
    <x v="0"/>
    <n v="2"/>
    <n v="349.99"/>
    <x v="2"/>
    <n v="332.49"/>
    <n v="664.98"/>
    <x v="2"/>
    <x v="0"/>
    <x v="0"/>
    <x v="6"/>
    <s v="Comunitat Valenciana"/>
    <x v="0"/>
    <m/>
    <n v="699.98"/>
    <n v="35"/>
  </r>
  <r>
    <s v="ORD-100643"/>
    <x v="333"/>
    <x v="14"/>
    <x v="1"/>
    <n v="5"/>
    <n v="249.99"/>
    <x v="0"/>
    <n v="212.49"/>
    <n v="1062.45"/>
    <x v="0"/>
    <x v="0"/>
    <x v="3"/>
    <x v="12"/>
    <s v="Región de Murcia"/>
    <x v="1"/>
    <n v="5"/>
    <n v="1249.95"/>
    <n v="187.5"/>
  </r>
  <r>
    <s v="ORD-100644"/>
    <x v="434"/>
    <x v="20"/>
    <x v="3"/>
    <n v="1"/>
    <n v="39.99"/>
    <x v="0"/>
    <n v="33.99"/>
    <n v="33.99"/>
    <x v="0"/>
    <x v="2"/>
    <x v="3"/>
    <x v="0"/>
    <s v="Andalucía"/>
    <x v="0"/>
    <n v="1"/>
    <n v="39.99"/>
    <n v="6"/>
  </r>
  <r>
    <s v="ORD-100645"/>
    <x v="173"/>
    <x v="10"/>
    <x v="2"/>
    <n v="3"/>
    <n v="69.989999999999995"/>
    <x v="1"/>
    <n v="69.989999999999995"/>
    <n v="209.97"/>
    <x v="0"/>
    <x v="1"/>
    <x v="2"/>
    <x v="7"/>
    <s v="Castilla y León"/>
    <x v="1"/>
    <n v="3"/>
    <n v="209.96999999999997"/>
    <n v="0"/>
  </r>
  <r>
    <s v="ORD-100646"/>
    <x v="435"/>
    <x v="3"/>
    <x v="3"/>
    <n v="1"/>
    <n v="34.99"/>
    <x v="1"/>
    <n v="34.99"/>
    <n v="34.99"/>
    <x v="2"/>
    <x v="0"/>
    <x v="3"/>
    <x v="1"/>
    <s v="Comunitat Valenciana"/>
    <x v="1"/>
    <m/>
    <n v="34.99"/>
    <n v="0"/>
  </r>
  <r>
    <s v="ORD-100647"/>
    <x v="436"/>
    <x v="5"/>
    <x v="1"/>
    <n v="2"/>
    <n v="149.99"/>
    <x v="4"/>
    <n v="119.99"/>
    <n v="239.98"/>
    <x v="0"/>
    <x v="1"/>
    <x v="3"/>
    <x v="14"/>
    <s v="Aragón"/>
    <x v="0"/>
    <n v="4"/>
    <n v="299.98"/>
    <n v="60.000000000000028"/>
  </r>
  <r>
    <s v="ORD-100648"/>
    <x v="5"/>
    <x v="20"/>
    <x v="3"/>
    <n v="5"/>
    <n v="39.99"/>
    <x v="1"/>
    <n v="39.99"/>
    <n v="199.95"/>
    <x v="0"/>
    <x v="2"/>
    <x v="1"/>
    <x v="6"/>
    <s v="Comunitat Valenciana"/>
    <x v="0"/>
    <n v="3"/>
    <n v="199.95000000000002"/>
    <n v="0"/>
  </r>
  <r>
    <s v="ORD-100649"/>
    <x v="73"/>
    <x v="9"/>
    <x v="2"/>
    <n v="5"/>
    <n v="29.99"/>
    <x v="3"/>
    <n v="26.99"/>
    <n v="134.94999999999999"/>
    <x v="0"/>
    <x v="0"/>
    <x v="0"/>
    <x v="4"/>
    <s v="Castilla y León"/>
    <x v="1"/>
    <n v="2"/>
    <n v="149.94999999999999"/>
    <n v="15"/>
  </r>
  <r>
    <s v="ORD-100650"/>
    <x v="34"/>
    <x v="24"/>
    <x v="3"/>
    <n v="3"/>
    <n v="89.99"/>
    <x v="0"/>
    <n v="76.489999999999995"/>
    <n v="229.47"/>
    <x v="0"/>
    <x v="0"/>
    <x v="2"/>
    <x v="9"/>
    <s v="Asturias"/>
    <x v="1"/>
    <n v="3"/>
    <n v="269.96999999999997"/>
    <n v="40.499999999999972"/>
  </r>
  <r>
    <s v="ORD-100651"/>
    <x v="102"/>
    <x v="14"/>
    <x v="1"/>
    <n v="4"/>
    <n v="249.99"/>
    <x v="2"/>
    <n v="237.49"/>
    <n v="949.96"/>
    <x v="0"/>
    <x v="0"/>
    <x v="1"/>
    <x v="8"/>
    <s v="La Rioja"/>
    <x v="1"/>
    <n v="3"/>
    <n v="999.96"/>
    <n v="50"/>
  </r>
  <r>
    <s v="ORD-100652"/>
    <x v="360"/>
    <x v="10"/>
    <x v="2"/>
    <n v="1"/>
    <n v="69.989999999999995"/>
    <x v="1"/>
    <n v="69.989999999999995"/>
    <n v="69.989999999999995"/>
    <x v="0"/>
    <x v="0"/>
    <x v="4"/>
    <x v="11"/>
    <s v="Cataluña"/>
    <x v="2"/>
    <n v="4"/>
    <n v="69.989999999999995"/>
    <n v="0"/>
  </r>
  <r>
    <s v="ORD-100653"/>
    <x v="56"/>
    <x v="17"/>
    <x v="0"/>
    <n v="1"/>
    <n v="899.99"/>
    <x v="4"/>
    <n v="719.99"/>
    <n v="719.99"/>
    <x v="0"/>
    <x v="3"/>
    <x v="0"/>
    <x v="2"/>
    <s v="Navarra"/>
    <x v="1"/>
    <n v="5"/>
    <n v="899.99"/>
    <n v="180"/>
  </r>
  <r>
    <s v="ORD-100654"/>
    <x v="330"/>
    <x v="6"/>
    <x v="0"/>
    <n v="4"/>
    <n v="89.99"/>
    <x v="1"/>
    <n v="89.99"/>
    <n v="359.96"/>
    <x v="0"/>
    <x v="0"/>
    <x v="1"/>
    <x v="10"/>
    <s v="Cantabria"/>
    <x v="1"/>
    <n v="2"/>
    <n v="359.96"/>
    <n v="0"/>
  </r>
  <r>
    <s v="ORD-100655"/>
    <x v="180"/>
    <x v="25"/>
    <x v="4"/>
    <n v="2"/>
    <n v="34.99"/>
    <x v="1"/>
    <n v="34.99"/>
    <n v="69.98"/>
    <x v="0"/>
    <x v="2"/>
    <x v="0"/>
    <x v="14"/>
    <s v="Aragón"/>
    <x v="0"/>
    <n v="4"/>
    <n v="69.98"/>
    <n v="0"/>
  </r>
  <r>
    <s v="ORD-100656"/>
    <x v="70"/>
    <x v="4"/>
    <x v="4"/>
    <n v="5"/>
    <n v="349.99"/>
    <x v="1"/>
    <n v="349.99"/>
    <n v="1749.95"/>
    <x v="0"/>
    <x v="3"/>
    <x v="1"/>
    <x v="6"/>
    <s v="Comunitat Valenciana"/>
    <x v="0"/>
    <n v="2"/>
    <n v="1749.95"/>
    <n v="0"/>
  </r>
  <r>
    <s v="ORD-100657"/>
    <x v="437"/>
    <x v="27"/>
    <x v="1"/>
    <n v="4"/>
    <n v="49.99"/>
    <x v="0"/>
    <n v="42.49"/>
    <n v="169.96"/>
    <x v="1"/>
    <x v="1"/>
    <x v="3"/>
    <x v="4"/>
    <s v="Castilla y León"/>
    <x v="1"/>
    <m/>
    <n v="199.96"/>
    <n v="30"/>
  </r>
  <r>
    <s v="ORD-100658"/>
    <x v="0"/>
    <x v="5"/>
    <x v="1"/>
    <n v="3"/>
    <n v="149.99"/>
    <x v="1"/>
    <n v="149.99"/>
    <n v="449.97"/>
    <x v="0"/>
    <x v="2"/>
    <x v="3"/>
    <x v="0"/>
    <s v="Andalucía"/>
    <x v="0"/>
    <n v="3"/>
    <n v="449.97"/>
    <n v="0"/>
  </r>
  <r>
    <s v="ORD-100659"/>
    <x v="438"/>
    <x v="7"/>
    <x v="3"/>
    <n v="2"/>
    <n v="19.989999999999998"/>
    <x v="1"/>
    <n v="19.989999999999998"/>
    <n v="39.979999999999997"/>
    <x v="0"/>
    <x v="2"/>
    <x v="2"/>
    <x v="7"/>
    <s v="Castilla y León"/>
    <x v="1"/>
    <n v="3"/>
    <n v="39.979999999999997"/>
    <n v="0"/>
  </r>
  <r>
    <s v="ORD-100660"/>
    <x v="439"/>
    <x v="16"/>
    <x v="1"/>
    <n v="5"/>
    <n v="79.989999999999995"/>
    <x v="1"/>
    <n v="79.989999999999995"/>
    <n v="399.95"/>
    <x v="1"/>
    <x v="2"/>
    <x v="3"/>
    <x v="12"/>
    <s v="Región de Murcia"/>
    <x v="1"/>
    <m/>
    <n v="399.95"/>
    <n v="0"/>
  </r>
  <r>
    <s v="ORD-100661"/>
    <x v="297"/>
    <x v="18"/>
    <x v="2"/>
    <n v="4"/>
    <n v="99.99"/>
    <x v="4"/>
    <n v="79.989999999999995"/>
    <n v="319.95999999999998"/>
    <x v="0"/>
    <x v="2"/>
    <x v="3"/>
    <x v="0"/>
    <s v="Andalucía"/>
    <x v="0"/>
    <n v="2"/>
    <n v="399.96"/>
    <n v="80"/>
  </r>
  <r>
    <s v="ORD-100662"/>
    <x v="440"/>
    <x v="23"/>
    <x v="4"/>
    <n v="5"/>
    <n v="24.99"/>
    <x v="2"/>
    <n v="23.74"/>
    <n v="118.7"/>
    <x v="0"/>
    <x v="1"/>
    <x v="1"/>
    <x v="6"/>
    <s v="Comunitat Valenciana"/>
    <x v="0"/>
    <n v="4"/>
    <n v="124.94999999999999"/>
    <n v="6.2499999999999858"/>
  </r>
  <r>
    <s v="ORD-100663"/>
    <x v="299"/>
    <x v="7"/>
    <x v="3"/>
    <n v="1"/>
    <n v="19.989999999999998"/>
    <x v="2"/>
    <n v="18.989999999999998"/>
    <n v="18.989999999999998"/>
    <x v="1"/>
    <x v="2"/>
    <x v="4"/>
    <x v="7"/>
    <s v="Castilla y León"/>
    <x v="1"/>
    <m/>
    <n v="19.989999999999998"/>
    <n v="1"/>
  </r>
  <r>
    <s v="ORD-100664"/>
    <x v="441"/>
    <x v="12"/>
    <x v="2"/>
    <n v="3"/>
    <n v="189.99"/>
    <x v="1"/>
    <n v="189.99"/>
    <n v="569.97"/>
    <x v="1"/>
    <x v="2"/>
    <x v="3"/>
    <x v="7"/>
    <s v="Castilla y León"/>
    <x v="1"/>
    <m/>
    <n v="569.97"/>
    <n v="0"/>
  </r>
  <r>
    <s v="ORD-100665"/>
    <x v="247"/>
    <x v="29"/>
    <x v="0"/>
    <n v="2"/>
    <n v="129.99"/>
    <x v="1"/>
    <n v="129.99"/>
    <n v="259.98"/>
    <x v="0"/>
    <x v="1"/>
    <x v="0"/>
    <x v="12"/>
    <s v="Región de Murcia"/>
    <x v="1"/>
    <n v="5"/>
    <n v="259.98"/>
    <n v="0"/>
  </r>
  <r>
    <s v="ORD-100666"/>
    <x v="389"/>
    <x v="21"/>
    <x v="0"/>
    <n v="3"/>
    <n v="799.99"/>
    <x v="1"/>
    <n v="799.99"/>
    <n v="2399.9699999999998"/>
    <x v="0"/>
    <x v="0"/>
    <x v="4"/>
    <x v="7"/>
    <s v="Castilla y León"/>
    <x v="1"/>
    <n v="3"/>
    <n v="2399.9700000000003"/>
    <n v="0"/>
  </r>
  <r>
    <s v="ORD-100667"/>
    <x v="356"/>
    <x v="11"/>
    <x v="0"/>
    <n v="4"/>
    <n v="349.99"/>
    <x v="0"/>
    <n v="297.49"/>
    <n v="1189.96"/>
    <x v="0"/>
    <x v="0"/>
    <x v="3"/>
    <x v="11"/>
    <s v="Cataluña"/>
    <x v="2"/>
    <n v="3"/>
    <n v="1399.96"/>
    <n v="210"/>
  </r>
  <r>
    <s v="ORD-100668"/>
    <x v="55"/>
    <x v="13"/>
    <x v="3"/>
    <n v="4"/>
    <n v="49.99"/>
    <x v="1"/>
    <n v="49.99"/>
    <n v="199.96"/>
    <x v="0"/>
    <x v="0"/>
    <x v="0"/>
    <x v="2"/>
    <s v="Navarra"/>
    <x v="1"/>
    <n v="2"/>
    <n v="199.96"/>
    <n v="0"/>
  </r>
  <r>
    <s v="ORD-100669"/>
    <x v="336"/>
    <x v="7"/>
    <x v="3"/>
    <n v="4"/>
    <n v="19.989999999999998"/>
    <x v="1"/>
    <n v="19.989999999999998"/>
    <n v="79.959999999999994"/>
    <x v="0"/>
    <x v="0"/>
    <x v="2"/>
    <x v="6"/>
    <s v="Comunitat Valenciana"/>
    <x v="0"/>
    <n v="4"/>
    <n v="79.959999999999994"/>
    <n v="0"/>
  </r>
  <r>
    <s v="ORD-100670"/>
    <x v="324"/>
    <x v="0"/>
    <x v="0"/>
    <n v="2"/>
    <n v="45.99"/>
    <x v="2"/>
    <n v="43.69"/>
    <n v="87.38"/>
    <x v="1"/>
    <x v="0"/>
    <x v="4"/>
    <x v="12"/>
    <s v="Región de Murcia"/>
    <x v="1"/>
    <m/>
    <n v="91.98"/>
    <n v="4.6000000000000085"/>
  </r>
  <r>
    <s v="ORD-100671"/>
    <x v="2"/>
    <x v="26"/>
    <x v="1"/>
    <n v="1"/>
    <n v="599.99"/>
    <x v="3"/>
    <n v="539.99"/>
    <n v="539.99"/>
    <x v="1"/>
    <x v="1"/>
    <x v="1"/>
    <x v="0"/>
    <s v="Andalucía"/>
    <x v="0"/>
    <m/>
    <n v="599.99"/>
    <n v="60"/>
  </r>
  <r>
    <s v="ORD-100672"/>
    <x v="442"/>
    <x v="22"/>
    <x v="4"/>
    <n v="3"/>
    <n v="44.99"/>
    <x v="1"/>
    <n v="44.99"/>
    <n v="134.97"/>
    <x v="1"/>
    <x v="1"/>
    <x v="3"/>
    <x v="3"/>
    <s v="Comunidad de Madrid"/>
    <x v="2"/>
    <m/>
    <n v="134.97"/>
    <n v="0"/>
  </r>
  <r>
    <s v="ORD-100673"/>
    <x v="443"/>
    <x v="7"/>
    <x v="3"/>
    <n v="4"/>
    <n v="19.989999999999998"/>
    <x v="0"/>
    <n v="16.989999999999998"/>
    <n v="67.959999999999994"/>
    <x v="0"/>
    <x v="2"/>
    <x v="2"/>
    <x v="14"/>
    <s v="Aragón"/>
    <x v="0"/>
    <n v="2"/>
    <n v="79.959999999999994"/>
    <n v="12"/>
  </r>
  <r>
    <s v="ORD-100674"/>
    <x v="238"/>
    <x v="28"/>
    <x v="0"/>
    <n v="4"/>
    <n v="499.99"/>
    <x v="1"/>
    <n v="499.99"/>
    <n v="1999.96"/>
    <x v="0"/>
    <x v="0"/>
    <x v="0"/>
    <x v="2"/>
    <s v="Navarra"/>
    <x v="1"/>
    <n v="2"/>
    <n v="1999.96"/>
    <n v="0"/>
  </r>
  <r>
    <s v="ORD-100675"/>
    <x v="297"/>
    <x v="17"/>
    <x v="0"/>
    <n v="5"/>
    <n v="899.99"/>
    <x v="4"/>
    <n v="719.99"/>
    <n v="3599.95"/>
    <x v="1"/>
    <x v="1"/>
    <x v="3"/>
    <x v="10"/>
    <s v="Cantabria"/>
    <x v="1"/>
    <m/>
    <n v="4499.95"/>
    <n v="900"/>
  </r>
  <r>
    <s v="ORD-100676"/>
    <x v="363"/>
    <x v="28"/>
    <x v="0"/>
    <n v="2"/>
    <n v="499.99"/>
    <x v="2"/>
    <n v="474.99"/>
    <n v="949.98"/>
    <x v="0"/>
    <x v="0"/>
    <x v="4"/>
    <x v="1"/>
    <s v="Comunitat Valenciana"/>
    <x v="1"/>
    <n v="1"/>
    <n v="999.98"/>
    <n v="50"/>
  </r>
  <r>
    <s v="ORD-100677"/>
    <x v="95"/>
    <x v="15"/>
    <x v="3"/>
    <n v="2"/>
    <n v="69.989999999999995"/>
    <x v="0"/>
    <n v="59.49"/>
    <n v="118.98"/>
    <x v="0"/>
    <x v="0"/>
    <x v="0"/>
    <x v="11"/>
    <s v="Cataluña"/>
    <x v="2"/>
    <n v="5"/>
    <n v="139.97999999999999"/>
    <n v="20.999999999999986"/>
  </r>
  <r>
    <s v="ORD-100678"/>
    <x v="266"/>
    <x v="18"/>
    <x v="2"/>
    <n v="3"/>
    <n v="99.99"/>
    <x v="4"/>
    <n v="79.989999999999995"/>
    <n v="239.97"/>
    <x v="2"/>
    <x v="0"/>
    <x v="1"/>
    <x v="10"/>
    <s v="Cantabria"/>
    <x v="1"/>
    <m/>
    <n v="299.96999999999997"/>
    <n v="59.999999999999972"/>
  </r>
  <r>
    <s v="ORD-100679"/>
    <x v="45"/>
    <x v="10"/>
    <x v="2"/>
    <n v="2"/>
    <n v="69.989999999999995"/>
    <x v="1"/>
    <n v="69.989999999999995"/>
    <n v="139.97999999999999"/>
    <x v="2"/>
    <x v="1"/>
    <x v="3"/>
    <x v="12"/>
    <s v="Región de Murcia"/>
    <x v="1"/>
    <m/>
    <n v="139.97999999999999"/>
    <n v="0"/>
  </r>
  <r>
    <s v="ORD-100680"/>
    <x v="338"/>
    <x v="2"/>
    <x v="2"/>
    <n v="4"/>
    <n v="299.99"/>
    <x v="1"/>
    <n v="299.99"/>
    <n v="1199.96"/>
    <x v="0"/>
    <x v="0"/>
    <x v="1"/>
    <x v="7"/>
    <s v="Castilla y León"/>
    <x v="1"/>
    <n v="3"/>
    <n v="1199.96"/>
    <n v="0"/>
  </r>
  <r>
    <s v="ORD-100681"/>
    <x v="444"/>
    <x v="22"/>
    <x v="4"/>
    <n v="5"/>
    <n v="44.99"/>
    <x v="1"/>
    <n v="44.99"/>
    <n v="224.95"/>
    <x v="0"/>
    <x v="0"/>
    <x v="2"/>
    <x v="6"/>
    <s v="Comunitat Valenciana"/>
    <x v="0"/>
    <n v="5"/>
    <n v="224.95000000000002"/>
    <n v="0"/>
  </r>
  <r>
    <s v="ORD-100682"/>
    <x v="445"/>
    <x v="26"/>
    <x v="1"/>
    <n v="1"/>
    <n v="599.99"/>
    <x v="4"/>
    <n v="479.99"/>
    <n v="479.99"/>
    <x v="1"/>
    <x v="1"/>
    <x v="2"/>
    <x v="13"/>
    <s v="Andalucía"/>
    <x v="0"/>
    <m/>
    <n v="599.99"/>
    <n v="120"/>
  </r>
  <r>
    <s v="ORD-100683"/>
    <x v="446"/>
    <x v="4"/>
    <x v="4"/>
    <n v="3"/>
    <n v="349.99"/>
    <x v="4"/>
    <n v="279.99"/>
    <n v="839.97"/>
    <x v="1"/>
    <x v="1"/>
    <x v="1"/>
    <x v="14"/>
    <s v="Aragón"/>
    <x v="0"/>
    <m/>
    <n v="1049.97"/>
    <n v="210"/>
  </r>
  <r>
    <s v="ORD-100684"/>
    <x v="68"/>
    <x v="25"/>
    <x v="4"/>
    <n v="4"/>
    <n v="34.99"/>
    <x v="1"/>
    <n v="34.99"/>
    <n v="139.96"/>
    <x v="0"/>
    <x v="2"/>
    <x v="0"/>
    <x v="12"/>
    <s v="Región de Murcia"/>
    <x v="1"/>
    <n v="3"/>
    <n v="139.96"/>
    <n v="0"/>
  </r>
  <r>
    <s v="ORD-100685"/>
    <x v="342"/>
    <x v="3"/>
    <x v="3"/>
    <n v="3"/>
    <n v="34.99"/>
    <x v="1"/>
    <n v="34.99"/>
    <n v="104.97"/>
    <x v="0"/>
    <x v="0"/>
    <x v="2"/>
    <x v="9"/>
    <s v="Asturias"/>
    <x v="1"/>
    <n v="2"/>
    <n v="104.97"/>
    <n v="0"/>
  </r>
  <r>
    <s v="ORD-100686"/>
    <x v="17"/>
    <x v="4"/>
    <x v="4"/>
    <n v="1"/>
    <n v="349.99"/>
    <x v="1"/>
    <n v="349.99"/>
    <n v="349.99"/>
    <x v="0"/>
    <x v="0"/>
    <x v="3"/>
    <x v="0"/>
    <s v="Andalucía"/>
    <x v="0"/>
    <n v="4"/>
    <n v="349.99"/>
    <n v="0"/>
  </r>
  <r>
    <s v="ORD-100687"/>
    <x v="447"/>
    <x v="16"/>
    <x v="1"/>
    <n v="5"/>
    <n v="79.989999999999995"/>
    <x v="3"/>
    <n v="71.989999999999995"/>
    <n v="359.95"/>
    <x v="1"/>
    <x v="0"/>
    <x v="0"/>
    <x v="5"/>
    <s v="País Vasco"/>
    <x v="0"/>
    <m/>
    <n v="399.95"/>
    <n v="40"/>
  </r>
  <r>
    <s v="ORD-100688"/>
    <x v="448"/>
    <x v="19"/>
    <x v="0"/>
    <n v="2"/>
    <n v="1199.99"/>
    <x v="0"/>
    <n v="1019.99"/>
    <n v="2039.98"/>
    <x v="0"/>
    <x v="2"/>
    <x v="3"/>
    <x v="4"/>
    <s v="Castilla y León"/>
    <x v="1"/>
    <n v="1"/>
    <n v="2399.98"/>
    <n v="360"/>
  </r>
  <r>
    <s v="ORD-100689"/>
    <x v="317"/>
    <x v="5"/>
    <x v="1"/>
    <n v="4"/>
    <n v="149.99"/>
    <x v="4"/>
    <n v="119.99"/>
    <n v="479.96"/>
    <x v="0"/>
    <x v="0"/>
    <x v="1"/>
    <x v="10"/>
    <s v="Cantabria"/>
    <x v="1"/>
    <n v="5"/>
    <n v="599.96"/>
    <n v="120.00000000000006"/>
  </r>
  <r>
    <s v="ORD-100690"/>
    <x v="449"/>
    <x v="10"/>
    <x v="2"/>
    <n v="1"/>
    <n v="69.989999999999995"/>
    <x v="4"/>
    <n v="55.99"/>
    <n v="55.99"/>
    <x v="0"/>
    <x v="3"/>
    <x v="0"/>
    <x v="0"/>
    <s v="Andalucía"/>
    <x v="0"/>
    <n v="2"/>
    <n v="69.989999999999995"/>
    <n v="13.999999999999993"/>
  </r>
  <r>
    <s v="ORD-100691"/>
    <x v="450"/>
    <x v="20"/>
    <x v="3"/>
    <n v="2"/>
    <n v="39.99"/>
    <x v="1"/>
    <n v="39.99"/>
    <n v="79.98"/>
    <x v="0"/>
    <x v="1"/>
    <x v="4"/>
    <x v="0"/>
    <s v="Andalucía"/>
    <x v="0"/>
    <n v="5"/>
    <n v="79.98"/>
    <n v="0"/>
  </r>
  <r>
    <s v="ORD-100692"/>
    <x v="451"/>
    <x v="3"/>
    <x v="3"/>
    <n v="1"/>
    <n v="34.99"/>
    <x v="4"/>
    <n v="27.99"/>
    <n v="27.99"/>
    <x v="1"/>
    <x v="1"/>
    <x v="1"/>
    <x v="14"/>
    <s v="Aragón"/>
    <x v="0"/>
    <m/>
    <n v="34.99"/>
    <n v="7.0000000000000036"/>
  </r>
  <r>
    <s v="ORD-100693"/>
    <x v="452"/>
    <x v="23"/>
    <x v="4"/>
    <n v="1"/>
    <n v="24.99"/>
    <x v="1"/>
    <n v="24.99"/>
    <n v="24.99"/>
    <x v="1"/>
    <x v="0"/>
    <x v="0"/>
    <x v="7"/>
    <s v="Castilla y León"/>
    <x v="1"/>
    <m/>
    <n v="24.99"/>
    <n v="0"/>
  </r>
  <r>
    <s v="ORD-100694"/>
    <x v="159"/>
    <x v="5"/>
    <x v="1"/>
    <n v="5"/>
    <n v="149.99"/>
    <x v="2"/>
    <n v="142.49"/>
    <n v="712.45"/>
    <x v="3"/>
    <x v="0"/>
    <x v="4"/>
    <x v="4"/>
    <s v="Castilla y León"/>
    <x v="1"/>
    <m/>
    <n v="749.95"/>
    <n v="37.5"/>
  </r>
  <r>
    <s v="ORD-100695"/>
    <x v="453"/>
    <x v="4"/>
    <x v="4"/>
    <n v="3"/>
    <n v="349.99"/>
    <x v="2"/>
    <n v="332.49"/>
    <n v="997.47"/>
    <x v="1"/>
    <x v="2"/>
    <x v="0"/>
    <x v="13"/>
    <s v="Andalucía"/>
    <x v="0"/>
    <m/>
    <n v="1049.97"/>
    <n v="52.5"/>
  </r>
  <r>
    <s v="ORD-100696"/>
    <x v="192"/>
    <x v="1"/>
    <x v="1"/>
    <n v="5"/>
    <n v="399.99"/>
    <x v="1"/>
    <n v="399.99"/>
    <n v="1999.95"/>
    <x v="0"/>
    <x v="2"/>
    <x v="0"/>
    <x v="7"/>
    <s v="Castilla y León"/>
    <x v="1"/>
    <n v="4"/>
    <n v="1999.95"/>
    <n v="0"/>
  </r>
  <r>
    <s v="ORD-100697"/>
    <x v="454"/>
    <x v="20"/>
    <x v="3"/>
    <n v="1"/>
    <n v="39.99"/>
    <x v="0"/>
    <n v="33.99"/>
    <n v="33.99"/>
    <x v="0"/>
    <x v="1"/>
    <x v="3"/>
    <x v="5"/>
    <s v="País Vasco"/>
    <x v="0"/>
    <n v="3"/>
    <n v="39.99"/>
    <n v="6"/>
  </r>
  <r>
    <s v="ORD-100698"/>
    <x v="455"/>
    <x v="13"/>
    <x v="3"/>
    <n v="2"/>
    <n v="49.99"/>
    <x v="1"/>
    <n v="49.99"/>
    <n v="99.98"/>
    <x v="2"/>
    <x v="2"/>
    <x v="4"/>
    <x v="3"/>
    <s v="Comunidad de Madrid"/>
    <x v="2"/>
    <m/>
    <n v="99.98"/>
    <n v="0"/>
  </r>
  <r>
    <s v="ORD-100699"/>
    <x v="250"/>
    <x v="22"/>
    <x v="4"/>
    <n v="5"/>
    <n v="44.99"/>
    <x v="3"/>
    <n v="40.49"/>
    <n v="202.45"/>
    <x v="0"/>
    <x v="1"/>
    <x v="0"/>
    <x v="4"/>
    <s v="Castilla y León"/>
    <x v="1"/>
    <n v="4"/>
    <n v="224.95000000000002"/>
    <n v="22.500000000000028"/>
  </r>
  <r>
    <s v="ORD-100700"/>
    <x v="271"/>
    <x v="11"/>
    <x v="0"/>
    <n v="2"/>
    <n v="349.99"/>
    <x v="1"/>
    <n v="349.99"/>
    <n v="699.98"/>
    <x v="0"/>
    <x v="0"/>
    <x v="0"/>
    <x v="1"/>
    <s v="Comunitat Valenciana"/>
    <x v="1"/>
    <n v="3"/>
    <n v="699.98"/>
    <n v="0"/>
  </r>
  <r>
    <s v="ORD-100701"/>
    <x v="255"/>
    <x v="1"/>
    <x v="1"/>
    <n v="4"/>
    <n v="399.99"/>
    <x v="3"/>
    <n v="359.99"/>
    <n v="1439.96"/>
    <x v="3"/>
    <x v="0"/>
    <x v="0"/>
    <x v="10"/>
    <s v="Cantabria"/>
    <x v="1"/>
    <m/>
    <n v="1599.96"/>
    <n v="160"/>
  </r>
  <r>
    <s v="ORD-100702"/>
    <x v="111"/>
    <x v="29"/>
    <x v="0"/>
    <n v="4"/>
    <n v="129.99"/>
    <x v="4"/>
    <n v="103.99"/>
    <n v="415.96"/>
    <x v="2"/>
    <x v="1"/>
    <x v="4"/>
    <x v="10"/>
    <s v="Cantabria"/>
    <x v="1"/>
    <m/>
    <n v="519.96"/>
    <n v="104.00000000000006"/>
  </r>
  <r>
    <s v="ORD-100703"/>
    <x v="270"/>
    <x v="9"/>
    <x v="2"/>
    <n v="3"/>
    <n v="29.99"/>
    <x v="1"/>
    <n v="29.99"/>
    <n v="89.97"/>
    <x v="1"/>
    <x v="0"/>
    <x v="1"/>
    <x v="1"/>
    <s v="Comunitat Valenciana"/>
    <x v="1"/>
    <m/>
    <n v="89.97"/>
    <n v="0"/>
  </r>
  <r>
    <s v="ORD-100704"/>
    <x v="456"/>
    <x v="15"/>
    <x v="3"/>
    <n v="4"/>
    <n v="69.989999999999995"/>
    <x v="2"/>
    <n v="66.489999999999995"/>
    <n v="265.95999999999998"/>
    <x v="3"/>
    <x v="2"/>
    <x v="0"/>
    <x v="11"/>
    <s v="Cataluña"/>
    <x v="2"/>
    <m/>
    <n v="279.95999999999998"/>
    <n v="14"/>
  </r>
  <r>
    <s v="ORD-100705"/>
    <x v="457"/>
    <x v="4"/>
    <x v="4"/>
    <n v="5"/>
    <n v="349.99"/>
    <x v="1"/>
    <n v="349.99"/>
    <n v="1749.95"/>
    <x v="1"/>
    <x v="0"/>
    <x v="0"/>
    <x v="9"/>
    <s v="Asturias"/>
    <x v="1"/>
    <m/>
    <n v="1749.95"/>
    <n v="0"/>
  </r>
  <r>
    <s v="ORD-100706"/>
    <x v="301"/>
    <x v="24"/>
    <x v="3"/>
    <n v="5"/>
    <n v="89.99"/>
    <x v="3"/>
    <n v="80.989999999999995"/>
    <n v="404.95"/>
    <x v="0"/>
    <x v="1"/>
    <x v="0"/>
    <x v="7"/>
    <s v="Castilla y León"/>
    <x v="1"/>
    <n v="4"/>
    <n v="449.95"/>
    <n v="45"/>
  </r>
  <r>
    <s v="ORD-100707"/>
    <x v="206"/>
    <x v="18"/>
    <x v="2"/>
    <n v="5"/>
    <n v="99.99"/>
    <x v="3"/>
    <n v="89.99"/>
    <n v="449.95"/>
    <x v="0"/>
    <x v="0"/>
    <x v="1"/>
    <x v="0"/>
    <s v="Andalucía"/>
    <x v="0"/>
    <n v="2"/>
    <n v="499.95"/>
    <n v="50"/>
  </r>
  <r>
    <s v="ORD-100708"/>
    <x v="273"/>
    <x v="24"/>
    <x v="3"/>
    <n v="1"/>
    <n v="89.99"/>
    <x v="2"/>
    <n v="85.49"/>
    <n v="85.49"/>
    <x v="0"/>
    <x v="1"/>
    <x v="0"/>
    <x v="3"/>
    <s v="Comunidad de Madrid"/>
    <x v="2"/>
    <n v="4"/>
    <n v="89.99"/>
    <n v="4.5"/>
  </r>
  <r>
    <s v="ORD-100709"/>
    <x v="458"/>
    <x v="3"/>
    <x v="3"/>
    <n v="2"/>
    <n v="34.99"/>
    <x v="4"/>
    <n v="27.99"/>
    <n v="55.98"/>
    <x v="0"/>
    <x v="0"/>
    <x v="3"/>
    <x v="7"/>
    <s v="Castilla y León"/>
    <x v="1"/>
    <n v="5"/>
    <n v="69.98"/>
    <n v="14.000000000000007"/>
  </r>
  <r>
    <s v="ORD-100710"/>
    <x v="433"/>
    <x v="5"/>
    <x v="1"/>
    <n v="5"/>
    <n v="149.99"/>
    <x v="0"/>
    <n v="127.49"/>
    <n v="637.45000000000005"/>
    <x v="0"/>
    <x v="0"/>
    <x v="1"/>
    <x v="0"/>
    <s v="Andalucía"/>
    <x v="0"/>
    <n v="3"/>
    <n v="749.95"/>
    <n v="112.5"/>
  </r>
  <r>
    <s v="ORD-100711"/>
    <x v="298"/>
    <x v="22"/>
    <x v="4"/>
    <n v="5"/>
    <n v="44.99"/>
    <x v="1"/>
    <n v="44.99"/>
    <n v="224.95"/>
    <x v="0"/>
    <x v="0"/>
    <x v="0"/>
    <x v="13"/>
    <s v="Andalucía"/>
    <x v="0"/>
    <n v="3"/>
    <n v="224.95000000000002"/>
    <n v="0"/>
  </r>
  <r>
    <s v="ORD-100712"/>
    <x v="87"/>
    <x v="27"/>
    <x v="1"/>
    <n v="1"/>
    <n v="49.99"/>
    <x v="4"/>
    <n v="39.99"/>
    <n v="39.99"/>
    <x v="0"/>
    <x v="1"/>
    <x v="4"/>
    <x v="14"/>
    <s v="Aragón"/>
    <x v="0"/>
    <n v="4"/>
    <n v="49.99"/>
    <n v="10"/>
  </r>
  <r>
    <s v="ORD-100713"/>
    <x v="459"/>
    <x v="11"/>
    <x v="0"/>
    <n v="4"/>
    <n v="349.99"/>
    <x v="1"/>
    <n v="349.99"/>
    <n v="1399.96"/>
    <x v="3"/>
    <x v="0"/>
    <x v="3"/>
    <x v="0"/>
    <s v="Andalucía"/>
    <x v="0"/>
    <m/>
    <n v="1399.96"/>
    <n v="0"/>
  </r>
  <r>
    <s v="ORD-100714"/>
    <x v="153"/>
    <x v="0"/>
    <x v="0"/>
    <n v="1"/>
    <n v="45.99"/>
    <x v="1"/>
    <n v="45.99"/>
    <n v="45.99"/>
    <x v="3"/>
    <x v="0"/>
    <x v="2"/>
    <x v="4"/>
    <s v="Castilla y León"/>
    <x v="1"/>
    <m/>
    <n v="45.99"/>
    <n v="0"/>
  </r>
  <r>
    <s v="ORD-100715"/>
    <x v="460"/>
    <x v="19"/>
    <x v="0"/>
    <n v="3"/>
    <n v="1199.99"/>
    <x v="0"/>
    <n v="1019.99"/>
    <n v="3059.97"/>
    <x v="2"/>
    <x v="1"/>
    <x v="0"/>
    <x v="5"/>
    <s v="País Vasco"/>
    <x v="0"/>
    <m/>
    <n v="3599.9700000000003"/>
    <n v="540.00000000000045"/>
  </r>
  <r>
    <s v="ORD-100716"/>
    <x v="461"/>
    <x v="10"/>
    <x v="2"/>
    <n v="5"/>
    <n v="69.989999999999995"/>
    <x v="1"/>
    <n v="69.989999999999995"/>
    <n v="349.95"/>
    <x v="0"/>
    <x v="2"/>
    <x v="3"/>
    <x v="7"/>
    <s v="Castilla y León"/>
    <x v="1"/>
    <n v="5"/>
    <n v="349.95"/>
    <n v="0"/>
  </r>
  <r>
    <s v="ORD-100717"/>
    <x v="462"/>
    <x v="2"/>
    <x v="2"/>
    <n v="1"/>
    <n v="299.99"/>
    <x v="2"/>
    <n v="284.99"/>
    <n v="284.99"/>
    <x v="0"/>
    <x v="1"/>
    <x v="0"/>
    <x v="9"/>
    <s v="Asturias"/>
    <x v="1"/>
    <n v="1"/>
    <n v="299.99"/>
    <n v="15"/>
  </r>
  <r>
    <s v="ORD-100718"/>
    <x v="213"/>
    <x v="21"/>
    <x v="0"/>
    <n v="5"/>
    <n v="799.99"/>
    <x v="1"/>
    <n v="799.99"/>
    <n v="3999.95"/>
    <x v="0"/>
    <x v="2"/>
    <x v="0"/>
    <x v="9"/>
    <s v="Asturias"/>
    <x v="1"/>
    <n v="3"/>
    <n v="3999.95"/>
    <n v="0"/>
  </r>
  <r>
    <s v="ORD-100719"/>
    <x v="105"/>
    <x v="4"/>
    <x v="4"/>
    <n v="3"/>
    <n v="349.99"/>
    <x v="4"/>
    <n v="279.99"/>
    <n v="839.97"/>
    <x v="0"/>
    <x v="2"/>
    <x v="1"/>
    <x v="5"/>
    <s v="País Vasco"/>
    <x v="0"/>
    <n v="2"/>
    <n v="1049.97"/>
    <n v="210"/>
  </r>
  <r>
    <s v="ORD-100720"/>
    <x v="7"/>
    <x v="14"/>
    <x v="1"/>
    <n v="1"/>
    <n v="249.99"/>
    <x v="1"/>
    <n v="249.99"/>
    <n v="249.99"/>
    <x v="0"/>
    <x v="1"/>
    <x v="0"/>
    <x v="1"/>
    <s v="Comunitat Valenciana"/>
    <x v="1"/>
    <n v="5"/>
    <n v="249.99"/>
    <n v="0"/>
  </r>
  <r>
    <s v="ORD-100721"/>
    <x v="463"/>
    <x v="5"/>
    <x v="1"/>
    <n v="1"/>
    <n v="149.99"/>
    <x v="1"/>
    <n v="149.99"/>
    <n v="149.99"/>
    <x v="0"/>
    <x v="0"/>
    <x v="3"/>
    <x v="7"/>
    <s v="Castilla y León"/>
    <x v="1"/>
    <n v="2"/>
    <n v="149.99"/>
    <n v="0"/>
  </r>
  <r>
    <s v="ORD-100722"/>
    <x v="464"/>
    <x v="15"/>
    <x v="3"/>
    <n v="3"/>
    <n v="69.989999999999995"/>
    <x v="1"/>
    <n v="69.989999999999995"/>
    <n v="209.97"/>
    <x v="1"/>
    <x v="3"/>
    <x v="4"/>
    <x v="0"/>
    <s v="Andalucía"/>
    <x v="0"/>
    <m/>
    <n v="209.96999999999997"/>
    <n v="0"/>
  </r>
  <r>
    <s v="ORD-100723"/>
    <x v="250"/>
    <x v="8"/>
    <x v="2"/>
    <n v="1"/>
    <n v="59.99"/>
    <x v="0"/>
    <n v="50.99"/>
    <n v="50.99"/>
    <x v="0"/>
    <x v="2"/>
    <x v="2"/>
    <x v="13"/>
    <s v="Andalucía"/>
    <x v="0"/>
    <n v="1"/>
    <n v="59.99"/>
    <n v="9"/>
  </r>
  <r>
    <s v="ORD-100724"/>
    <x v="85"/>
    <x v="7"/>
    <x v="3"/>
    <n v="2"/>
    <n v="19.989999999999998"/>
    <x v="1"/>
    <n v="19.989999999999998"/>
    <n v="39.979999999999997"/>
    <x v="0"/>
    <x v="1"/>
    <x v="0"/>
    <x v="13"/>
    <s v="Andalucía"/>
    <x v="0"/>
    <n v="4"/>
    <n v="39.979999999999997"/>
    <n v="0"/>
  </r>
  <r>
    <s v="ORD-100725"/>
    <x v="276"/>
    <x v="12"/>
    <x v="2"/>
    <n v="5"/>
    <n v="189.99"/>
    <x v="4"/>
    <n v="151.99"/>
    <n v="759.95"/>
    <x v="1"/>
    <x v="0"/>
    <x v="3"/>
    <x v="0"/>
    <s v="Andalucía"/>
    <x v="0"/>
    <m/>
    <n v="949.95"/>
    <n v="190"/>
  </r>
  <r>
    <s v="ORD-100726"/>
    <x v="148"/>
    <x v="13"/>
    <x v="3"/>
    <n v="5"/>
    <n v="49.99"/>
    <x v="1"/>
    <n v="49.99"/>
    <n v="249.95"/>
    <x v="0"/>
    <x v="0"/>
    <x v="0"/>
    <x v="6"/>
    <s v="Comunitat Valenciana"/>
    <x v="0"/>
    <n v="5"/>
    <n v="249.95000000000002"/>
    <n v="0"/>
  </r>
  <r>
    <s v="ORD-100727"/>
    <x v="388"/>
    <x v="8"/>
    <x v="2"/>
    <n v="2"/>
    <n v="59.99"/>
    <x v="4"/>
    <n v="47.99"/>
    <n v="95.98"/>
    <x v="0"/>
    <x v="1"/>
    <x v="3"/>
    <x v="10"/>
    <s v="Cantabria"/>
    <x v="1"/>
    <n v="2"/>
    <n v="119.98"/>
    <n v="24"/>
  </r>
  <r>
    <s v="ORD-100728"/>
    <x v="465"/>
    <x v="22"/>
    <x v="4"/>
    <n v="2"/>
    <n v="44.99"/>
    <x v="0"/>
    <n v="38.24"/>
    <n v="76.48"/>
    <x v="3"/>
    <x v="0"/>
    <x v="0"/>
    <x v="4"/>
    <s v="Castilla y León"/>
    <x v="1"/>
    <m/>
    <n v="89.98"/>
    <n v="13.5"/>
  </r>
  <r>
    <s v="ORD-100729"/>
    <x v="21"/>
    <x v="10"/>
    <x v="2"/>
    <n v="1"/>
    <n v="69.989999999999995"/>
    <x v="1"/>
    <n v="69.989999999999995"/>
    <n v="69.989999999999995"/>
    <x v="0"/>
    <x v="0"/>
    <x v="0"/>
    <x v="4"/>
    <s v="Castilla y León"/>
    <x v="1"/>
    <n v="3"/>
    <n v="69.989999999999995"/>
    <n v="0"/>
  </r>
  <r>
    <s v="ORD-100730"/>
    <x v="466"/>
    <x v="3"/>
    <x v="3"/>
    <n v="3"/>
    <n v="34.99"/>
    <x v="2"/>
    <n v="33.24"/>
    <n v="99.72"/>
    <x v="1"/>
    <x v="2"/>
    <x v="4"/>
    <x v="8"/>
    <s v="La Rioja"/>
    <x v="1"/>
    <m/>
    <n v="104.97"/>
    <n v="5.25"/>
  </r>
  <r>
    <s v="ORD-100731"/>
    <x v="232"/>
    <x v="11"/>
    <x v="0"/>
    <n v="2"/>
    <n v="349.99"/>
    <x v="1"/>
    <n v="349.99"/>
    <n v="699.98"/>
    <x v="0"/>
    <x v="2"/>
    <x v="1"/>
    <x v="3"/>
    <s v="Comunidad de Madrid"/>
    <x v="2"/>
    <n v="3"/>
    <n v="699.98"/>
    <n v="0"/>
  </r>
  <r>
    <s v="ORD-100732"/>
    <x v="393"/>
    <x v="1"/>
    <x v="1"/>
    <n v="5"/>
    <n v="399.99"/>
    <x v="1"/>
    <n v="399.99"/>
    <n v="1999.95"/>
    <x v="0"/>
    <x v="1"/>
    <x v="3"/>
    <x v="0"/>
    <s v="Andalucía"/>
    <x v="0"/>
    <n v="4"/>
    <n v="1999.95"/>
    <n v="0"/>
  </r>
  <r>
    <s v="ORD-100733"/>
    <x v="467"/>
    <x v="14"/>
    <x v="1"/>
    <n v="5"/>
    <n v="249.99"/>
    <x v="2"/>
    <n v="237.49"/>
    <n v="1187.45"/>
    <x v="1"/>
    <x v="0"/>
    <x v="3"/>
    <x v="14"/>
    <s v="Aragón"/>
    <x v="0"/>
    <m/>
    <n v="1249.95"/>
    <n v="62.5"/>
  </r>
  <r>
    <s v="ORD-100734"/>
    <x v="366"/>
    <x v="11"/>
    <x v="0"/>
    <n v="2"/>
    <n v="349.99"/>
    <x v="1"/>
    <n v="349.99"/>
    <n v="699.98"/>
    <x v="0"/>
    <x v="2"/>
    <x v="0"/>
    <x v="13"/>
    <s v="Andalucía"/>
    <x v="0"/>
    <n v="3"/>
    <n v="699.98"/>
    <n v="0"/>
  </r>
  <r>
    <s v="ORD-100735"/>
    <x v="438"/>
    <x v="28"/>
    <x v="0"/>
    <n v="2"/>
    <n v="499.99"/>
    <x v="4"/>
    <n v="399.99"/>
    <n v="799.98"/>
    <x v="0"/>
    <x v="2"/>
    <x v="4"/>
    <x v="6"/>
    <s v="Comunitat Valenciana"/>
    <x v="0"/>
    <n v="5"/>
    <n v="999.98"/>
    <n v="200"/>
  </r>
  <r>
    <s v="ORD-100736"/>
    <x v="468"/>
    <x v="2"/>
    <x v="2"/>
    <n v="3"/>
    <n v="299.99"/>
    <x v="4"/>
    <n v="239.99"/>
    <n v="719.97"/>
    <x v="0"/>
    <x v="0"/>
    <x v="1"/>
    <x v="0"/>
    <s v="Andalucía"/>
    <x v="0"/>
    <n v="5"/>
    <n v="899.97"/>
    <n v="180"/>
  </r>
  <r>
    <s v="ORD-100737"/>
    <x v="7"/>
    <x v="10"/>
    <x v="2"/>
    <n v="3"/>
    <n v="69.989999999999995"/>
    <x v="2"/>
    <n v="66.489999999999995"/>
    <n v="199.47"/>
    <x v="1"/>
    <x v="1"/>
    <x v="3"/>
    <x v="10"/>
    <s v="Cantabria"/>
    <x v="1"/>
    <m/>
    <n v="209.96999999999997"/>
    <n v="10.499999999999972"/>
  </r>
  <r>
    <s v="ORD-100738"/>
    <x v="469"/>
    <x v="23"/>
    <x v="4"/>
    <n v="1"/>
    <n v="24.99"/>
    <x v="3"/>
    <n v="22.49"/>
    <n v="22.49"/>
    <x v="0"/>
    <x v="2"/>
    <x v="0"/>
    <x v="12"/>
    <s v="Región de Murcia"/>
    <x v="1"/>
    <n v="2"/>
    <n v="24.99"/>
    <n v="2.5"/>
  </r>
  <r>
    <s v="ORD-100739"/>
    <x v="225"/>
    <x v="5"/>
    <x v="1"/>
    <n v="4"/>
    <n v="149.99"/>
    <x v="0"/>
    <n v="127.49"/>
    <n v="509.96"/>
    <x v="0"/>
    <x v="1"/>
    <x v="1"/>
    <x v="13"/>
    <s v="Andalucía"/>
    <x v="0"/>
    <n v="1"/>
    <n v="599.96"/>
    <n v="90.000000000000057"/>
  </r>
  <r>
    <s v="ORD-100740"/>
    <x v="129"/>
    <x v="13"/>
    <x v="3"/>
    <n v="4"/>
    <n v="49.99"/>
    <x v="2"/>
    <n v="47.49"/>
    <n v="189.96"/>
    <x v="2"/>
    <x v="2"/>
    <x v="3"/>
    <x v="2"/>
    <s v="Navarra"/>
    <x v="1"/>
    <m/>
    <n v="199.96"/>
    <n v="10"/>
  </r>
  <r>
    <s v="ORD-100741"/>
    <x v="314"/>
    <x v="13"/>
    <x v="3"/>
    <n v="5"/>
    <n v="49.99"/>
    <x v="1"/>
    <n v="49.99"/>
    <n v="249.95"/>
    <x v="1"/>
    <x v="0"/>
    <x v="2"/>
    <x v="4"/>
    <s v="Castilla y León"/>
    <x v="1"/>
    <m/>
    <n v="249.95000000000002"/>
    <n v="0"/>
  </r>
  <r>
    <s v="ORD-100742"/>
    <x v="172"/>
    <x v="6"/>
    <x v="0"/>
    <n v="5"/>
    <n v="89.99"/>
    <x v="1"/>
    <n v="89.99"/>
    <n v="449.95"/>
    <x v="0"/>
    <x v="2"/>
    <x v="1"/>
    <x v="1"/>
    <s v="Comunitat Valenciana"/>
    <x v="1"/>
    <n v="2"/>
    <n v="449.95"/>
    <n v="0"/>
  </r>
  <r>
    <s v="ORD-100743"/>
    <x v="249"/>
    <x v="3"/>
    <x v="3"/>
    <n v="3"/>
    <n v="34.99"/>
    <x v="2"/>
    <n v="33.24"/>
    <n v="99.72"/>
    <x v="0"/>
    <x v="1"/>
    <x v="1"/>
    <x v="12"/>
    <s v="Región de Murcia"/>
    <x v="1"/>
    <n v="2"/>
    <n v="104.97"/>
    <n v="5.25"/>
  </r>
  <r>
    <s v="ORD-100744"/>
    <x v="428"/>
    <x v="6"/>
    <x v="0"/>
    <n v="3"/>
    <n v="89.99"/>
    <x v="1"/>
    <n v="89.99"/>
    <n v="269.97000000000003"/>
    <x v="1"/>
    <x v="1"/>
    <x v="0"/>
    <x v="4"/>
    <s v="Castilla y León"/>
    <x v="1"/>
    <m/>
    <n v="269.96999999999997"/>
    <n v="0"/>
  </r>
  <r>
    <s v="ORD-100745"/>
    <x v="470"/>
    <x v="6"/>
    <x v="0"/>
    <n v="1"/>
    <n v="89.99"/>
    <x v="0"/>
    <n v="76.489999999999995"/>
    <n v="76.489999999999995"/>
    <x v="0"/>
    <x v="0"/>
    <x v="1"/>
    <x v="14"/>
    <s v="Aragón"/>
    <x v="0"/>
    <n v="5"/>
    <n v="89.99"/>
    <n v="13.5"/>
  </r>
  <r>
    <s v="ORD-100746"/>
    <x v="345"/>
    <x v="29"/>
    <x v="0"/>
    <n v="4"/>
    <n v="129.99"/>
    <x v="3"/>
    <n v="116.99"/>
    <n v="467.96"/>
    <x v="0"/>
    <x v="0"/>
    <x v="0"/>
    <x v="2"/>
    <s v="Navarra"/>
    <x v="1"/>
    <n v="2"/>
    <n v="519.96"/>
    <n v="52.000000000000057"/>
  </r>
  <r>
    <s v="ORD-100747"/>
    <x v="226"/>
    <x v="4"/>
    <x v="4"/>
    <n v="2"/>
    <n v="349.99"/>
    <x v="1"/>
    <n v="349.99"/>
    <n v="699.98"/>
    <x v="1"/>
    <x v="0"/>
    <x v="0"/>
    <x v="3"/>
    <s v="Comunidad de Madrid"/>
    <x v="2"/>
    <m/>
    <n v="699.98"/>
    <n v="0"/>
  </r>
  <r>
    <s v="ORD-100748"/>
    <x v="206"/>
    <x v="13"/>
    <x v="3"/>
    <n v="2"/>
    <n v="49.99"/>
    <x v="1"/>
    <n v="49.99"/>
    <n v="99.98"/>
    <x v="2"/>
    <x v="0"/>
    <x v="1"/>
    <x v="0"/>
    <s v="Andalucía"/>
    <x v="0"/>
    <m/>
    <n v="99.98"/>
    <n v="0"/>
  </r>
  <r>
    <s v="ORD-100749"/>
    <x v="324"/>
    <x v="26"/>
    <x v="1"/>
    <n v="4"/>
    <n v="599.99"/>
    <x v="4"/>
    <n v="479.99"/>
    <n v="1919.96"/>
    <x v="0"/>
    <x v="0"/>
    <x v="2"/>
    <x v="2"/>
    <s v="Navarra"/>
    <x v="1"/>
    <n v="2"/>
    <n v="2399.96"/>
    <n v="480"/>
  </r>
  <r>
    <s v="ORD-100750"/>
    <x v="471"/>
    <x v="1"/>
    <x v="1"/>
    <n v="4"/>
    <n v="399.99"/>
    <x v="2"/>
    <n v="379.99"/>
    <n v="1519.96"/>
    <x v="0"/>
    <x v="1"/>
    <x v="0"/>
    <x v="11"/>
    <s v="Cataluña"/>
    <x v="2"/>
    <n v="5"/>
    <n v="1599.96"/>
    <n v="80"/>
  </r>
  <r>
    <s v="ORD-100751"/>
    <x v="103"/>
    <x v="27"/>
    <x v="1"/>
    <n v="5"/>
    <n v="49.99"/>
    <x v="4"/>
    <n v="39.99"/>
    <n v="199.95"/>
    <x v="2"/>
    <x v="0"/>
    <x v="0"/>
    <x v="3"/>
    <s v="Comunidad de Madrid"/>
    <x v="2"/>
    <m/>
    <n v="249.95000000000002"/>
    <n v="50.000000000000028"/>
  </r>
  <r>
    <s v="ORD-100752"/>
    <x v="188"/>
    <x v="17"/>
    <x v="0"/>
    <n v="2"/>
    <n v="899.99"/>
    <x v="4"/>
    <n v="719.99"/>
    <n v="1439.98"/>
    <x v="0"/>
    <x v="2"/>
    <x v="0"/>
    <x v="1"/>
    <s v="Comunitat Valenciana"/>
    <x v="1"/>
    <n v="1"/>
    <n v="1799.98"/>
    <n v="360"/>
  </r>
  <r>
    <s v="ORD-100753"/>
    <x v="472"/>
    <x v="0"/>
    <x v="0"/>
    <n v="4"/>
    <n v="45.99"/>
    <x v="1"/>
    <n v="45.99"/>
    <n v="183.96"/>
    <x v="0"/>
    <x v="1"/>
    <x v="1"/>
    <x v="5"/>
    <s v="País Vasco"/>
    <x v="0"/>
    <n v="5"/>
    <n v="183.96"/>
    <n v="0"/>
  </r>
  <r>
    <s v="ORD-100754"/>
    <x v="240"/>
    <x v="8"/>
    <x v="2"/>
    <n v="5"/>
    <n v="59.99"/>
    <x v="1"/>
    <n v="59.99"/>
    <n v="299.95"/>
    <x v="4"/>
    <x v="1"/>
    <x v="4"/>
    <x v="10"/>
    <s v="Cantabria"/>
    <x v="1"/>
    <m/>
    <n v="299.95"/>
    <n v="0"/>
  </r>
  <r>
    <s v="ORD-100755"/>
    <x v="350"/>
    <x v="18"/>
    <x v="2"/>
    <n v="3"/>
    <n v="99.99"/>
    <x v="1"/>
    <n v="99.99"/>
    <n v="299.97000000000003"/>
    <x v="0"/>
    <x v="2"/>
    <x v="1"/>
    <x v="13"/>
    <s v="Andalucía"/>
    <x v="0"/>
    <n v="5"/>
    <n v="299.96999999999997"/>
    <n v="0"/>
  </r>
  <r>
    <s v="ORD-100756"/>
    <x v="92"/>
    <x v="13"/>
    <x v="3"/>
    <n v="4"/>
    <n v="49.99"/>
    <x v="1"/>
    <n v="49.99"/>
    <n v="199.96"/>
    <x v="0"/>
    <x v="0"/>
    <x v="3"/>
    <x v="8"/>
    <s v="La Rioja"/>
    <x v="1"/>
    <n v="5"/>
    <n v="199.96"/>
    <n v="0"/>
  </r>
  <r>
    <s v="ORD-100757"/>
    <x v="461"/>
    <x v="2"/>
    <x v="2"/>
    <n v="2"/>
    <n v="299.99"/>
    <x v="3"/>
    <n v="269.99"/>
    <n v="539.98"/>
    <x v="0"/>
    <x v="1"/>
    <x v="1"/>
    <x v="1"/>
    <s v="Comunitat Valenciana"/>
    <x v="1"/>
    <n v="1"/>
    <n v="599.98"/>
    <n v="60"/>
  </r>
  <r>
    <s v="ORD-100758"/>
    <x v="114"/>
    <x v="10"/>
    <x v="2"/>
    <n v="5"/>
    <n v="69.989999999999995"/>
    <x v="4"/>
    <n v="55.99"/>
    <n v="279.95"/>
    <x v="4"/>
    <x v="0"/>
    <x v="2"/>
    <x v="5"/>
    <s v="País Vasco"/>
    <x v="0"/>
    <m/>
    <n v="349.95"/>
    <n v="70"/>
  </r>
  <r>
    <s v="ORD-100759"/>
    <x v="473"/>
    <x v="14"/>
    <x v="1"/>
    <n v="5"/>
    <n v="249.99"/>
    <x v="3"/>
    <n v="224.99"/>
    <n v="1124.95"/>
    <x v="0"/>
    <x v="1"/>
    <x v="3"/>
    <x v="6"/>
    <s v="Comunitat Valenciana"/>
    <x v="0"/>
    <n v="4"/>
    <n v="1249.95"/>
    <n v="125"/>
  </r>
  <r>
    <s v="ORD-100760"/>
    <x v="474"/>
    <x v="8"/>
    <x v="2"/>
    <n v="2"/>
    <n v="59.99"/>
    <x v="3"/>
    <n v="53.99"/>
    <n v="107.98"/>
    <x v="0"/>
    <x v="3"/>
    <x v="0"/>
    <x v="5"/>
    <s v="País Vasco"/>
    <x v="0"/>
    <n v="1"/>
    <n v="119.98"/>
    <n v="12"/>
  </r>
  <r>
    <s v="ORD-100761"/>
    <x v="57"/>
    <x v="9"/>
    <x v="2"/>
    <n v="1"/>
    <n v="29.99"/>
    <x v="0"/>
    <n v="25.49"/>
    <n v="25.49"/>
    <x v="2"/>
    <x v="1"/>
    <x v="3"/>
    <x v="2"/>
    <s v="Navarra"/>
    <x v="1"/>
    <m/>
    <n v="29.99"/>
    <n v="4.5"/>
  </r>
  <r>
    <s v="ORD-100762"/>
    <x v="376"/>
    <x v="24"/>
    <x v="3"/>
    <n v="3"/>
    <n v="89.99"/>
    <x v="3"/>
    <n v="80.989999999999995"/>
    <n v="242.97"/>
    <x v="2"/>
    <x v="0"/>
    <x v="0"/>
    <x v="0"/>
    <s v="Andalucía"/>
    <x v="0"/>
    <m/>
    <n v="269.96999999999997"/>
    <n v="26.999999999999972"/>
  </r>
  <r>
    <s v="ORD-100763"/>
    <x v="475"/>
    <x v="7"/>
    <x v="3"/>
    <n v="1"/>
    <n v="19.989999999999998"/>
    <x v="1"/>
    <n v="19.989999999999998"/>
    <n v="19.989999999999998"/>
    <x v="0"/>
    <x v="0"/>
    <x v="0"/>
    <x v="7"/>
    <s v="Castilla y León"/>
    <x v="1"/>
    <n v="3"/>
    <n v="19.989999999999998"/>
    <n v="0"/>
  </r>
  <r>
    <s v="ORD-100764"/>
    <x v="476"/>
    <x v="20"/>
    <x v="3"/>
    <n v="5"/>
    <n v="39.99"/>
    <x v="3"/>
    <n v="35.99"/>
    <n v="179.95"/>
    <x v="4"/>
    <x v="0"/>
    <x v="0"/>
    <x v="8"/>
    <s v="La Rioja"/>
    <x v="1"/>
    <m/>
    <n v="199.95000000000002"/>
    <n v="20.000000000000028"/>
  </r>
  <r>
    <s v="ORD-100765"/>
    <x v="24"/>
    <x v="22"/>
    <x v="4"/>
    <n v="4"/>
    <n v="44.99"/>
    <x v="2"/>
    <n v="42.74"/>
    <n v="170.96"/>
    <x v="1"/>
    <x v="0"/>
    <x v="0"/>
    <x v="9"/>
    <s v="Asturias"/>
    <x v="1"/>
    <m/>
    <n v="179.96"/>
    <n v="9"/>
  </r>
  <r>
    <s v="ORD-100766"/>
    <x v="166"/>
    <x v="23"/>
    <x v="4"/>
    <n v="5"/>
    <n v="24.99"/>
    <x v="1"/>
    <n v="24.99"/>
    <n v="124.95"/>
    <x v="0"/>
    <x v="0"/>
    <x v="1"/>
    <x v="8"/>
    <s v="La Rioja"/>
    <x v="1"/>
    <n v="5"/>
    <n v="124.94999999999999"/>
    <n v="0"/>
  </r>
  <r>
    <s v="ORD-100767"/>
    <x v="126"/>
    <x v="1"/>
    <x v="1"/>
    <n v="3"/>
    <n v="399.99"/>
    <x v="3"/>
    <n v="359.99"/>
    <n v="1079.97"/>
    <x v="0"/>
    <x v="1"/>
    <x v="0"/>
    <x v="0"/>
    <s v="Andalucía"/>
    <x v="0"/>
    <n v="3"/>
    <n v="1199.97"/>
    <n v="120"/>
  </r>
  <r>
    <s v="ORD-100768"/>
    <x v="210"/>
    <x v="11"/>
    <x v="0"/>
    <n v="3"/>
    <n v="349.99"/>
    <x v="4"/>
    <n v="279.99"/>
    <n v="839.97"/>
    <x v="0"/>
    <x v="1"/>
    <x v="2"/>
    <x v="13"/>
    <s v="Andalucía"/>
    <x v="0"/>
    <n v="5"/>
    <n v="1049.97"/>
    <n v="210"/>
  </r>
  <r>
    <s v="ORD-100769"/>
    <x v="393"/>
    <x v="20"/>
    <x v="3"/>
    <n v="2"/>
    <n v="39.99"/>
    <x v="3"/>
    <n v="35.99"/>
    <n v="71.98"/>
    <x v="0"/>
    <x v="2"/>
    <x v="1"/>
    <x v="2"/>
    <s v="Navarra"/>
    <x v="1"/>
    <n v="3"/>
    <n v="79.98"/>
    <n v="8"/>
  </r>
  <r>
    <s v="ORD-100770"/>
    <x v="399"/>
    <x v="17"/>
    <x v="0"/>
    <n v="3"/>
    <n v="899.99"/>
    <x v="2"/>
    <n v="854.99"/>
    <n v="2564.9699999999998"/>
    <x v="0"/>
    <x v="0"/>
    <x v="3"/>
    <x v="4"/>
    <s v="Castilla y León"/>
    <x v="1"/>
    <n v="3"/>
    <n v="2699.9700000000003"/>
    <n v="135.00000000000045"/>
  </r>
  <r>
    <s v="ORD-100771"/>
    <x v="477"/>
    <x v="14"/>
    <x v="1"/>
    <n v="3"/>
    <n v="249.99"/>
    <x v="1"/>
    <n v="249.99"/>
    <n v="749.97"/>
    <x v="0"/>
    <x v="0"/>
    <x v="0"/>
    <x v="2"/>
    <s v="Navarra"/>
    <x v="1"/>
    <n v="1"/>
    <n v="749.97"/>
    <n v="0"/>
  </r>
  <r>
    <s v="ORD-100772"/>
    <x v="478"/>
    <x v="14"/>
    <x v="1"/>
    <n v="1"/>
    <n v="249.99"/>
    <x v="4"/>
    <n v="199.99"/>
    <n v="199.99"/>
    <x v="0"/>
    <x v="0"/>
    <x v="0"/>
    <x v="7"/>
    <s v="Castilla y León"/>
    <x v="1"/>
    <n v="4"/>
    <n v="249.99"/>
    <n v="50"/>
  </r>
  <r>
    <s v="ORD-100773"/>
    <x v="479"/>
    <x v="13"/>
    <x v="3"/>
    <n v="3"/>
    <n v="49.99"/>
    <x v="1"/>
    <n v="49.99"/>
    <n v="149.97"/>
    <x v="1"/>
    <x v="2"/>
    <x v="4"/>
    <x v="11"/>
    <s v="Cataluña"/>
    <x v="2"/>
    <m/>
    <n v="149.97"/>
    <n v="0"/>
  </r>
  <r>
    <s v="ORD-100774"/>
    <x v="182"/>
    <x v="11"/>
    <x v="0"/>
    <n v="2"/>
    <n v="349.99"/>
    <x v="0"/>
    <n v="297.49"/>
    <n v="594.98"/>
    <x v="0"/>
    <x v="1"/>
    <x v="3"/>
    <x v="13"/>
    <s v="Andalucía"/>
    <x v="0"/>
    <n v="1"/>
    <n v="699.98"/>
    <n v="105"/>
  </r>
  <r>
    <s v="ORD-100775"/>
    <x v="109"/>
    <x v="22"/>
    <x v="4"/>
    <n v="1"/>
    <n v="44.99"/>
    <x v="0"/>
    <n v="38.24"/>
    <n v="38.24"/>
    <x v="2"/>
    <x v="0"/>
    <x v="3"/>
    <x v="8"/>
    <s v="La Rioja"/>
    <x v="1"/>
    <m/>
    <n v="44.99"/>
    <n v="6.75"/>
  </r>
  <r>
    <s v="ORD-100776"/>
    <x v="310"/>
    <x v="0"/>
    <x v="0"/>
    <n v="5"/>
    <n v="45.99"/>
    <x v="4"/>
    <n v="36.79"/>
    <n v="183.95"/>
    <x v="1"/>
    <x v="0"/>
    <x v="1"/>
    <x v="5"/>
    <s v="País Vasco"/>
    <x v="0"/>
    <m/>
    <n v="229.95000000000002"/>
    <n v="46.000000000000028"/>
  </r>
  <r>
    <s v="ORD-100777"/>
    <x v="0"/>
    <x v="23"/>
    <x v="4"/>
    <n v="2"/>
    <n v="24.99"/>
    <x v="1"/>
    <n v="24.99"/>
    <n v="49.98"/>
    <x v="0"/>
    <x v="0"/>
    <x v="0"/>
    <x v="5"/>
    <s v="País Vasco"/>
    <x v="0"/>
    <n v="4"/>
    <n v="49.98"/>
    <n v="0"/>
  </r>
  <r>
    <s v="ORD-100778"/>
    <x v="23"/>
    <x v="0"/>
    <x v="0"/>
    <n v="3"/>
    <n v="45.99"/>
    <x v="1"/>
    <n v="45.99"/>
    <n v="137.97"/>
    <x v="0"/>
    <x v="0"/>
    <x v="1"/>
    <x v="11"/>
    <s v="Cataluña"/>
    <x v="2"/>
    <n v="5"/>
    <n v="137.97"/>
    <n v="0"/>
  </r>
  <r>
    <s v="ORD-100779"/>
    <x v="480"/>
    <x v="21"/>
    <x v="0"/>
    <n v="5"/>
    <n v="799.99"/>
    <x v="1"/>
    <n v="799.99"/>
    <n v="3999.95"/>
    <x v="0"/>
    <x v="0"/>
    <x v="1"/>
    <x v="5"/>
    <s v="País Vasco"/>
    <x v="0"/>
    <n v="3"/>
    <n v="3999.95"/>
    <n v="0"/>
  </r>
  <r>
    <s v="ORD-100780"/>
    <x v="204"/>
    <x v="28"/>
    <x v="0"/>
    <n v="2"/>
    <n v="499.99"/>
    <x v="1"/>
    <n v="499.99"/>
    <n v="999.98"/>
    <x v="0"/>
    <x v="0"/>
    <x v="3"/>
    <x v="4"/>
    <s v="Castilla y León"/>
    <x v="1"/>
    <n v="2"/>
    <n v="999.98"/>
    <n v="0"/>
  </r>
  <r>
    <s v="ORD-100781"/>
    <x v="83"/>
    <x v="16"/>
    <x v="1"/>
    <n v="1"/>
    <n v="79.989999999999995"/>
    <x v="1"/>
    <n v="79.989999999999995"/>
    <n v="79.989999999999995"/>
    <x v="0"/>
    <x v="0"/>
    <x v="0"/>
    <x v="11"/>
    <s v="Cataluña"/>
    <x v="2"/>
    <n v="5"/>
    <n v="79.989999999999995"/>
    <n v="0"/>
  </r>
  <r>
    <s v="ORD-100782"/>
    <x v="282"/>
    <x v="9"/>
    <x v="2"/>
    <n v="4"/>
    <n v="29.99"/>
    <x v="3"/>
    <n v="26.99"/>
    <n v="107.96"/>
    <x v="0"/>
    <x v="2"/>
    <x v="1"/>
    <x v="14"/>
    <s v="Aragón"/>
    <x v="0"/>
    <n v="5"/>
    <n v="119.96"/>
    <n v="12"/>
  </r>
  <r>
    <s v="ORD-100783"/>
    <x v="5"/>
    <x v="22"/>
    <x v="4"/>
    <n v="4"/>
    <n v="44.99"/>
    <x v="3"/>
    <n v="40.49"/>
    <n v="161.96"/>
    <x v="0"/>
    <x v="2"/>
    <x v="1"/>
    <x v="8"/>
    <s v="La Rioja"/>
    <x v="1"/>
    <n v="1"/>
    <n v="179.96"/>
    <n v="18"/>
  </r>
  <r>
    <s v="ORD-100784"/>
    <x v="481"/>
    <x v="13"/>
    <x v="3"/>
    <n v="4"/>
    <n v="49.99"/>
    <x v="2"/>
    <n v="47.49"/>
    <n v="189.96"/>
    <x v="0"/>
    <x v="0"/>
    <x v="2"/>
    <x v="0"/>
    <s v="Andalucía"/>
    <x v="0"/>
    <n v="3"/>
    <n v="199.96"/>
    <n v="10"/>
  </r>
  <r>
    <s v="ORD-100785"/>
    <x v="482"/>
    <x v="20"/>
    <x v="3"/>
    <n v="2"/>
    <n v="39.99"/>
    <x v="0"/>
    <n v="33.99"/>
    <n v="67.98"/>
    <x v="3"/>
    <x v="2"/>
    <x v="2"/>
    <x v="14"/>
    <s v="Aragón"/>
    <x v="0"/>
    <m/>
    <n v="79.98"/>
    <n v="12"/>
  </r>
  <r>
    <s v="ORD-100786"/>
    <x v="483"/>
    <x v="16"/>
    <x v="1"/>
    <n v="1"/>
    <n v="79.989999999999995"/>
    <x v="1"/>
    <n v="79.989999999999995"/>
    <n v="79.989999999999995"/>
    <x v="0"/>
    <x v="1"/>
    <x v="2"/>
    <x v="14"/>
    <s v="Aragón"/>
    <x v="0"/>
    <n v="3"/>
    <n v="79.989999999999995"/>
    <n v="0"/>
  </r>
  <r>
    <s v="ORD-100787"/>
    <x v="484"/>
    <x v="27"/>
    <x v="1"/>
    <n v="5"/>
    <n v="49.99"/>
    <x v="1"/>
    <n v="49.99"/>
    <n v="249.95"/>
    <x v="0"/>
    <x v="2"/>
    <x v="1"/>
    <x v="13"/>
    <s v="Andalucía"/>
    <x v="0"/>
    <n v="3"/>
    <n v="249.95000000000002"/>
    <n v="0"/>
  </r>
  <r>
    <s v="ORD-100788"/>
    <x v="485"/>
    <x v="9"/>
    <x v="2"/>
    <n v="1"/>
    <n v="29.99"/>
    <x v="4"/>
    <n v="23.99"/>
    <n v="23.99"/>
    <x v="0"/>
    <x v="0"/>
    <x v="3"/>
    <x v="12"/>
    <s v="Región de Murcia"/>
    <x v="1"/>
    <n v="5"/>
    <n v="29.99"/>
    <n v="6"/>
  </r>
  <r>
    <s v="ORD-100789"/>
    <x v="486"/>
    <x v="5"/>
    <x v="1"/>
    <n v="2"/>
    <n v="149.99"/>
    <x v="2"/>
    <n v="142.49"/>
    <n v="284.98"/>
    <x v="0"/>
    <x v="0"/>
    <x v="1"/>
    <x v="14"/>
    <s v="Aragón"/>
    <x v="0"/>
    <n v="4"/>
    <n v="299.98"/>
    <n v="15"/>
  </r>
  <r>
    <s v="ORD-100790"/>
    <x v="277"/>
    <x v="1"/>
    <x v="1"/>
    <n v="3"/>
    <n v="399.99"/>
    <x v="3"/>
    <n v="359.99"/>
    <n v="1079.97"/>
    <x v="1"/>
    <x v="1"/>
    <x v="0"/>
    <x v="6"/>
    <s v="Comunitat Valenciana"/>
    <x v="0"/>
    <m/>
    <n v="1199.97"/>
    <n v="120"/>
  </r>
  <r>
    <s v="ORD-100791"/>
    <x v="487"/>
    <x v="1"/>
    <x v="1"/>
    <n v="4"/>
    <n v="399.99"/>
    <x v="1"/>
    <n v="399.99"/>
    <n v="1599.96"/>
    <x v="0"/>
    <x v="0"/>
    <x v="0"/>
    <x v="12"/>
    <s v="Región de Murcia"/>
    <x v="1"/>
    <n v="4"/>
    <n v="1599.96"/>
    <n v="0"/>
  </r>
  <r>
    <s v="ORD-100792"/>
    <x v="488"/>
    <x v="13"/>
    <x v="3"/>
    <n v="4"/>
    <n v="49.99"/>
    <x v="1"/>
    <n v="49.99"/>
    <n v="199.96"/>
    <x v="0"/>
    <x v="2"/>
    <x v="1"/>
    <x v="9"/>
    <s v="Asturias"/>
    <x v="1"/>
    <n v="4"/>
    <n v="199.96"/>
    <n v="0"/>
  </r>
  <r>
    <s v="ORD-100793"/>
    <x v="162"/>
    <x v="16"/>
    <x v="1"/>
    <n v="1"/>
    <n v="79.989999999999995"/>
    <x v="1"/>
    <n v="79.989999999999995"/>
    <n v="79.989999999999995"/>
    <x v="0"/>
    <x v="2"/>
    <x v="4"/>
    <x v="6"/>
    <s v="Comunitat Valenciana"/>
    <x v="0"/>
    <n v="1"/>
    <n v="79.989999999999995"/>
    <n v="0"/>
  </r>
  <r>
    <s v="ORD-100794"/>
    <x v="489"/>
    <x v="12"/>
    <x v="2"/>
    <n v="2"/>
    <n v="189.99"/>
    <x v="2"/>
    <n v="180.49"/>
    <n v="360.98"/>
    <x v="0"/>
    <x v="1"/>
    <x v="3"/>
    <x v="13"/>
    <s v="Andalucía"/>
    <x v="0"/>
    <n v="2"/>
    <n v="379.98"/>
    <n v="19"/>
  </r>
  <r>
    <s v="ORD-100795"/>
    <x v="430"/>
    <x v="23"/>
    <x v="4"/>
    <n v="3"/>
    <n v="24.99"/>
    <x v="1"/>
    <n v="24.99"/>
    <n v="74.97"/>
    <x v="0"/>
    <x v="1"/>
    <x v="4"/>
    <x v="4"/>
    <s v="Castilla y León"/>
    <x v="1"/>
    <n v="4"/>
    <n v="74.97"/>
    <n v="0"/>
  </r>
  <r>
    <s v="ORD-100796"/>
    <x v="87"/>
    <x v="6"/>
    <x v="0"/>
    <n v="5"/>
    <n v="89.99"/>
    <x v="1"/>
    <n v="89.99"/>
    <n v="449.95"/>
    <x v="1"/>
    <x v="0"/>
    <x v="0"/>
    <x v="7"/>
    <s v="Castilla y León"/>
    <x v="1"/>
    <m/>
    <n v="449.95"/>
    <n v="0"/>
  </r>
  <r>
    <s v="ORD-100797"/>
    <x v="86"/>
    <x v="17"/>
    <x v="0"/>
    <n v="3"/>
    <n v="899.99"/>
    <x v="3"/>
    <n v="809.99"/>
    <n v="2429.9699999999998"/>
    <x v="4"/>
    <x v="1"/>
    <x v="2"/>
    <x v="3"/>
    <s v="Comunidad de Madrid"/>
    <x v="2"/>
    <m/>
    <n v="2699.9700000000003"/>
    <n v="270.00000000000045"/>
  </r>
  <r>
    <s v="ORD-100798"/>
    <x v="4"/>
    <x v="0"/>
    <x v="0"/>
    <n v="3"/>
    <n v="45.99"/>
    <x v="4"/>
    <n v="36.79"/>
    <n v="110.37"/>
    <x v="0"/>
    <x v="1"/>
    <x v="3"/>
    <x v="13"/>
    <s v="Andalucía"/>
    <x v="0"/>
    <n v="3"/>
    <n v="137.97"/>
    <n v="27.599999999999994"/>
  </r>
  <r>
    <s v="ORD-100799"/>
    <x v="487"/>
    <x v="20"/>
    <x v="3"/>
    <n v="4"/>
    <n v="39.99"/>
    <x v="2"/>
    <n v="37.99"/>
    <n v="151.96"/>
    <x v="0"/>
    <x v="1"/>
    <x v="3"/>
    <x v="0"/>
    <s v="Andalucía"/>
    <x v="0"/>
    <n v="2"/>
    <n v="159.96"/>
    <n v="8"/>
  </r>
  <r>
    <s v="ORD-100800"/>
    <x v="85"/>
    <x v="20"/>
    <x v="3"/>
    <n v="3"/>
    <n v="39.99"/>
    <x v="4"/>
    <n v="31.99"/>
    <n v="95.97"/>
    <x v="0"/>
    <x v="3"/>
    <x v="1"/>
    <x v="5"/>
    <s v="País Vasco"/>
    <x v="0"/>
    <n v="2"/>
    <n v="119.97"/>
    <n v="24"/>
  </r>
  <r>
    <s v="ORD-100801"/>
    <x v="15"/>
    <x v="6"/>
    <x v="0"/>
    <n v="1"/>
    <n v="89.99"/>
    <x v="1"/>
    <n v="89.99"/>
    <n v="89.99"/>
    <x v="1"/>
    <x v="1"/>
    <x v="4"/>
    <x v="12"/>
    <s v="Región de Murcia"/>
    <x v="1"/>
    <m/>
    <n v="89.99"/>
    <n v="0"/>
  </r>
  <r>
    <s v="ORD-100802"/>
    <x v="279"/>
    <x v="6"/>
    <x v="0"/>
    <n v="2"/>
    <n v="89.99"/>
    <x v="0"/>
    <n v="76.489999999999995"/>
    <n v="152.97999999999999"/>
    <x v="2"/>
    <x v="1"/>
    <x v="1"/>
    <x v="8"/>
    <s v="La Rioja"/>
    <x v="1"/>
    <m/>
    <n v="179.98"/>
    <n v="27"/>
  </r>
  <r>
    <s v="ORD-100803"/>
    <x v="416"/>
    <x v="22"/>
    <x v="4"/>
    <n v="4"/>
    <n v="44.99"/>
    <x v="3"/>
    <n v="40.49"/>
    <n v="161.96"/>
    <x v="0"/>
    <x v="0"/>
    <x v="2"/>
    <x v="7"/>
    <s v="Castilla y León"/>
    <x v="1"/>
    <n v="4"/>
    <n v="179.96"/>
    <n v="18"/>
  </r>
  <r>
    <s v="ORD-100804"/>
    <x v="490"/>
    <x v="28"/>
    <x v="0"/>
    <n v="2"/>
    <n v="499.99"/>
    <x v="2"/>
    <n v="474.99"/>
    <n v="949.98"/>
    <x v="1"/>
    <x v="1"/>
    <x v="1"/>
    <x v="1"/>
    <s v="Comunitat Valenciana"/>
    <x v="1"/>
    <m/>
    <n v="999.98"/>
    <n v="50"/>
  </r>
  <r>
    <s v="ORD-100805"/>
    <x v="367"/>
    <x v="14"/>
    <x v="1"/>
    <n v="3"/>
    <n v="249.99"/>
    <x v="2"/>
    <n v="237.49"/>
    <n v="712.47"/>
    <x v="3"/>
    <x v="0"/>
    <x v="4"/>
    <x v="1"/>
    <s v="Comunitat Valenciana"/>
    <x v="1"/>
    <m/>
    <n v="749.97"/>
    <n v="37.5"/>
  </r>
  <r>
    <s v="ORD-100806"/>
    <x v="491"/>
    <x v="16"/>
    <x v="1"/>
    <n v="3"/>
    <n v="79.989999999999995"/>
    <x v="1"/>
    <n v="79.989999999999995"/>
    <n v="239.97"/>
    <x v="0"/>
    <x v="0"/>
    <x v="1"/>
    <x v="10"/>
    <s v="Cantabria"/>
    <x v="1"/>
    <n v="5"/>
    <n v="239.96999999999997"/>
    <n v="0"/>
  </r>
  <r>
    <s v="ORD-100807"/>
    <x v="139"/>
    <x v="26"/>
    <x v="1"/>
    <n v="5"/>
    <n v="599.99"/>
    <x v="1"/>
    <n v="599.99"/>
    <n v="2999.95"/>
    <x v="0"/>
    <x v="0"/>
    <x v="3"/>
    <x v="1"/>
    <s v="Comunitat Valenciana"/>
    <x v="1"/>
    <n v="1"/>
    <n v="2999.95"/>
    <n v="0"/>
  </r>
  <r>
    <s v="ORD-100808"/>
    <x v="388"/>
    <x v="9"/>
    <x v="2"/>
    <n v="5"/>
    <n v="29.99"/>
    <x v="4"/>
    <n v="23.99"/>
    <n v="119.95"/>
    <x v="0"/>
    <x v="0"/>
    <x v="0"/>
    <x v="1"/>
    <s v="Comunitat Valenciana"/>
    <x v="1"/>
    <n v="1"/>
    <n v="149.94999999999999"/>
    <n v="29.999999999999986"/>
  </r>
  <r>
    <s v="ORD-100809"/>
    <x v="171"/>
    <x v="26"/>
    <x v="1"/>
    <n v="5"/>
    <n v="599.99"/>
    <x v="2"/>
    <n v="569.99"/>
    <n v="2849.95"/>
    <x v="0"/>
    <x v="0"/>
    <x v="4"/>
    <x v="14"/>
    <s v="Aragón"/>
    <x v="0"/>
    <n v="3"/>
    <n v="2999.95"/>
    <n v="150"/>
  </r>
  <r>
    <s v="ORD-100810"/>
    <x v="216"/>
    <x v="29"/>
    <x v="0"/>
    <n v="1"/>
    <n v="129.99"/>
    <x v="0"/>
    <n v="110.49"/>
    <n v="110.49"/>
    <x v="3"/>
    <x v="0"/>
    <x v="1"/>
    <x v="10"/>
    <s v="Cantabria"/>
    <x v="1"/>
    <m/>
    <n v="129.99"/>
    <n v="19.500000000000014"/>
  </r>
  <r>
    <s v="ORD-100811"/>
    <x v="492"/>
    <x v="17"/>
    <x v="0"/>
    <n v="4"/>
    <n v="899.99"/>
    <x v="3"/>
    <n v="809.99"/>
    <n v="3239.96"/>
    <x v="0"/>
    <x v="1"/>
    <x v="0"/>
    <x v="3"/>
    <s v="Comunidad de Madrid"/>
    <x v="2"/>
    <n v="5"/>
    <n v="3599.96"/>
    <n v="360"/>
  </r>
  <r>
    <s v="ORD-100812"/>
    <x v="493"/>
    <x v="13"/>
    <x v="3"/>
    <n v="4"/>
    <n v="49.99"/>
    <x v="1"/>
    <n v="49.99"/>
    <n v="199.96"/>
    <x v="0"/>
    <x v="2"/>
    <x v="0"/>
    <x v="11"/>
    <s v="Cataluña"/>
    <x v="2"/>
    <n v="2"/>
    <n v="199.96"/>
    <n v="0"/>
  </r>
  <r>
    <s v="ORD-100813"/>
    <x v="235"/>
    <x v="7"/>
    <x v="3"/>
    <n v="3"/>
    <n v="19.989999999999998"/>
    <x v="4"/>
    <n v="15.99"/>
    <n v="47.97"/>
    <x v="0"/>
    <x v="0"/>
    <x v="0"/>
    <x v="10"/>
    <s v="Cantabria"/>
    <x v="1"/>
    <n v="5"/>
    <n v="59.97"/>
    <n v="12"/>
  </r>
  <r>
    <s v="ORD-100814"/>
    <x v="494"/>
    <x v="12"/>
    <x v="2"/>
    <n v="4"/>
    <n v="189.99"/>
    <x v="1"/>
    <n v="189.99"/>
    <n v="759.96"/>
    <x v="2"/>
    <x v="2"/>
    <x v="0"/>
    <x v="5"/>
    <s v="País Vasco"/>
    <x v="0"/>
    <m/>
    <n v="759.96"/>
    <n v="0"/>
  </r>
  <r>
    <s v="ORD-100815"/>
    <x v="407"/>
    <x v="8"/>
    <x v="2"/>
    <n v="5"/>
    <n v="59.99"/>
    <x v="4"/>
    <n v="47.99"/>
    <n v="239.95"/>
    <x v="0"/>
    <x v="3"/>
    <x v="3"/>
    <x v="11"/>
    <s v="Cataluña"/>
    <x v="2"/>
    <n v="2"/>
    <n v="299.95"/>
    <n v="60"/>
  </r>
  <r>
    <s v="ORD-100816"/>
    <x v="117"/>
    <x v="18"/>
    <x v="2"/>
    <n v="4"/>
    <n v="99.99"/>
    <x v="4"/>
    <n v="79.989999999999995"/>
    <n v="319.95999999999998"/>
    <x v="0"/>
    <x v="0"/>
    <x v="1"/>
    <x v="9"/>
    <s v="Asturias"/>
    <x v="1"/>
    <n v="2"/>
    <n v="399.96"/>
    <n v="80"/>
  </r>
  <r>
    <s v="ORD-100817"/>
    <x v="292"/>
    <x v="10"/>
    <x v="2"/>
    <n v="3"/>
    <n v="69.989999999999995"/>
    <x v="1"/>
    <n v="69.989999999999995"/>
    <n v="209.97"/>
    <x v="1"/>
    <x v="2"/>
    <x v="0"/>
    <x v="2"/>
    <s v="Navarra"/>
    <x v="1"/>
    <m/>
    <n v="209.96999999999997"/>
    <n v="0"/>
  </r>
  <r>
    <s v="ORD-100818"/>
    <x v="326"/>
    <x v="20"/>
    <x v="3"/>
    <n v="4"/>
    <n v="39.99"/>
    <x v="1"/>
    <n v="39.99"/>
    <n v="159.96"/>
    <x v="0"/>
    <x v="2"/>
    <x v="0"/>
    <x v="2"/>
    <s v="Navarra"/>
    <x v="1"/>
    <n v="4"/>
    <n v="159.96"/>
    <n v="0"/>
  </r>
  <r>
    <s v="ORD-100819"/>
    <x v="366"/>
    <x v="7"/>
    <x v="3"/>
    <n v="2"/>
    <n v="19.989999999999998"/>
    <x v="3"/>
    <n v="17.989999999999998"/>
    <n v="35.979999999999997"/>
    <x v="2"/>
    <x v="0"/>
    <x v="1"/>
    <x v="3"/>
    <s v="Comunidad de Madrid"/>
    <x v="2"/>
    <m/>
    <n v="39.979999999999997"/>
    <n v="4"/>
  </r>
  <r>
    <s v="ORD-100820"/>
    <x v="495"/>
    <x v="12"/>
    <x v="2"/>
    <n v="3"/>
    <n v="189.99"/>
    <x v="3"/>
    <n v="170.99"/>
    <n v="512.97"/>
    <x v="1"/>
    <x v="0"/>
    <x v="3"/>
    <x v="3"/>
    <s v="Comunidad de Madrid"/>
    <x v="2"/>
    <m/>
    <n v="569.97"/>
    <n v="57"/>
  </r>
  <r>
    <s v="ORD-100821"/>
    <x v="274"/>
    <x v="4"/>
    <x v="4"/>
    <n v="4"/>
    <n v="349.99"/>
    <x v="3"/>
    <n v="314.99"/>
    <n v="1259.96"/>
    <x v="3"/>
    <x v="0"/>
    <x v="0"/>
    <x v="8"/>
    <s v="La Rioja"/>
    <x v="1"/>
    <m/>
    <n v="1399.96"/>
    <n v="140"/>
  </r>
  <r>
    <s v="ORD-100822"/>
    <x v="30"/>
    <x v="7"/>
    <x v="3"/>
    <n v="5"/>
    <n v="19.989999999999998"/>
    <x v="2"/>
    <n v="18.989999999999998"/>
    <n v="94.95"/>
    <x v="0"/>
    <x v="1"/>
    <x v="1"/>
    <x v="9"/>
    <s v="Asturias"/>
    <x v="1"/>
    <n v="5"/>
    <n v="99.949999999999989"/>
    <n v="4.9999999999999858"/>
  </r>
  <r>
    <s v="ORD-100823"/>
    <x v="425"/>
    <x v="14"/>
    <x v="1"/>
    <n v="3"/>
    <n v="249.99"/>
    <x v="0"/>
    <n v="212.49"/>
    <n v="637.47"/>
    <x v="1"/>
    <x v="0"/>
    <x v="0"/>
    <x v="6"/>
    <s v="Comunitat Valenciana"/>
    <x v="0"/>
    <m/>
    <n v="749.97"/>
    <n v="112.5"/>
  </r>
  <r>
    <s v="ORD-100824"/>
    <x v="39"/>
    <x v="25"/>
    <x v="4"/>
    <n v="1"/>
    <n v="34.99"/>
    <x v="1"/>
    <n v="34.99"/>
    <n v="34.99"/>
    <x v="0"/>
    <x v="0"/>
    <x v="3"/>
    <x v="7"/>
    <s v="Castilla y León"/>
    <x v="1"/>
    <n v="2"/>
    <n v="34.99"/>
    <n v="0"/>
  </r>
  <r>
    <s v="ORD-100825"/>
    <x v="213"/>
    <x v="7"/>
    <x v="3"/>
    <n v="2"/>
    <n v="19.989999999999998"/>
    <x v="1"/>
    <n v="19.989999999999998"/>
    <n v="39.979999999999997"/>
    <x v="0"/>
    <x v="0"/>
    <x v="3"/>
    <x v="11"/>
    <s v="Cataluña"/>
    <x v="2"/>
    <n v="2"/>
    <n v="39.979999999999997"/>
    <n v="0"/>
  </r>
  <r>
    <s v="ORD-100826"/>
    <x v="444"/>
    <x v="9"/>
    <x v="2"/>
    <n v="1"/>
    <n v="29.99"/>
    <x v="0"/>
    <n v="25.49"/>
    <n v="25.49"/>
    <x v="3"/>
    <x v="2"/>
    <x v="0"/>
    <x v="11"/>
    <s v="Cataluña"/>
    <x v="2"/>
    <m/>
    <n v="29.99"/>
    <n v="4.5"/>
  </r>
  <r>
    <s v="ORD-100827"/>
    <x v="194"/>
    <x v="18"/>
    <x v="2"/>
    <n v="5"/>
    <n v="99.99"/>
    <x v="4"/>
    <n v="79.989999999999995"/>
    <n v="399.95"/>
    <x v="4"/>
    <x v="0"/>
    <x v="0"/>
    <x v="4"/>
    <s v="Castilla y León"/>
    <x v="1"/>
    <m/>
    <n v="499.95"/>
    <n v="100"/>
  </r>
  <r>
    <s v="ORD-100828"/>
    <x v="86"/>
    <x v="26"/>
    <x v="1"/>
    <n v="1"/>
    <n v="599.99"/>
    <x v="0"/>
    <n v="509.99"/>
    <n v="509.99"/>
    <x v="0"/>
    <x v="2"/>
    <x v="1"/>
    <x v="5"/>
    <s v="País Vasco"/>
    <x v="0"/>
    <n v="3"/>
    <n v="599.99"/>
    <n v="90"/>
  </r>
  <r>
    <s v="ORD-100829"/>
    <x v="496"/>
    <x v="29"/>
    <x v="0"/>
    <n v="1"/>
    <n v="129.99"/>
    <x v="1"/>
    <n v="129.99"/>
    <n v="129.99"/>
    <x v="1"/>
    <x v="0"/>
    <x v="4"/>
    <x v="13"/>
    <s v="Andalucía"/>
    <x v="0"/>
    <m/>
    <n v="129.99"/>
    <n v="0"/>
  </r>
  <r>
    <s v="ORD-100830"/>
    <x v="403"/>
    <x v="25"/>
    <x v="4"/>
    <n v="3"/>
    <n v="34.99"/>
    <x v="1"/>
    <n v="34.99"/>
    <n v="104.97"/>
    <x v="0"/>
    <x v="3"/>
    <x v="0"/>
    <x v="12"/>
    <s v="Región de Murcia"/>
    <x v="1"/>
    <n v="4"/>
    <n v="104.97"/>
    <n v="0"/>
  </r>
  <r>
    <s v="ORD-100831"/>
    <x v="17"/>
    <x v="9"/>
    <x v="2"/>
    <n v="4"/>
    <n v="29.99"/>
    <x v="1"/>
    <n v="29.99"/>
    <n v="119.96"/>
    <x v="0"/>
    <x v="0"/>
    <x v="1"/>
    <x v="2"/>
    <s v="Navarra"/>
    <x v="1"/>
    <n v="1"/>
    <n v="119.96"/>
    <n v="0"/>
  </r>
  <r>
    <s v="ORD-100832"/>
    <x v="43"/>
    <x v="2"/>
    <x v="2"/>
    <n v="3"/>
    <n v="299.99"/>
    <x v="1"/>
    <n v="299.99"/>
    <n v="899.97"/>
    <x v="0"/>
    <x v="1"/>
    <x v="0"/>
    <x v="11"/>
    <s v="Cataluña"/>
    <x v="2"/>
    <n v="4"/>
    <n v="899.97"/>
    <n v="0"/>
  </r>
  <r>
    <s v="ORD-100833"/>
    <x v="377"/>
    <x v="23"/>
    <x v="4"/>
    <n v="4"/>
    <n v="24.99"/>
    <x v="1"/>
    <n v="24.99"/>
    <n v="99.96"/>
    <x v="1"/>
    <x v="2"/>
    <x v="1"/>
    <x v="3"/>
    <s v="Comunidad de Madrid"/>
    <x v="2"/>
    <m/>
    <n v="99.96"/>
    <n v="0"/>
  </r>
  <r>
    <s v="ORD-100834"/>
    <x v="497"/>
    <x v="11"/>
    <x v="0"/>
    <n v="3"/>
    <n v="349.99"/>
    <x v="2"/>
    <n v="332.49"/>
    <n v="997.47"/>
    <x v="0"/>
    <x v="1"/>
    <x v="1"/>
    <x v="7"/>
    <s v="Castilla y León"/>
    <x v="1"/>
    <n v="4"/>
    <n v="1049.97"/>
    <n v="52.5"/>
  </r>
  <r>
    <s v="ORD-100835"/>
    <x v="498"/>
    <x v="20"/>
    <x v="3"/>
    <n v="1"/>
    <n v="39.99"/>
    <x v="3"/>
    <n v="35.99"/>
    <n v="35.99"/>
    <x v="0"/>
    <x v="3"/>
    <x v="2"/>
    <x v="13"/>
    <s v="Andalucía"/>
    <x v="0"/>
    <n v="4"/>
    <n v="39.99"/>
    <n v="4"/>
  </r>
  <r>
    <s v="ORD-100836"/>
    <x v="63"/>
    <x v="1"/>
    <x v="1"/>
    <n v="5"/>
    <n v="399.99"/>
    <x v="1"/>
    <n v="399.99"/>
    <n v="1999.95"/>
    <x v="0"/>
    <x v="0"/>
    <x v="1"/>
    <x v="5"/>
    <s v="País Vasco"/>
    <x v="0"/>
    <n v="1"/>
    <n v="1999.95"/>
    <n v="0"/>
  </r>
  <r>
    <s v="ORD-100837"/>
    <x v="132"/>
    <x v="5"/>
    <x v="1"/>
    <n v="3"/>
    <n v="149.99"/>
    <x v="1"/>
    <n v="149.99"/>
    <n v="449.97"/>
    <x v="2"/>
    <x v="2"/>
    <x v="1"/>
    <x v="2"/>
    <s v="Navarra"/>
    <x v="1"/>
    <m/>
    <n v="449.97"/>
    <n v="0"/>
  </r>
  <r>
    <s v="ORD-100838"/>
    <x v="488"/>
    <x v="5"/>
    <x v="1"/>
    <n v="1"/>
    <n v="149.99"/>
    <x v="2"/>
    <n v="142.49"/>
    <n v="142.49"/>
    <x v="1"/>
    <x v="1"/>
    <x v="2"/>
    <x v="5"/>
    <s v="País Vasco"/>
    <x v="0"/>
    <m/>
    <n v="149.99"/>
    <n v="7.5"/>
  </r>
  <r>
    <s v="ORD-100839"/>
    <x v="333"/>
    <x v="2"/>
    <x v="2"/>
    <n v="3"/>
    <n v="299.99"/>
    <x v="2"/>
    <n v="284.99"/>
    <n v="854.97"/>
    <x v="0"/>
    <x v="0"/>
    <x v="0"/>
    <x v="9"/>
    <s v="Asturias"/>
    <x v="1"/>
    <n v="1"/>
    <n v="899.97"/>
    <n v="45"/>
  </r>
  <r>
    <s v="ORD-100840"/>
    <x v="88"/>
    <x v="19"/>
    <x v="0"/>
    <n v="5"/>
    <n v="1199.99"/>
    <x v="1"/>
    <n v="1199.99"/>
    <n v="5999.95"/>
    <x v="0"/>
    <x v="2"/>
    <x v="1"/>
    <x v="11"/>
    <s v="Cataluña"/>
    <x v="2"/>
    <n v="4"/>
    <n v="5999.95"/>
    <n v="0"/>
  </r>
  <r>
    <s v="ORD-100841"/>
    <x v="183"/>
    <x v="25"/>
    <x v="4"/>
    <n v="4"/>
    <n v="34.99"/>
    <x v="1"/>
    <n v="34.99"/>
    <n v="139.96"/>
    <x v="0"/>
    <x v="0"/>
    <x v="1"/>
    <x v="3"/>
    <s v="Comunidad de Madrid"/>
    <x v="2"/>
    <n v="4"/>
    <n v="139.96"/>
    <n v="0"/>
  </r>
  <r>
    <s v="ORD-100842"/>
    <x v="404"/>
    <x v="21"/>
    <x v="0"/>
    <n v="5"/>
    <n v="799.99"/>
    <x v="2"/>
    <n v="759.99"/>
    <n v="3799.95"/>
    <x v="3"/>
    <x v="2"/>
    <x v="0"/>
    <x v="8"/>
    <s v="La Rioja"/>
    <x v="1"/>
    <m/>
    <n v="3999.95"/>
    <n v="200"/>
  </r>
  <r>
    <s v="ORD-100843"/>
    <x v="499"/>
    <x v="28"/>
    <x v="0"/>
    <n v="1"/>
    <n v="499.99"/>
    <x v="1"/>
    <n v="499.99"/>
    <n v="499.99"/>
    <x v="1"/>
    <x v="1"/>
    <x v="3"/>
    <x v="12"/>
    <s v="Región de Murcia"/>
    <x v="1"/>
    <m/>
    <n v="499.99"/>
    <n v="0"/>
  </r>
  <r>
    <s v="ORD-100844"/>
    <x v="400"/>
    <x v="17"/>
    <x v="0"/>
    <n v="2"/>
    <n v="899.99"/>
    <x v="0"/>
    <n v="764.99"/>
    <n v="1529.98"/>
    <x v="1"/>
    <x v="0"/>
    <x v="0"/>
    <x v="3"/>
    <s v="Comunidad de Madrid"/>
    <x v="2"/>
    <m/>
    <n v="1799.98"/>
    <n v="270"/>
  </r>
  <r>
    <s v="ORD-100845"/>
    <x v="500"/>
    <x v="25"/>
    <x v="4"/>
    <n v="1"/>
    <n v="34.99"/>
    <x v="2"/>
    <n v="33.24"/>
    <n v="33.24"/>
    <x v="1"/>
    <x v="1"/>
    <x v="2"/>
    <x v="8"/>
    <s v="La Rioja"/>
    <x v="1"/>
    <m/>
    <n v="34.99"/>
    <n v="1.75"/>
  </r>
  <r>
    <s v="ORD-100846"/>
    <x v="501"/>
    <x v="0"/>
    <x v="0"/>
    <n v="4"/>
    <n v="45.99"/>
    <x v="3"/>
    <n v="41.39"/>
    <n v="165.56"/>
    <x v="1"/>
    <x v="0"/>
    <x v="0"/>
    <x v="0"/>
    <s v="Andalucía"/>
    <x v="0"/>
    <m/>
    <n v="183.96"/>
    <n v="18.400000000000006"/>
  </r>
  <r>
    <s v="ORD-100847"/>
    <x v="214"/>
    <x v="8"/>
    <x v="2"/>
    <n v="4"/>
    <n v="59.99"/>
    <x v="1"/>
    <n v="59.99"/>
    <n v="239.96"/>
    <x v="0"/>
    <x v="1"/>
    <x v="0"/>
    <x v="9"/>
    <s v="Asturias"/>
    <x v="1"/>
    <n v="2"/>
    <n v="239.96"/>
    <n v="0"/>
  </r>
  <r>
    <s v="ORD-100848"/>
    <x v="376"/>
    <x v="1"/>
    <x v="1"/>
    <n v="2"/>
    <n v="399.99"/>
    <x v="1"/>
    <n v="399.99"/>
    <n v="799.98"/>
    <x v="0"/>
    <x v="0"/>
    <x v="3"/>
    <x v="5"/>
    <s v="País Vasco"/>
    <x v="0"/>
    <n v="3"/>
    <n v="799.98"/>
    <n v="0"/>
  </r>
  <r>
    <s v="ORD-100849"/>
    <x v="90"/>
    <x v="29"/>
    <x v="0"/>
    <n v="4"/>
    <n v="129.99"/>
    <x v="1"/>
    <n v="129.99"/>
    <n v="519.96"/>
    <x v="3"/>
    <x v="0"/>
    <x v="1"/>
    <x v="3"/>
    <s v="Comunidad de Madrid"/>
    <x v="2"/>
    <m/>
    <n v="519.96"/>
    <n v="0"/>
  </r>
  <r>
    <s v="ORD-100850"/>
    <x v="191"/>
    <x v="27"/>
    <x v="1"/>
    <n v="4"/>
    <n v="49.99"/>
    <x v="4"/>
    <n v="39.99"/>
    <n v="159.96"/>
    <x v="0"/>
    <x v="1"/>
    <x v="0"/>
    <x v="4"/>
    <s v="Castilla y León"/>
    <x v="1"/>
    <n v="2"/>
    <n v="199.96"/>
    <n v="40"/>
  </r>
  <r>
    <s v="ORD-100851"/>
    <x v="363"/>
    <x v="2"/>
    <x v="2"/>
    <n v="5"/>
    <n v="299.99"/>
    <x v="1"/>
    <n v="299.99"/>
    <n v="1499.95"/>
    <x v="0"/>
    <x v="2"/>
    <x v="3"/>
    <x v="2"/>
    <s v="Navarra"/>
    <x v="1"/>
    <n v="2"/>
    <n v="1499.95"/>
    <n v="0"/>
  </r>
  <r>
    <s v="ORD-100852"/>
    <x v="502"/>
    <x v="11"/>
    <x v="0"/>
    <n v="3"/>
    <n v="349.99"/>
    <x v="3"/>
    <n v="314.99"/>
    <n v="944.97"/>
    <x v="0"/>
    <x v="2"/>
    <x v="1"/>
    <x v="0"/>
    <s v="Andalucía"/>
    <x v="0"/>
    <n v="1"/>
    <n v="1049.97"/>
    <n v="105"/>
  </r>
  <r>
    <s v="ORD-100853"/>
    <x v="503"/>
    <x v="29"/>
    <x v="0"/>
    <n v="4"/>
    <n v="129.99"/>
    <x v="3"/>
    <n v="116.99"/>
    <n v="467.96"/>
    <x v="3"/>
    <x v="2"/>
    <x v="0"/>
    <x v="9"/>
    <s v="Asturias"/>
    <x v="1"/>
    <m/>
    <n v="519.96"/>
    <n v="52.000000000000057"/>
  </r>
  <r>
    <s v="ORD-100854"/>
    <x v="220"/>
    <x v="19"/>
    <x v="0"/>
    <n v="5"/>
    <n v="1199.99"/>
    <x v="1"/>
    <n v="1199.99"/>
    <n v="5999.95"/>
    <x v="0"/>
    <x v="3"/>
    <x v="1"/>
    <x v="7"/>
    <s v="Castilla y León"/>
    <x v="1"/>
    <n v="5"/>
    <n v="5999.95"/>
    <n v="0"/>
  </r>
  <r>
    <s v="ORD-100855"/>
    <x v="410"/>
    <x v="28"/>
    <x v="0"/>
    <n v="4"/>
    <n v="499.99"/>
    <x v="4"/>
    <n v="399.99"/>
    <n v="1599.96"/>
    <x v="1"/>
    <x v="0"/>
    <x v="0"/>
    <x v="0"/>
    <s v="Andalucía"/>
    <x v="0"/>
    <m/>
    <n v="1999.96"/>
    <n v="400"/>
  </r>
  <r>
    <s v="ORD-100856"/>
    <x v="504"/>
    <x v="12"/>
    <x v="2"/>
    <n v="4"/>
    <n v="189.99"/>
    <x v="2"/>
    <n v="180.49"/>
    <n v="721.96"/>
    <x v="0"/>
    <x v="2"/>
    <x v="0"/>
    <x v="9"/>
    <s v="Asturias"/>
    <x v="1"/>
    <n v="3"/>
    <n v="759.96"/>
    <n v="38"/>
  </r>
  <r>
    <s v="ORD-100857"/>
    <x v="91"/>
    <x v="21"/>
    <x v="0"/>
    <n v="4"/>
    <n v="799.99"/>
    <x v="1"/>
    <n v="799.99"/>
    <n v="3199.96"/>
    <x v="0"/>
    <x v="2"/>
    <x v="3"/>
    <x v="2"/>
    <s v="Navarra"/>
    <x v="1"/>
    <n v="1"/>
    <n v="3199.96"/>
    <n v="0"/>
  </r>
  <r>
    <s v="ORD-100858"/>
    <x v="236"/>
    <x v="22"/>
    <x v="4"/>
    <n v="5"/>
    <n v="44.99"/>
    <x v="1"/>
    <n v="44.99"/>
    <n v="224.95"/>
    <x v="0"/>
    <x v="1"/>
    <x v="0"/>
    <x v="3"/>
    <s v="Comunidad de Madrid"/>
    <x v="2"/>
    <n v="2"/>
    <n v="224.95000000000002"/>
    <n v="0"/>
  </r>
  <r>
    <s v="ORD-100859"/>
    <x v="505"/>
    <x v="1"/>
    <x v="1"/>
    <n v="5"/>
    <n v="399.99"/>
    <x v="1"/>
    <n v="399.99"/>
    <n v="1999.95"/>
    <x v="0"/>
    <x v="1"/>
    <x v="0"/>
    <x v="10"/>
    <s v="Cantabria"/>
    <x v="1"/>
    <n v="1"/>
    <n v="1999.95"/>
    <n v="0"/>
  </r>
  <r>
    <s v="ORD-100860"/>
    <x v="281"/>
    <x v="28"/>
    <x v="0"/>
    <n v="1"/>
    <n v="499.99"/>
    <x v="1"/>
    <n v="499.99"/>
    <n v="499.99"/>
    <x v="1"/>
    <x v="0"/>
    <x v="2"/>
    <x v="8"/>
    <s v="La Rioja"/>
    <x v="1"/>
    <m/>
    <n v="499.99"/>
    <n v="0"/>
  </r>
  <r>
    <s v="ORD-100861"/>
    <x v="207"/>
    <x v="16"/>
    <x v="1"/>
    <n v="5"/>
    <n v="79.989999999999995"/>
    <x v="2"/>
    <n v="75.989999999999995"/>
    <n v="379.95"/>
    <x v="0"/>
    <x v="0"/>
    <x v="4"/>
    <x v="13"/>
    <s v="Andalucía"/>
    <x v="0"/>
    <n v="4"/>
    <n v="399.95"/>
    <n v="20"/>
  </r>
  <r>
    <s v="ORD-100862"/>
    <x v="17"/>
    <x v="20"/>
    <x v="3"/>
    <n v="3"/>
    <n v="39.99"/>
    <x v="1"/>
    <n v="39.99"/>
    <n v="119.97"/>
    <x v="0"/>
    <x v="1"/>
    <x v="4"/>
    <x v="0"/>
    <s v="Andalucía"/>
    <x v="0"/>
    <n v="2"/>
    <n v="119.97"/>
    <n v="0"/>
  </r>
  <r>
    <s v="ORD-100863"/>
    <x v="328"/>
    <x v="11"/>
    <x v="0"/>
    <n v="1"/>
    <n v="349.99"/>
    <x v="0"/>
    <n v="297.49"/>
    <n v="297.49"/>
    <x v="0"/>
    <x v="0"/>
    <x v="2"/>
    <x v="5"/>
    <s v="País Vasco"/>
    <x v="0"/>
    <n v="4"/>
    <n v="349.99"/>
    <n v="52.5"/>
  </r>
  <r>
    <s v="ORD-100864"/>
    <x v="220"/>
    <x v="29"/>
    <x v="0"/>
    <n v="3"/>
    <n v="129.99"/>
    <x v="1"/>
    <n v="129.99"/>
    <n v="389.97"/>
    <x v="2"/>
    <x v="0"/>
    <x v="1"/>
    <x v="1"/>
    <s v="Comunitat Valenciana"/>
    <x v="1"/>
    <m/>
    <n v="389.97"/>
    <n v="0"/>
  </r>
  <r>
    <s v="ORD-100865"/>
    <x v="345"/>
    <x v="23"/>
    <x v="4"/>
    <n v="2"/>
    <n v="24.99"/>
    <x v="3"/>
    <n v="22.49"/>
    <n v="44.98"/>
    <x v="4"/>
    <x v="0"/>
    <x v="3"/>
    <x v="8"/>
    <s v="La Rioja"/>
    <x v="1"/>
    <m/>
    <n v="49.98"/>
    <n v="5"/>
  </r>
  <r>
    <s v="ORD-100866"/>
    <x v="420"/>
    <x v="16"/>
    <x v="1"/>
    <n v="2"/>
    <n v="79.989999999999995"/>
    <x v="3"/>
    <n v="71.989999999999995"/>
    <n v="143.97999999999999"/>
    <x v="0"/>
    <x v="0"/>
    <x v="1"/>
    <x v="12"/>
    <s v="Región de Murcia"/>
    <x v="1"/>
    <n v="2"/>
    <n v="159.97999999999999"/>
    <n v="16"/>
  </r>
  <r>
    <s v="ORD-100867"/>
    <x v="243"/>
    <x v="24"/>
    <x v="3"/>
    <n v="4"/>
    <n v="89.99"/>
    <x v="3"/>
    <n v="80.989999999999995"/>
    <n v="323.95999999999998"/>
    <x v="0"/>
    <x v="1"/>
    <x v="0"/>
    <x v="4"/>
    <s v="Castilla y León"/>
    <x v="1"/>
    <n v="5"/>
    <n v="359.96"/>
    <n v="36"/>
  </r>
  <r>
    <s v="ORD-100868"/>
    <x v="506"/>
    <x v="3"/>
    <x v="3"/>
    <n v="1"/>
    <n v="34.99"/>
    <x v="1"/>
    <n v="34.99"/>
    <n v="34.99"/>
    <x v="4"/>
    <x v="2"/>
    <x v="0"/>
    <x v="10"/>
    <s v="Cantabria"/>
    <x v="1"/>
    <m/>
    <n v="34.99"/>
    <n v="0"/>
  </r>
  <r>
    <s v="ORD-100869"/>
    <x v="167"/>
    <x v="20"/>
    <x v="3"/>
    <n v="4"/>
    <n v="39.99"/>
    <x v="4"/>
    <n v="31.99"/>
    <n v="127.96"/>
    <x v="1"/>
    <x v="0"/>
    <x v="3"/>
    <x v="8"/>
    <s v="La Rioja"/>
    <x v="1"/>
    <m/>
    <n v="159.96"/>
    <n v="32.000000000000014"/>
  </r>
  <r>
    <s v="ORD-100870"/>
    <x v="71"/>
    <x v="5"/>
    <x v="1"/>
    <n v="1"/>
    <n v="149.99"/>
    <x v="0"/>
    <n v="127.49"/>
    <n v="127.49"/>
    <x v="1"/>
    <x v="0"/>
    <x v="0"/>
    <x v="0"/>
    <s v="Andalucía"/>
    <x v="0"/>
    <m/>
    <n v="149.99"/>
    <n v="22.500000000000014"/>
  </r>
  <r>
    <s v="ORD-100871"/>
    <x v="80"/>
    <x v="6"/>
    <x v="0"/>
    <n v="1"/>
    <n v="89.99"/>
    <x v="2"/>
    <n v="85.49"/>
    <n v="85.49"/>
    <x v="1"/>
    <x v="1"/>
    <x v="2"/>
    <x v="6"/>
    <s v="Comunitat Valenciana"/>
    <x v="0"/>
    <m/>
    <n v="89.99"/>
    <n v="4.5"/>
  </r>
  <r>
    <s v="ORD-100872"/>
    <x v="125"/>
    <x v="19"/>
    <x v="0"/>
    <n v="4"/>
    <n v="1199.99"/>
    <x v="2"/>
    <n v="1139.99"/>
    <n v="4559.96"/>
    <x v="1"/>
    <x v="1"/>
    <x v="0"/>
    <x v="8"/>
    <s v="La Rioja"/>
    <x v="1"/>
    <m/>
    <n v="4799.96"/>
    <n v="240"/>
  </r>
  <r>
    <s v="ORD-100873"/>
    <x v="507"/>
    <x v="9"/>
    <x v="2"/>
    <n v="4"/>
    <n v="29.99"/>
    <x v="0"/>
    <n v="25.49"/>
    <n v="101.96"/>
    <x v="1"/>
    <x v="1"/>
    <x v="3"/>
    <x v="8"/>
    <s v="La Rioja"/>
    <x v="1"/>
    <m/>
    <n v="119.96"/>
    <n v="18"/>
  </r>
  <r>
    <s v="ORD-100874"/>
    <x v="316"/>
    <x v="24"/>
    <x v="3"/>
    <n v="5"/>
    <n v="89.99"/>
    <x v="1"/>
    <n v="89.99"/>
    <n v="449.95"/>
    <x v="0"/>
    <x v="0"/>
    <x v="4"/>
    <x v="2"/>
    <s v="Navarra"/>
    <x v="1"/>
    <n v="5"/>
    <n v="449.95"/>
    <n v="0"/>
  </r>
  <r>
    <s v="ORD-100875"/>
    <x v="432"/>
    <x v="8"/>
    <x v="2"/>
    <n v="2"/>
    <n v="59.99"/>
    <x v="4"/>
    <n v="47.99"/>
    <n v="95.98"/>
    <x v="1"/>
    <x v="2"/>
    <x v="1"/>
    <x v="1"/>
    <s v="Comunitat Valenciana"/>
    <x v="1"/>
    <m/>
    <n v="119.98"/>
    <n v="24"/>
  </r>
  <r>
    <s v="ORD-100876"/>
    <x v="161"/>
    <x v="14"/>
    <x v="1"/>
    <n v="3"/>
    <n v="249.99"/>
    <x v="1"/>
    <n v="249.99"/>
    <n v="749.97"/>
    <x v="0"/>
    <x v="1"/>
    <x v="0"/>
    <x v="14"/>
    <s v="Aragón"/>
    <x v="0"/>
    <n v="3"/>
    <n v="749.97"/>
    <n v="0"/>
  </r>
  <r>
    <s v="ORD-100877"/>
    <x v="320"/>
    <x v="9"/>
    <x v="2"/>
    <n v="5"/>
    <n v="29.99"/>
    <x v="0"/>
    <n v="25.49"/>
    <n v="127.45"/>
    <x v="0"/>
    <x v="2"/>
    <x v="0"/>
    <x v="10"/>
    <s v="Cantabria"/>
    <x v="1"/>
    <n v="3"/>
    <n v="149.94999999999999"/>
    <n v="22.499999999999986"/>
  </r>
  <r>
    <s v="ORD-100878"/>
    <x v="75"/>
    <x v="5"/>
    <x v="1"/>
    <n v="1"/>
    <n v="149.99"/>
    <x v="0"/>
    <n v="127.49"/>
    <n v="127.49"/>
    <x v="0"/>
    <x v="1"/>
    <x v="4"/>
    <x v="2"/>
    <s v="Navarra"/>
    <x v="1"/>
    <n v="2"/>
    <n v="149.99"/>
    <n v="22.500000000000014"/>
  </r>
  <r>
    <s v="ORD-100879"/>
    <x v="253"/>
    <x v="24"/>
    <x v="3"/>
    <n v="3"/>
    <n v="89.99"/>
    <x v="1"/>
    <n v="89.99"/>
    <n v="269.97000000000003"/>
    <x v="0"/>
    <x v="0"/>
    <x v="0"/>
    <x v="13"/>
    <s v="Andalucía"/>
    <x v="0"/>
    <n v="3"/>
    <n v="269.96999999999997"/>
    <n v="0"/>
  </r>
  <r>
    <s v="ORD-100880"/>
    <x v="508"/>
    <x v="16"/>
    <x v="1"/>
    <n v="5"/>
    <n v="79.989999999999995"/>
    <x v="3"/>
    <n v="71.989999999999995"/>
    <n v="359.95"/>
    <x v="2"/>
    <x v="1"/>
    <x v="1"/>
    <x v="12"/>
    <s v="Región de Murcia"/>
    <x v="1"/>
    <m/>
    <n v="399.95"/>
    <n v="40"/>
  </r>
  <r>
    <s v="ORD-100881"/>
    <x v="21"/>
    <x v="23"/>
    <x v="4"/>
    <n v="3"/>
    <n v="24.99"/>
    <x v="2"/>
    <n v="23.74"/>
    <n v="71.22"/>
    <x v="1"/>
    <x v="1"/>
    <x v="1"/>
    <x v="2"/>
    <s v="Navarra"/>
    <x v="1"/>
    <m/>
    <n v="74.97"/>
    <n v="3.75"/>
  </r>
  <r>
    <s v="ORD-100882"/>
    <x v="210"/>
    <x v="21"/>
    <x v="0"/>
    <n v="4"/>
    <n v="799.99"/>
    <x v="1"/>
    <n v="799.99"/>
    <n v="3199.96"/>
    <x v="0"/>
    <x v="0"/>
    <x v="4"/>
    <x v="4"/>
    <s v="Castilla y León"/>
    <x v="1"/>
    <n v="1"/>
    <n v="3199.96"/>
    <n v="0"/>
  </r>
  <r>
    <s v="ORD-100883"/>
    <x v="286"/>
    <x v="29"/>
    <x v="0"/>
    <n v="3"/>
    <n v="129.99"/>
    <x v="1"/>
    <n v="129.99"/>
    <n v="389.97"/>
    <x v="1"/>
    <x v="0"/>
    <x v="0"/>
    <x v="12"/>
    <s v="Región de Murcia"/>
    <x v="1"/>
    <m/>
    <n v="389.97"/>
    <n v="0"/>
  </r>
  <r>
    <s v="ORD-100884"/>
    <x v="509"/>
    <x v="19"/>
    <x v="0"/>
    <n v="3"/>
    <n v="1199.99"/>
    <x v="2"/>
    <n v="1139.99"/>
    <n v="3419.97"/>
    <x v="4"/>
    <x v="2"/>
    <x v="3"/>
    <x v="7"/>
    <s v="Castilla y León"/>
    <x v="1"/>
    <m/>
    <n v="3599.9700000000003"/>
    <n v="180.00000000000045"/>
  </r>
  <r>
    <s v="ORD-100885"/>
    <x v="55"/>
    <x v="26"/>
    <x v="1"/>
    <n v="1"/>
    <n v="599.99"/>
    <x v="1"/>
    <n v="599.99"/>
    <n v="599.99"/>
    <x v="0"/>
    <x v="2"/>
    <x v="0"/>
    <x v="3"/>
    <s v="Comunidad de Madrid"/>
    <x v="2"/>
    <n v="5"/>
    <n v="599.99"/>
    <n v="0"/>
  </r>
  <r>
    <s v="ORD-100886"/>
    <x v="266"/>
    <x v="24"/>
    <x v="3"/>
    <n v="4"/>
    <n v="89.99"/>
    <x v="3"/>
    <n v="80.989999999999995"/>
    <n v="323.95999999999998"/>
    <x v="0"/>
    <x v="2"/>
    <x v="3"/>
    <x v="9"/>
    <s v="Asturias"/>
    <x v="1"/>
    <n v="5"/>
    <n v="359.96"/>
    <n v="36"/>
  </r>
  <r>
    <s v="ORD-100887"/>
    <x v="56"/>
    <x v="26"/>
    <x v="1"/>
    <n v="4"/>
    <n v="599.99"/>
    <x v="1"/>
    <n v="599.99"/>
    <n v="2399.96"/>
    <x v="0"/>
    <x v="2"/>
    <x v="0"/>
    <x v="4"/>
    <s v="Castilla y León"/>
    <x v="1"/>
    <n v="3"/>
    <n v="2399.96"/>
    <n v="0"/>
  </r>
  <r>
    <s v="ORD-100888"/>
    <x v="89"/>
    <x v="16"/>
    <x v="1"/>
    <n v="3"/>
    <n v="79.989999999999995"/>
    <x v="1"/>
    <n v="79.989999999999995"/>
    <n v="239.97"/>
    <x v="1"/>
    <x v="0"/>
    <x v="0"/>
    <x v="3"/>
    <s v="Comunidad de Madrid"/>
    <x v="2"/>
    <m/>
    <n v="239.96999999999997"/>
    <n v="0"/>
  </r>
  <r>
    <s v="ORD-100889"/>
    <x v="296"/>
    <x v="27"/>
    <x v="1"/>
    <n v="2"/>
    <n v="49.99"/>
    <x v="0"/>
    <n v="42.49"/>
    <n v="84.98"/>
    <x v="0"/>
    <x v="3"/>
    <x v="2"/>
    <x v="6"/>
    <s v="Comunitat Valenciana"/>
    <x v="0"/>
    <n v="2"/>
    <n v="99.98"/>
    <n v="15"/>
  </r>
  <r>
    <s v="ORD-100890"/>
    <x v="510"/>
    <x v="28"/>
    <x v="0"/>
    <n v="1"/>
    <n v="499.99"/>
    <x v="1"/>
    <n v="499.99"/>
    <n v="499.99"/>
    <x v="4"/>
    <x v="0"/>
    <x v="0"/>
    <x v="1"/>
    <s v="Comunitat Valenciana"/>
    <x v="1"/>
    <m/>
    <n v="499.99"/>
    <n v="0"/>
  </r>
  <r>
    <s v="ORD-100891"/>
    <x v="511"/>
    <x v="21"/>
    <x v="0"/>
    <n v="5"/>
    <n v="799.99"/>
    <x v="0"/>
    <n v="679.99"/>
    <n v="3399.95"/>
    <x v="0"/>
    <x v="3"/>
    <x v="0"/>
    <x v="14"/>
    <s v="Aragón"/>
    <x v="0"/>
    <n v="4"/>
    <n v="3999.95"/>
    <n v="600"/>
  </r>
  <r>
    <s v="ORD-100892"/>
    <x v="26"/>
    <x v="29"/>
    <x v="0"/>
    <n v="5"/>
    <n v="129.99"/>
    <x v="1"/>
    <n v="129.99"/>
    <n v="649.95000000000005"/>
    <x v="0"/>
    <x v="0"/>
    <x v="3"/>
    <x v="3"/>
    <s v="Comunidad de Madrid"/>
    <x v="2"/>
    <n v="2"/>
    <n v="649.95000000000005"/>
    <n v="0"/>
  </r>
  <r>
    <s v="ORD-100893"/>
    <x v="512"/>
    <x v="22"/>
    <x v="4"/>
    <n v="3"/>
    <n v="44.99"/>
    <x v="1"/>
    <n v="44.99"/>
    <n v="134.97"/>
    <x v="0"/>
    <x v="1"/>
    <x v="3"/>
    <x v="10"/>
    <s v="Cantabria"/>
    <x v="1"/>
    <n v="3"/>
    <n v="134.97"/>
    <n v="0"/>
  </r>
  <r>
    <s v="ORD-100894"/>
    <x v="366"/>
    <x v="23"/>
    <x v="4"/>
    <n v="3"/>
    <n v="24.99"/>
    <x v="4"/>
    <n v="19.989999999999998"/>
    <n v="59.97"/>
    <x v="4"/>
    <x v="1"/>
    <x v="1"/>
    <x v="1"/>
    <s v="Comunitat Valenciana"/>
    <x v="1"/>
    <m/>
    <n v="74.97"/>
    <n v="15"/>
  </r>
  <r>
    <s v="ORD-100895"/>
    <x v="43"/>
    <x v="24"/>
    <x v="3"/>
    <n v="1"/>
    <n v="89.99"/>
    <x v="0"/>
    <n v="76.489999999999995"/>
    <n v="76.489999999999995"/>
    <x v="0"/>
    <x v="0"/>
    <x v="3"/>
    <x v="3"/>
    <s v="Comunidad de Madrid"/>
    <x v="2"/>
    <n v="3"/>
    <n v="89.99"/>
    <n v="13.5"/>
  </r>
  <r>
    <s v="ORD-100896"/>
    <x v="513"/>
    <x v="20"/>
    <x v="3"/>
    <n v="5"/>
    <n v="39.99"/>
    <x v="4"/>
    <n v="31.99"/>
    <n v="159.94999999999999"/>
    <x v="0"/>
    <x v="0"/>
    <x v="0"/>
    <x v="14"/>
    <s v="Aragón"/>
    <x v="0"/>
    <n v="2"/>
    <n v="199.95000000000002"/>
    <n v="40.000000000000028"/>
  </r>
  <r>
    <s v="ORD-100897"/>
    <x v="125"/>
    <x v="14"/>
    <x v="1"/>
    <n v="2"/>
    <n v="249.99"/>
    <x v="4"/>
    <n v="199.99"/>
    <n v="399.98"/>
    <x v="3"/>
    <x v="0"/>
    <x v="0"/>
    <x v="5"/>
    <s v="País Vasco"/>
    <x v="0"/>
    <m/>
    <n v="499.98"/>
    <n v="100"/>
  </r>
  <r>
    <s v="ORD-100898"/>
    <x v="206"/>
    <x v="12"/>
    <x v="2"/>
    <n v="1"/>
    <n v="189.99"/>
    <x v="3"/>
    <n v="170.99"/>
    <n v="170.99"/>
    <x v="0"/>
    <x v="0"/>
    <x v="1"/>
    <x v="12"/>
    <s v="Región de Murcia"/>
    <x v="1"/>
    <n v="1"/>
    <n v="189.99"/>
    <n v="19"/>
  </r>
  <r>
    <s v="ORD-100899"/>
    <x v="514"/>
    <x v="15"/>
    <x v="3"/>
    <n v="4"/>
    <n v="69.989999999999995"/>
    <x v="1"/>
    <n v="69.989999999999995"/>
    <n v="279.95999999999998"/>
    <x v="1"/>
    <x v="0"/>
    <x v="3"/>
    <x v="13"/>
    <s v="Andalucía"/>
    <x v="0"/>
    <m/>
    <n v="279.95999999999998"/>
    <n v="0"/>
  </r>
  <r>
    <s v="ORD-100900"/>
    <x v="91"/>
    <x v="15"/>
    <x v="3"/>
    <n v="3"/>
    <n v="69.989999999999995"/>
    <x v="1"/>
    <n v="69.989999999999995"/>
    <n v="209.97"/>
    <x v="4"/>
    <x v="1"/>
    <x v="0"/>
    <x v="8"/>
    <s v="La Rioja"/>
    <x v="1"/>
    <m/>
    <n v="209.96999999999997"/>
    <n v="0"/>
  </r>
  <r>
    <s v="ORD-100901"/>
    <x v="478"/>
    <x v="10"/>
    <x v="2"/>
    <n v="4"/>
    <n v="69.989999999999995"/>
    <x v="4"/>
    <n v="55.99"/>
    <n v="223.96"/>
    <x v="0"/>
    <x v="2"/>
    <x v="4"/>
    <x v="6"/>
    <s v="Comunitat Valenciana"/>
    <x v="0"/>
    <n v="4"/>
    <n v="279.95999999999998"/>
    <n v="55.999999999999972"/>
  </r>
  <r>
    <s v="ORD-100902"/>
    <x v="515"/>
    <x v="11"/>
    <x v="0"/>
    <n v="5"/>
    <n v="349.99"/>
    <x v="3"/>
    <n v="314.99"/>
    <n v="1574.95"/>
    <x v="0"/>
    <x v="0"/>
    <x v="4"/>
    <x v="0"/>
    <s v="Andalucía"/>
    <x v="0"/>
    <n v="5"/>
    <n v="1749.95"/>
    <n v="175"/>
  </r>
  <r>
    <s v="ORD-100903"/>
    <x v="328"/>
    <x v="6"/>
    <x v="0"/>
    <n v="5"/>
    <n v="89.99"/>
    <x v="4"/>
    <n v="71.989999999999995"/>
    <n v="359.95"/>
    <x v="0"/>
    <x v="0"/>
    <x v="4"/>
    <x v="3"/>
    <s v="Comunidad de Madrid"/>
    <x v="2"/>
    <n v="4"/>
    <n v="449.95"/>
    <n v="90"/>
  </r>
  <r>
    <s v="ORD-100904"/>
    <x v="320"/>
    <x v="5"/>
    <x v="1"/>
    <n v="4"/>
    <n v="149.99"/>
    <x v="0"/>
    <n v="127.49"/>
    <n v="509.96"/>
    <x v="0"/>
    <x v="0"/>
    <x v="0"/>
    <x v="4"/>
    <s v="Castilla y León"/>
    <x v="1"/>
    <n v="4"/>
    <n v="599.96"/>
    <n v="90.000000000000057"/>
  </r>
  <r>
    <s v="ORD-100905"/>
    <x v="216"/>
    <x v="5"/>
    <x v="1"/>
    <n v="4"/>
    <n v="149.99"/>
    <x v="1"/>
    <n v="149.99"/>
    <n v="599.96"/>
    <x v="2"/>
    <x v="2"/>
    <x v="0"/>
    <x v="5"/>
    <s v="País Vasco"/>
    <x v="0"/>
    <m/>
    <n v="599.96"/>
    <n v="0"/>
  </r>
  <r>
    <s v="ORD-100906"/>
    <x v="427"/>
    <x v="10"/>
    <x v="2"/>
    <n v="4"/>
    <n v="69.989999999999995"/>
    <x v="1"/>
    <n v="69.989999999999995"/>
    <n v="279.95999999999998"/>
    <x v="0"/>
    <x v="0"/>
    <x v="0"/>
    <x v="3"/>
    <s v="Comunidad de Madrid"/>
    <x v="2"/>
    <n v="4"/>
    <n v="279.95999999999998"/>
    <n v="0"/>
  </r>
  <r>
    <s v="ORD-100907"/>
    <x v="100"/>
    <x v="9"/>
    <x v="2"/>
    <n v="3"/>
    <n v="29.99"/>
    <x v="2"/>
    <n v="28.49"/>
    <n v="85.47"/>
    <x v="0"/>
    <x v="1"/>
    <x v="0"/>
    <x v="4"/>
    <s v="Castilla y León"/>
    <x v="1"/>
    <n v="1"/>
    <n v="89.97"/>
    <n v="4.5"/>
  </r>
  <r>
    <s v="ORD-100908"/>
    <x v="42"/>
    <x v="16"/>
    <x v="1"/>
    <n v="1"/>
    <n v="79.989999999999995"/>
    <x v="3"/>
    <n v="71.989999999999995"/>
    <n v="71.989999999999995"/>
    <x v="1"/>
    <x v="1"/>
    <x v="3"/>
    <x v="1"/>
    <s v="Comunitat Valenciana"/>
    <x v="1"/>
    <m/>
    <n v="79.989999999999995"/>
    <n v="8"/>
  </r>
  <r>
    <s v="ORD-100909"/>
    <x v="403"/>
    <x v="9"/>
    <x v="2"/>
    <n v="4"/>
    <n v="29.99"/>
    <x v="0"/>
    <n v="25.49"/>
    <n v="101.96"/>
    <x v="2"/>
    <x v="1"/>
    <x v="3"/>
    <x v="14"/>
    <s v="Aragón"/>
    <x v="0"/>
    <m/>
    <n v="119.96"/>
    <n v="18"/>
  </r>
  <r>
    <s v="ORD-100910"/>
    <x v="473"/>
    <x v="29"/>
    <x v="0"/>
    <n v="5"/>
    <n v="129.99"/>
    <x v="1"/>
    <n v="129.99"/>
    <n v="649.95000000000005"/>
    <x v="0"/>
    <x v="2"/>
    <x v="0"/>
    <x v="12"/>
    <s v="Región de Murcia"/>
    <x v="1"/>
    <n v="2"/>
    <n v="649.95000000000005"/>
    <n v="0"/>
  </r>
  <r>
    <s v="ORD-100911"/>
    <x v="516"/>
    <x v="7"/>
    <x v="3"/>
    <n v="3"/>
    <n v="19.989999999999998"/>
    <x v="2"/>
    <n v="18.989999999999998"/>
    <n v="56.97"/>
    <x v="1"/>
    <x v="0"/>
    <x v="0"/>
    <x v="14"/>
    <s v="Aragón"/>
    <x v="0"/>
    <m/>
    <n v="59.97"/>
    <n v="3"/>
  </r>
  <r>
    <s v="ORD-100912"/>
    <x v="0"/>
    <x v="22"/>
    <x v="4"/>
    <n v="1"/>
    <n v="44.99"/>
    <x v="3"/>
    <n v="40.49"/>
    <n v="40.49"/>
    <x v="0"/>
    <x v="0"/>
    <x v="0"/>
    <x v="9"/>
    <s v="Asturias"/>
    <x v="1"/>
    <n v="2"/>
    <n v="44.99"/>
    <n v="4.5"/>
  </r>
  <r>
    <s v="ORD-100913"/>
    <x v="285"/>
    <x v="24"/>
    <x v="3"/>
    <n v="3"/>
    <n v="89.99"/>
    <x v="4"/>
    <n v="71.989999999999995"/>
    <n v="215.97"/>
    <x v="2"/>
    <x v="0"/>
    <x v="1"/>
    <x v="2"/>
    <s v="Navarra"/>
    <x v="1"/>
    <m/>
    <n v="269.96999999999997"/>
    <n v="53.999999999999972"/>
  </r>
  <r>
    <s v="ORD-100914"/>
    <x v="517"/>
    <x v="15"/>
    <x v="3"/>
    <n v="1"/>
    <n v="69.989999999999995"/>
    <x v="3"/>
    <n v="62.99"/>
    <n v="62.99"/>
    <x v="0"/>
    <x v="0"/>
    <x v="0"/>
    <x v="8"/>
    <s v="La Rioja"/>
    <x v="1"/>
    <n v="3"/>
    <n v="69.989999999999995"/>
    <n v="6.9999999999999929"/>
  </r>
  <r>
    <s v="ORD-100915"/>
    <x v="331"/>
    <x v="18"/>
    <x v="2"/>
    <n v="4"/>
    <n v="99.99"/>
    <x v="2"/>
    <n v="94.99"/>
    <n v="379.96"/>
    <x v="0"/>
    <x v="0"/>
    <x v="0"/>
    <x v="4"/>
    <s v="Castilla y León"/>
    <x v="1"/>
    <n v="5"/>
    <n v="399.96"/>
    <n v="20"/>
  </r>
  <r>
    <s v="ORD-100916"/>
    <x v="365"/>
    <x v="25"/>
    <x v="4"/>
    <n v="2"/>
    <n v="34.99"/>
    <x v="4"/>
    <n v="27.99"/>
    <n v="55.98"/>
    <x v="2"/>
    <x v="1"/>
    <x v="4"/>
    <x v="1"/>
    <s v="Comunitat Valenciana"/>
    <x v="1"/>
    <m/>
    <n v="69.98"/>
    <n v="14.000000000000007"/>
  </r>
  <r>
    <s v="ORD-100917"/>
    <x v="450"/>
    <x v="2"/>
    <x v="2"/>
    <n v="5"/>
    <n v="299.99"/>
    <x v="0"/>
    <n v="254.99"/>
    <n v="1274.95"/>
    <x v="1"/>
    <x v="0"/>
    <x v="4"/>
    <x v="11"/>
    <s v="Cataluña"/>
    <x v="2"/>
    <m/>
    <n v="1499.95"/>
    <n v="225"/>
  </r>
  <r>
    <s v="ORD-100918"/>
    <x v="295"/>
    <x v="25"/>
    <x v="4"/>
    <n v="2"/>
    <n v="34.99"/>
    <x v="1"/>
    <n v="34.99"/>
    <n v="69.98"/>
    <x v="0"/>
    <x v="1"/>
    <x v="0"/>
    <x v="5"/>
    <s v="País Vasco"/>
    <x v="0"/>
    <n v="4"/>
    <n v="69.98"/>
    <n v="0"/>
  </r>
  <r>
    <s v="ORD-100919"/>
    <x v="150"/>
    <x v="14"/>
    <x v="1"/>
    <n v="3"/>
    <n v="249.99"/>
    <x v="1"/>
    <n v="249.99"/>
    <n v="749.97"/>
    <x v="1"/>
    <x v="1"/>
    <x v="0"/>
    <x v="3"/>
    <s v="Comunidad de Madrid"/>
    <x v="2"/>
    <m/>
    <n v="749.97"/>
    <n v="0"/>
  </r>
  <r>
    <s v="ORD-100920"/>
    <x v="212"/>
    <x v="4"/>
    <x v="4"/>
    <n v="2"/>
    <n v="349.99"/>
    <x v="0"/>
    <n v="297.49"/>
    <n v="594.98"/>
    <x v="0"/>
    <x v="0"/>
    <x v="4"/>
    <x v="6"/>
    <s v="Comunitat Valenciana"/>
    <x v="0"/>
    <n v="4"/>
    <n v="699.98"/>
    <n v="105"/>
  </r>
  <r>
    <s v="ORD-100921"/>
    <x v="316"/>
    <x v="18"/>
    <x v="2"/>
    <n v="1"/>
    <n v="99.99"/>
    <x v="1"/>
    <n v="99.99"/>
    <n v="99.99"/>
    <x v="0"/>
    <x v="2"/>
    <x v="0"/>
    <x v="12"/>
    <s v="Región de Murcia"/>
    <x v="1"/>
    <n v="1"/>
    <n v="99.99"/>
    <n v="0"/>
  </r>
  <r>
    <s v="ORD-100922"/>
    <x v="518"/>
    <x v="8"/>
    <x v="2"/>
    <n v="5"/>
    <n v="59.99"/>
    <x v="3"/>
    <n v="53.99"/>
    <n v="269.95"/>
    <x v="0"/>
    <x v="2"/>
    <x v="0"/>
    <x v="11"/>
    <s v="Cataluña"/>
    <x v="2"/>
    <n v="3"/>
    <n v="299.95"/>
    <n v="30"/>
  </r>
  <r>
    <s v="ORD-100923"/>
    <x v="208"/>
    <x v="19"/>
    <x v="0"/>
    <n v="1"/>
    <n v="1199.99"/>
    <x v="4"/>
    <n v="959.99"/>
    <n v="959.99"/>
    <x v="0"/>
    <x v="0"/>
    <x v="4"/>
    <x v="1"/>
    <s v="Comunitat Valenciana"/>
    <x v="1"/>
    <n v="2"/>
    <n v="1199.99"/>
    <n v="240"/>
  </r>
  <r>
    <s v="ORD-100924"/>
    <x v="519"/>
    <x v="15"/>
    <x v="3"/>
    <n v="1"/>
    <n v="69.989999999999995"/>
    <x v="1"/>
    <n v="69.989999999999995"/>
    <n v="69.989999999999995"/>
    <x v="0"/>
    <x v="2"/>
    <x v="4"/>
    <x v="10"/>
    <s v="Cantabria"/>
    <x v="1"/>
    <n v="3"/>
    <n v="69.989999999999995"/>
    <n v="0"/>
  </r>
  <r>
    <s v="ORD-100925"/>
    <x v="520"/>
    <x v="29"/>
    <x v="0"/>
    <n v="5"/>
    <n v="129.99"/>
    <x v="4"/>
    <n v="103.99"/>
    <n v="519.95000000000005"/>
    <x v="1"/>
    <x v="1"/>
    <x v="0"/>
    <x v="0"/>
    <s v="Andalucía"/>
    <x v="0"/>
    <m/>
    <n v="649.95000000000005"/>
    <n v="130"/>
  </r>
  <r>
    <s v="ORD-100926"/>
    <x v="521"/>
    <x v="18"/>
    <x v="2"/>
    <n v="1"/>
    <n v="99.99"/>
    <x v="3"/>
    <n v="89.99"/>
    <n v="89.99"/>
    <x v="0"/>
    <x v="3"/>
    <x v="0"/>
    <x v="0"/>
    <s v="Andalucía"/>
    <x v="0"/>
    <n v="5"/>
    <n v="99.99"/>
    <n v="10"/>
  </r>
  <r>
    <s v="ORD-100927"/>
    <x v="522"/>
    <x v="10"/>
    <x v="2"/>
    <n v="1"/>
    <n v="69.989999999999995"/>
    <x v="1"/>
    <n v="69.989999999999995"/>
    <n v="69.989999999999995"/>
    <x v="3"/>
    <x v="1"/>
    <x v="3"/>
    <x v="8"/>
    <s v="La Rioja"/>
    <x v="1"/>
    <m/>
    <n v="69.989999999999995"/>
    <n v="0"/>
  </r>
  <r>
    <s v="ORD-100928"/>
    <x v="344"/>
    <x v="29"/>
    <x v="0"/>
    <n v="4"/>
    <n v="129.99"/>
    <x v="0"/>
    <n v="110.49"/>
    <n v="441.96"/>
    <x v="3"/>
    <x v="2"/>
    <x v="4"/>
    <x v="6"/>
    <s v="Comunitat Valenciana"/>
    <x v="0"/>
    <m/>
    <n v="519.96"/>
    <n v="78.000000000000057"/>
  </r>
  <r>
    <s v="ORD-100929"/>
    <x v="523"/>
    <x v="21"/>
    <x v="0"/>
    <n v="5"/>
    <n v="799.99"/>
    <x v="1"/>
    <n v="799.99"/>
    <n v="3999.95"/>
    <x v="0"/>
    <x v="3"/>
    <x v="0"/>
    <x v="2"/>
    <s v="Navarra"/>
    <x v="1"/>
    <n v="1"/>
    <n v="3999.95"/>
    <n v="0"/>
  </r>
  <r>
    <s v="ORD-100930"/>
    <x v="422"/>
    <x v="11"/>
    <x v="0"/>
    <n v="4"/>
    <n v="349.99"/>
    <x v="4"/>
    <n v="279.99"/>
    <n v="1119.96"/>
    <x v="0"/>
    <x v="1"/>
    <x v="0"/>
    <x v="5"/>
    <s v="País Vasco"/>
    <x v="0"/>
    <n v="3"/>
    <n v="1399.96"/>
    <n v="280"/>
  </r>
  <r>
    <s v="ORD-100931"/>
    <x v="383"/>
    <x v="0"/>
    <x v="0"/>
    <n v="4"/>
    <n v="45.99"/>
    <x v="1"/>
    <n v="45.99"/>
    <n v="183.96"/>
    <x v="0"/>
    <x v="0"/>
    <x v="4"/>
    <x v="10"/>
    <s v="Cantabria"/>
    <x v="1"/>
    <n v="4"/>
    <n v="183.96"/>
    <n v="0"/>
  </r>
  <r>
    <s v="ORD-100932"/>
    <x v="524"/>
    <x v="5"/>
    <x v="1"/>
    <n v="4"/>
    <n v="149.99"/>
    <x v="1"/>
    <n v="149.99"/>
    <n v="599.96"/>
    <x v="4"/>
    <x v="0"/>
    <x v="0"/>
    <x v="13"/>
    <s v="Andalucía"/>
    <x v="0"/>
    <m/>
    <n v="599.96"/>
    <n v="0"/>
  </r>
  <r>
    <s v="ORD-100933"/>
    <x v="287"/>
    <x v="12"/>
    <x v="2"/>
    <n v="3"/>
    <n v="189.99"/>
    <x v="1"/>
    <n v="189.99"/>
    <n v="569.97"/>
    <x v="0"/>
    <x v="1"/>
    <x v="0"/>
    <x v="9"/>
    <s v="Asturias"/>
    <x v="1"/>
    <n v="4"/>
    <n v="569.97"/>
    <n v="0"/>
  </r>
  <r>
    <s v="ORD-100934"/>
    <x v="94"/>
    <x v="12"/>
    <x v="2"/>
    <n v="1"/>
    <n v="189.99"/>
    <x v="1"/>
    <n v="189.99"/>
    <n v="189.99"/>
    <x v="0"/>
    <x v="1"/>
    <x v="4"/>
    <x v="13"/>
    <s v="Andalucía"/>
    <x v="0"/>
    <n v="2"/>
    <n v="189.99"/>
    <n v="0"/>
  </r>
  <r>
    <s v="ORD-100935"/>
    <x v="92"/>
    <x v="15"/>
    <x v="3"/>
    <n v="2"/>
    <n v="69.989999999999995"/>
    <x v="1"/>
    <n v="69.989999999999995"/>
    <n v="139.97999999999999"/>
    <x v="0"/>
    <x v="3"/>
    <x v="0"/>
    <x v="8"/>
    <s v="La Rioja"/>
    <x v="1"/>
    <n v="4"/>
    <n v="139.97999999999999"/>
    <n v="0"/>
  </r>
  <r>
    <s v="ORD-100936"/>
    <x v="525"/>
    <x v="7"/>
    <x v="3"/>
    <n v="5"/>
    <n v="19.989999999999998"/>
    <x v="3"/>
    <n v="17.989999999999998"/>
    <n v="89.95"/>
    <x v="0"/>
    <x v="2"/>
    <x v="4"/>
    <x v="2"/>
    <s v="Navarra"/>
    <x v="1"/>
    <n v="3"/>
    <n v="99.949999999999989"/>
    <n v="9.9999999999999858"/>
  </r>
  <r>
    <s v="ORD-100937"/>
    <x v="287"/>
    <x v="12"/>
    <x v="2"/>
    <n v="5"/>
    <n v="189.99"/>
    <x v="2"/>
    <n v="180.49"/>
    <n v="902.45"/>
    <x v="4"/>
    <x v="0"/>
    <x v="1"/>
    <x v="7"/>
    <s v="Castilla y León"/>
    <x v="1"/>
    <m/>
    <n v="949.95"/>
    <n v="47.5"/>
  </r>
  <r>
    <s v="ORD-100938"/>
    <x v="77"/>
    <x v="0"/>
    <x v="0"/>
    <n v="3"/>
    <n v="45.99"/>
    <x v="2"/>
    <n v="43.69"/>
    <n v="131.07"/>
    <x v="0"/>
    <x v="2"/>
    <x v="0"/>
    <x v="9"/>
    <s v="Asturias"/>
    <x v="1"/>
    <n v="1"/>
    <n v="137.97"/>
    <n v="6.9000000000000057"/>
  </r>
  <r>
    <s v="ORD-100939"/>
    <x v="526"/>
    <x v="16"/>
    <x v="1"/>
    <n v="1"/>
    <n v="79.989999999999995"/>
    <x v="1"/>
    <n v="79.989999999999995"/>
    <n v="79.989999999999995"/>
    <x v="0"/>
    <x v="0"/>
    <x v="0"/>
    <x v="9"/>
    <s v="Asturias"/>
    <x v="1"/>
    <n v="5"/>
    <n v="79.989999999999995"/>
    <n v="0"/>
  </r>
  <r>
    <s v="ORD-100940"/>
    <x v="419"/>
    <x v="18"/>
    <x v="2"/>
    <n v="1"/>
    <n v="99.99"/>
    <x v="0"/>
    <n v="84.99"/>
    <n v="84.99"/>
    <x v="1"/>
    <x v="1"/>
    <x v="3"/>
    <x v="2"/>
    <s v="Navarra"/>
    <x v="1"/>
    <m/>
    <n v="99.99"/>
    <n v="15"/>
  </r>
  <r>
    <s v="ORD-100941"/>
    <x v="123"/>
    <x v="12"/>
    <x v="2"/>
    <n v="4"/>
    <n v="189.99"/>
    <x v="2"/>
    <n v="180.49"/>
    <n v="721.96"/>
    <x v="0"/>
    <x v="0"/>
    <x v="2"/>
    <x v="7"/>
    <s v="Castilla y León"/>
    <x v="1"/>
    <n v="5"/>
    <n v="759.96"/>
    <n v="38"/>
  </r>
  <r>
    <s v="ORD-100942"/>
    <x v="464"/>
    <x v="18"/>
    <x v="2"/>
    <n v="1"/>
    <n v="99.99"/>
    <x v="2"/>
    <n v="94.99"/>
    <n v="94.99"/>
    <x v="2"/>
    <x v="0"/>
    <x v="0"/>
    <x v="11"/>
    <s v="Cataluña"/>
    <x v="2"/>
    <m/>
    <n v="99.99"/>
    <n v="5"/>
  </r>
  <r>
    <s v="ORD-100943"/>
    <x v="527"/>
    <x v="26"/>
    <x v="1"/>
    <n v="4"/>
    <n v="599.99"/>
    <x v="1"/>
    <n v="599.99"/>
    <n v="2399.96"/>
    <x v="0"/>
    <x v="1"/>
    <x v="1"/>
    <x v="7"/>
    <s v="Castilla y León"/>
    <x v="1"/>
    <n v="2"/>
    <n v="2399.96"/>
    <n v="0"/>
  </r>
  <r>
    <s v="ORD-100944"/>
    <x v="389"/>
    <x v="3"/>
    <x v="3"/>
    <n v="2"/>
    <n v="34.99"/>
    <x v="1"/>
    <n v="34.99"/>
    <n v="69.98"/>
    <x v="1"/>
    <x v="2"/>
    <x v="3"/>
    <x v="12"/>
    <s v="Región de Murcia"/>
    <x v="1"/>
    <m/>
    <n v="69.98"/>
    <n v="0"/>
  </r>
  <r>
    <s v="ORD-100945"/>
    <x v="528"/>
    <x v="12"/>
    <x v="2"/>
    <n v="5"/>
    <n v="189.99"/>
    <x v="0"/>
    <n v="161.49"/>
    <n v="807.45"/>
    <x v="0"/>
    <x v="1"/>
    <x v="2"/>
    <x v="12"/>
    <s v="Región de Murcia"/>
    <x v="1"/>
    <n v="5"/>
    <n v="949.95"/>
    <n v="142.5"/>
  </r>
  <r>
    <s v="ORD-100946"/>
    <x v="336"/>
    <x v="20"/>
    <x v="3"/>
    <n v="3"/>
    <n v="39.99"/>
    <x v="2"/>
    <n v="37.99"/>
    <n v="113.97"/>
    <x v="0"/>
    <x v="1"/>
    <x v="3"/>
    <x v="13"/>
    <s v="Andalucía"/>
    <x v="0"/>
    <n v="3"/>
    <n v="119.97"/>
    <n v="6"/>
  </r>
  <r>
    <s v="ORD-100947"/>
    <x v="529"/>
    <x v="17"/>
    <x v="0"/>
    <n v="1"/>
    <n v="899.99"/>
    <x v="3"/>
    <n v="809.99"/>
    <n v="809.99"/>
    <x v="0"/>
    <x v="0"/>
    <x v="2"/>
    <x v="8"/>
    <s v="La Rioja"/>
    <x v="1"/>
    <n v="5"/>
    <n v="899.99"/>
    <n v="90"/>
  </r>
  <r>
    <s v="ORD-100948"/>
    <x v="493"/>
    <x v="18"/>
    <x v="2"/>
    <n v="3"/>
    <n v="99.99"/>
    <x v="2"/>
    <n v="94.99"/>
    <n v="284.97000000000003"/>
    <x v="0"/>
    <x v="3"/>
    <x v="3"/>
    <x v="14"/>
    <s v="Aragón"/>
    <x v="0"/>
    <n v="1"/>
    <n v="299.96999999999997"/>
    <n v="14.999999999999943"/>
  </r>
  <r>
    <s v="ORD-100949"/>
    <x v="248"/>
    <x v="28"/>
    <x v="0"/>
    <n v="2"/>
    <n v="499.99"/>
    <x v="1"/>
    <n v="499.99"/>
    <n v="999.98"/>
    <x v="1"/>
    <x v="0"/>
    <x v="1"/>
    <x v="1"/>
    <s v="Comunitat Valenciana"/>
    <x v="1"/>
    <m/>
    <n v="999.98"/>
    <n v="0"/>
  </r>
  <r>
    <s v="ORD-100950"/>
    <x v="530"/>
    <x v="0"/>
    <x v="0"/>
    <n v="3"/>
    <n v="45.99"/>
    <x v="1"/>
    <n v="45.99"/>
    <n v="137.97"/>
    <x v="0"/>
    <x v="0"/>
    <x v="1"/>
    <x v="14"/>
    <s v="Aragón"/>
    <x v="0"/>
    <n v="4"/>
    <n v="137.97"/>
    <n v="0"/>
  </r>
  <r>
    <s v="ORD-100951"/>
    <x v="491"/>
    <x v="14"/>
    <x v="1"/>
    <n v="4"/>
    <n v="249.99"/>
    <x v="1"/>
    <n v="249.99"/>
    <n v="999.96"/>
    <x v="0"/>
    <x v="1"/>
    <x v="4"/>
    <x v="12"/>
    <s v="Región de Murcia"/>
    <x v="1"/>
    <n v="4"/>
    <n v="999.96"/>
    <n v="0"/>
  </r>
  <r>
    <s v="ORD-100952"/>
    <x v="184"/>
    <x v="20"/>
    <x v="3"/>
    <n v="3"/>
    <n v="39.99"/>
    <x v="3"/>
    <n v="35.99"/>
    <n v="107.97"/>
    <x v="0"/>
    <x v="0"/>
    <x v="1"/>
    <x v="12"/>
    <s v="Región de Murcia"/>
    <x v="1"/>
    <n v="3"/>
    <n v="119.97"/>
    <n v="12"/>
  </r>
  <r>
    <s v="ORD-100953"/>
    <x v="128"/>
    <x v="14"/>
    <x v="1"/>
    <n v="3"/>
    <n v="249.99"/>
    <x v="1"/>
    <n v="249.99"/>
    <n v="749.97"/>
    <x v="1"/>
    <x v="3"/>
    <x v="0"/>
    <x v="14"/>
    <s v="Aragón"/>
    <x v="0"/>
    <m/>
    <n v="749.97"/>
    <n v="0"/>
  </r>
  <r>
    <s v="ORD-100954"/>
    <x v="531"/>
    <x v="4"/>
    <x v="4"/>
    <n v="1"/>
    <n v="349.99"/>
    <x v="4"/>
    <n v="279.99"/>
    <n v="279.99"/>
    <x v="2"/>
    <x v="0"/>
    <x v="0"/>
    <x v="0"/>
    <s v="Andalucía"/>
    <x v="0"/>
    <m/>
    <n v="349.99"/>
    <n v="70"/>
  </r>
  <r>
    <s v="ORD-100955"/>
    <x v="204"/>
    <x v="20"/>
    <x v="3"/>
    <n v="2"/>
    <n v="39.99"/>
    <x v="3"/>
    <n v="35.99"/>
    <n v="71.98"/>
    <x v="1"/>
    <x v="1"/>
    <x v="3"/>
    <x v="11"/>
    <s v="Cataluña"/>
    <x v="2"/>
    <m/>
    <n v="79.98"/>
    <n v="8"/>
  </r>
  <r>
    <s v="ORD-100956"/>
    <x v="282"/>
    <x v="24"/>
    <x v="3"/>
    <n v="3"/>
    <n v="89.99"/>
    <x v="1"/>
    <n v="89.99"/>
    <n v="269.97000000000003"/>
    <x v="0"/>
    <x v="1"/>
    <x v="0"/>
    <x v="7"/>
    <s v="Castilla y León"/>
    <x v="1"/>
    <n v="1"/>
    <n v="269.96999999999997"/>
    <n v="0"/>
  </r>
  <r>
    <s v="ORD-100957"/>
    <x v="369"/>
    <x v="25"/>
    <x v="4"/>
    <n v="3"/>
    <n v="34.99"/>
    <x v="3"/>
    <n v="31.49"/>
    <n v="94.47"/>
    <x v="2"/>
    <x v="1"/>
    <x v="0"/>
    <x v="13"/>
    <s v="Andalucía"/>
    <x v="0"/>
    <m/>
    <n v="104.97"/>
    <n v="10.5"/>
  </r>
  <r>
    <s v="ORD-100958"/>
    <x v="515"/>
    <x v="20"/>
    <x v="3"/>
    <n v="3"/>
    <n v="39.99"/>
    <x v="3"/>
    <n v="35.99"/>
    <n v="107.97"/>
    <x v="0"/>
    <x v="2"/>
    <x v="0"/>
    <x v="9"/>
    <s v="Asturias"/>
    <x v="1"/>
    <n v="1"/>
    <n v="119.97"/>
    <n v="12"/>
  </r>
  <r>
    <s v="ORD-100959"/>
    <x v="509"/>
    <x v="2"/>
    <x v="2"/>
    <n v="5"/>
    <n v="299.99"/>
    <x v="4"/>
    <n v="239.99"/>
    <n v="1199.95"/>
    <x v="0"/>
    <x v="0"/>
    <x v="4"/>
    <x v="12"/>
    <s v="Región de Murcia"/>
    <x v="1"/>
    <n v="4"/>
    <n v="1499.95"/>
    <n v="300"/>
  </r>
  <r>
    <s v="ORD-100960"/>
    <x v="532"/>
    <x v="22"/>
    <x v="4"/>
    <n v="5"/>
    <n v="44.99"/>
    <x v="4"/>
    <n v="35.99"/>
    <n v="179.95"/>
    <x v="1"/>
    <x v="2"/>
    <x v="4"/>
    <x v="2"/>
    <s v="Navarra"/>
    <x v="1"/>
    <m/>
    <n v="224.95000000000002"/>
    <n v="45.000000000000028"/>
  </r>
  <r>
    <s v="ORD-100961"/>
    <x v="65"/>
    <x v="17"/>
    <x v="0"/>
    <n v="5"/>
    <n v="899.99"/>
    <x v="1"/>
    <n v="899.99"/>
    <n v="4499.95"/>
    <x v="0"/>
    <x v="0"/>
    <x v="1"/>
    <x v="6"/>
    <s v="Comunitat Valenciana"/>
    <x v="0"/>
    <n v="3"/>
    <n v="4499.95"/>
    <n v="0"/>
  </r>
  <r>
    <s v="ORD-100962"/>
    <x v="277"/>
    <x v="3"/>
    <x v="3"/>
    <n v="3"/>
    <n v="34.99"/>
    <x v="4"/>
    <n v="27.99"/>
    <n v="83.97"/>
    <x v="2"/>
    <x v="1"/>
    <x v="2"/>
    <x v="11"/>
    <s v="Cataluña"/>
    <x v="2"/>
    <m/>
    <n v="104.97"/>
    <n v="21"/>
  </r>
  <r>
    <s v="ORD-100963"/>
    <x v="8"/>
    <x v="25"/>
    <x v="4"/>
    <n v="3"/>
    <n v="34.99"/>
    <x v="0"/>
    <n v="29.74"/>
    <n v="89.22"/>
    <x v="0"/>
    <x v="1"/>
    <x v="3"/>
    <x v="9"/>
    <s v="Asturias"/>
    <x v="1"/>
    <n v="1"/>
    <n v="104.97"/>
    <n v="15.75"/>
  </r>
  <r>
    <s v="ORD-100964"/>
    <x v="176"/>
    <x v="21"/>
    <x v="0"/>
    <n v="1"/>
    <n v="799.99"/>
    <x v="1"/>
    <n v="799.99"/>
    <n v="799.99"/>
    <x v="1"/>
    <x v="1"/>
    <x v="3"/>
    <x v="5"/>
    <s v="País Vasco"/>
    <x v="0"/>
    <m/>
    <n v="799.99"/>
    <n v="0"/>
  </r>
  <r>
    <s v="ORD-100965"/>
    <x v="498"/>
    <x v="3"/>
    <x v="3"/>
    <n v="1"/>
    <n v="34.99"/>
    <x v="1"/>
    <n v="34.99"/>
    <n v="34.99"/>
    <x v="0"/>
    <x v="0"/>
    <x v="1"/>
    <x v="6"/>
    <s v="Comunitat Valenciana"/>
    <x v="0"/>
    <n v="3"/>
    <n v="34.99"/>
    <n v="0"/>
  </r>
  <r>
    <s v="ORD-100966"/>
    <x v="58"/>
    <x v="5"/>
    <x v="1"/>
    <n v="2"/>
    <n v="149.99"/>
    <x v="0"/>
    <n v="127.49"/>
    <n v="254.98"/>
    <x v="2"/>
    <x v="1"/>
    <x v="0"/>
    <x v="10"/>
    <s v="Cantabria"/>
    <x v="1"/>
    <m/>
    <n v="299.98"/>
    <n v="45.000000000000028"/>
  </r>
  <r>
    <s v="ORD-100967"/>
    <x v="71"/>
    <x v="24"/>
    <x v="3"/>
    <n v="5"/>
    <n v="89.99"/>
    <x v="1"/>
    <n v="89.99"/>
    <n v="449.95"/>
    <x v="2"/>
    <x v="3"/>
    <x v="2"/>
    <x v="4"/>
    <s v="Castilla y León"/>
    <x v="1"/>
    <m/>
    <n v="449.95"/>
    <n v="0"/>
  </r>
  <r>
    <s v="ORD-100968"/>
    <x v="23"/>
    <x v="12"/>
    <x v="2"/>
    <n v="1"/>
    <n v="189.99"/>
    <x v="2"/>
    <n v="180.49"/>
    <n v="180.49"/>
    <x v="3"/>
    <x v="2"/>
    <x v="0"/>
    <x v="10"/>
    <s v="Cantabria"/>
    <x v="1"/>
    <m/>
    <n v="189.99"/>
    <n v="9.5"/>
  </r>
  <r>
    <s v="ORD-100969"/>
    <x v="184"/>
    <x v="10"/>
    <x v="2"/>
    <n v="5"/>
    <n v="69.989999999999995"/>
    <x v="1"/>
    <n v="69.989999999999995"/>
    <n v="349.95"/>
    <x v="0"/>
    <x v="1"/>
    <x v="1"/>
    <x v="8"/>
    <s v="La Rioja"/>
    <x v="1"/>
    <n v="5"/>
    <n v="349.95"/>
    <n v="0"/>
  </r>
  <r>
    <s v="ORD-100970"/>
    <x v="397"/>
    <x v="16"/>
    <x v="1"/>
    <n v="1"/>
    <n v="79.989999999999995"/>
    <x v="1"/>
    <n v="79.989999999999995"/>
    <n v="79.989999999999995"/>
    <x v="0"/>
    <x v="2"/>
    <x v="0"/>
    <x v="2"/>
    <s v="Navarra"/>
    <x v="1"/>
    <n v="5"/>
    <n v="79.989999999999995"/>
    <n v="0"/>
  </r>
  <r>
    <s v="ORD-100971"/>
    <x v="32"/>
    <x v="8"/>
    <x v="2"/>
    <n v="2"/>
    <n v="59.99"/>
    <x v="2"/>
    <n v="56.99"/>
    <n v="113.98"/>
    <x v="0"/>
    <x v="0"/>
    <x v="4"/>
    <x v="11"/>
    <s v="Cataluña"/>
    <x v="2"/>
    <n v="4"/>
    <n v="119.98"/>
    <n v="6"/>
  </r>
  <r>
    <s v="ORD-100972"/>
    <x v="104"/>
    <x v="7"/>
    <x v="3"/>
    <n v="5"/>
    <n v="19.989999999999998"/>
    <x v="1"/>
    <n v="19.989999999999998"/>
    <n v="99.95"/>
    <x v="0"/>
    <x v="1"/>
    <x v="0"/>
    <x v="14"/>
    <s v="Aragón"/>
    <x v="0"/>
    <n v="5"/>
    <n v="99.949999999999989"/>
    <n v="0"/>
  </r>
  <r>
    <s v="ORD-100973"/>
    <x v="155"/>
    <x v="16"/>
    <x v="1"/>
    <n v="2"/>
    <n v="79.989999999999995"/>
    <x v="1"/>
    <n v="79.989999999999995"/>
    <n v="159.97999999999999"/>
    <x v="2"/>
    <x v="0"/>
    <x v="3"/>
    <x v="4"/>
    <s v="Castilla y León"/>
    <x v="1"/>
    <m/>
    <n v="159.97999999999999"/>
    <n v="0"/>
  </r>
  <r>
    <s v="ORD-100974"/>
    <x v="533"/>
    <x v="25"/>
    <x v="4"/>
    <n v="3"/>
    <n v="34.99"/>
    <x v="1"/>
    <n v="34.99"/>
    <n v="104.97"/>
    <x v="1"/>
    <x v="1"/>
    <x v="2"/>
    <x v="4"/>
    <s v="Castilla y León"/>
    <x v="1"/>
    <m/>
    <n v="104.97"/>
    <n v="0"/>
  </r>
  <r>
    <s v="ORD-100975"/>
    <x v="105"/>
    <x v="8"/>
    <x v="2"/>
    <n v="1"/>
    <n v="59.99"/>
    <x v="0"/>
    <n v="50.99"/>
    <n v="50.99"/>
    <x v="3"/>
    <x v="0"/>
    <x v="3"/>
    <x v="9"/>
    <s v="Asturias"/>
    <x v="1"/>
    <m/>
    <n v="59.99"/>
    <n v="9"/>
  </r>
  <r>
    <s v="ORD-100976"/>
    <x v="179"/>
    <x v="9"/>
    <x v="2"/>
    <n v="3"/>
    <n v="29.99"/>
    <x v="4"/>
    <n v="23.99"/>
    <n v="71.97"/>
    <x v="1"/>
    <x v="2"/>
    <x v="2"/>
    <x v="7"/>
    <s v="Castilla y León"/>
    <x v="1"/>
    <m/>
    <n v="89.97"/>
    <n v="18"/>
  </r>
  <r>
    <s v="ORD-100977"/>
    <x v="275"/>
    <x v="19"/>
    <x v="0"/>
    <n v="4"/>
    <n v="1199.99"/>
    <x v="1"/>
    <n v="1199.99"/>
    <n v="4799.96"/>
    <x v="0"/>
    <x v="2"/>
    <x v="0"/>
    <x v="4"/>
    <s v="Castilla y León"/>
    <x v="1"/>
    <n v="2"/>
    <n v="4799.96"/>
    <n v="0"/>
  </r>
  <r>
    <s v="ORD-100978"/>
    <x v="187"/>
    <x v="22"/>
    <x v="4"/>
    <n v="4"/>
    <n v="44.99"/>
    <x v="0"/>
    <n v="38.24"/>
    <n v="152.96"/>
    <x v="0"/>
    <x v="2"/>
    <x v="3"/>
    <x v="2"/>
    <s v="Navarra"/>
    <x v="1"/>
    <n v="1"/>
    <n v="179.96"/>
    <n v="27"/>
  </r>
  <r>
    <s v="ORD-100979"/>
    <x v="232"/>
    <x v="4"/>
    <x v="4"/>
    <n v="1"/>
    <n v="349.99"/>
    <x v="4"/>
    <n v="279.99"/>
    <n v="279.99"/>
    <x v="1"/>
    <x v="1"/>
    <x v="3"/>
    <x v="12"/>
    <s v="Región de Murcia"/>
    <x v="1"/>
    <m/>
    <n v="349.99"/>
    <n v="70"/>
  </r>
  <r>
    <s v="ORD-100980"/>
    <x v="257"/>
    <x v="2"/>
    <x v="2"/>
    <n v="4"/>
    <n v="299.99"/>
    <x v="4"/>
    <n v="239.99"/>
    <n v="959.96"/>
    <x v="0"/>
    <x v="1"/>
    <x v="3"/>
    <x v="6"/>
    <s v="Comunitat Valenciana"/>
    <x v="0"/>
    <n v="3"/>
    <n v="1199.96"/>
    <n v="240"/>
  </r>
  <r>
    <s v="ORD-100981"/>
    <x v="55"/>
    <x v="27"/>
    <x v="1"/>
    <n v="5"/>
    <n v="49.99"/>
    <x v="0"/>
    <n v="42.49"/>
    <n v="212.45"/>
    <x v="0"/>
    <x v="0"/>
    <x v="0"/>
    <x v="10"/>
    <s v="Cantabria"/>
    <x v="1"/>
    <n v="2"/>
    <n v="249.95000000000002"/>
    <n v="37.500000000000028"/>
  </r>
  <r>
    <s v="ORD-100982"/>
    <x v="333"/>
    <x v="26"/>
    <x v="1"/>
    <n v="2"/>
    <n v="599.99"/>
    <x v="1"/>
    <n v="599.99"/>
    <n v="1199.98"/>
    <x v="0"/>
    <x v="0"/>
    <x v="3"/>
    <x v="9"/>
    <s v="Asturias"/>
    <x v="1"/>
    <n v="1"/>
    <n v="1199.98"/>
    <n v="0"/>
  </r>
  <r>
    <s v="ORD-100983"/>
    <x v="159"/>
    <x v="28"/>
    <x v="0"/>
    <n v="5"/>
    <n v="499.99"/>
    <x v="0"/>
    <n v="424.99"/>
    <n v="2124.9499999999998"/>
    <x v="4"/>
    <x v="1"/>
    <x v="0"/>
    <x v="8"/>
    <s v="La Rioja"/>
    <x v="1"/>
    <m/>
    <n v="2499.9499999999998"/>
    <n v="375"/>
  </r>
  <r>
    <s v="ORD-100984"/>
    <x v="278"/>
    <x v="12"/>
    <x v="2"/>
    <n v="4"/>
    <n v="189.99"/>
    <x v="4"/>
    <n v="151.99"/>
    <n v="607.96"/>
    <x v="3"/>
    <x v="1"/>
    <x v="1"/>
    <x v="12"/>
    <s v="Región de Murcia"/>
    <x v="1"/>
    <m/>
    <n v="759.96"/>
    <n v="152"/>
  </r>
  <r>
    <s v="ORD-100985"/>
    <x v="492"/>
    <x v="29"/>
    <x v="0"/>
    <n v="5"/>
    <n v="129.99"/>
    <x v="4"/>
    <n v="103.99"/>
    <n v="519.95000000000005"/>
    <x v="0"/>
    <x v="0"/>
    <x v="3"/>
    <x v="5"/>
    <s v="País Vasco"/>
    <x v="0"/>
    <n v="2"/>
    <n v="649.95000000000005"/>
    <n v="130"/>
  </r>
  <r>
    <s v="ORD-100986"/>
    <x v="249"/>
    <x v="23"/>
    <x v="4"/>
    <n v="4"/>
    <n v="24.99"/>
    <x v="4"/>
    <n v="19.989999999999998"/>
    <n v="79.959999999999994"/>
    <x v="2"/>
    <x v="0"/>
    <x v="0"/>
    <x v="0"/>
    <s v="Andalucía"/>
    <x v="0"/>
    <m/>
    <n v="99.96"/>
    <n v="20"/>
  </r>
  <r>
    <s v="ORD-100987"/>
    <x v="451"/>
    <x v="9"/>
    <x v="2"/>
    <n v="5"/>
    <n v="29.99"/>
    <x v="0"/>
    <n v="25.49"/>
    <n v="127.45"/>
    <x v="0"/>
    <x v="3"/>
    <x v="0"/>
    <x v="11"/>
    <s v="Cataluña"/>
    <x v="2"/>
    <n v="2"/>
    <n v="149.94999999999999"/>
    <n v="22.499999999999986"/>
  </r>
  <r>
    <s v="ORD-100988"/>
    <x v="472"/>
    <x v="20"/>
    <x v="3"/>
    <n v="5"/>
    <n v="39.99"/>
    <x v="2"/>
    <n v="37.99"/>
    <n v="189.95"/>
    <x v="1"/>
    <x v="0"/>
    <x v="3"/>
    <x v="6"/>
    <s v="Comunitat Valenciana"/>
    <x v="0"/>
    <m/>
    <n v="199.95000000000002"/>
    <n v="10.000000000000028"/>
  </r>
  <r>
    <s v="ORD-100989"/>
    <x v="203"/>
    <x v="0"/>
    <x v="0"/>
    <n v="1"/>
    <n v="45.99"/>
    <x v="0"/>
    <n v="39.090000000000003"/>
    <n v="39.090000000000003"/>
    <x v="0"/>
    <x v="2"/>
    <x v="3"/>
    <x v="2"/>
    <s v="Navarra"/>
    <x v="1"/>
    <n v="4"/>
    <n v="45.99"/>
    <n v="6.8999999999999986"/>
  </r>
  <r>
    <s v="ORD-100990"/>
    <x v="404"/>
    <x v="28"/>
    <x v="0"/>
    <n v="2"/>
    <n v="499.99"/>
    <x v="1"/>
    <n v="499.99"/>
    <n v="999.98"/>
    <x v="3"/>
    <x v="2"/>
    <x v="0"/>
    <x v="8"/>
    <s v="La Rioja"/>
    <x v="1"/>
    <m/>
    <n v="999.98"/>
    <n v="0"/>
  </r>
  <r>
    <s v="ORD-100991"/>
    <x v="61"/>
    <x v="20"/>
    <x v="3"/>
    <n v="2"/>
    <n v="39.99"/>
    <x v="2"/>
    <n v="37.99"/>
    <n v="75.98"/>
    <x v="2"/>
    <x v="0"/>
    <x v="2"/>
    <x v="1"/>
    <s v="Comunitat Valenciana"/>
    <x v="1"/>
    <m/>
    <n v="79.98"/>
    <n v="4"/>
  </r>
  <r>
    <s v="ORD-100992"/>
    <x v="268"/>
    <x v="21"/>
    <x v="0"/>
    <n v="4"/>
    <n v="799.99"/>
    <x v="1"/>
    <n v="799.99"/>
    <n v="3199.96"/>
    <x v="0"/>
    <x v="0"/>
    <x v="4"/>
    <x v="6"/>
    <s v="Comunitat Valenciana"/>
    <x v="0"/>
    <n v="2"/>
    <n v="3199.96"/>
    <n v="0"/>
  </r>
  <r>
    <s v="ORD-100993"/>
    <x v="294"/>
    <x v="26"/>
    <x v="1"/>
    <n v="2"/>
    <n v="599.99"/>
    <x v="1"/>
    <n v="599.99"/>
    <n v="1199.98"/>
    <x v="0"/>
    <x v="1"/>
    <x v="0"/>
    <x v="9"/>
    <s v="Asturias"/>
    <x v="1"/>
    <n v="2"/>
    <n v="1199.98"/>
    <n v="0"/>
  </r>
  <r>
    <s v="ORD-100994"/>
    <x v="19"/>
    <x v="2"/>
    <x v="2"/>
    <n v="4"/>
    <n v="299.99"/>
    <x v="0"/>
    <n v="254.99"/>
    <n v="1019.96"/>
    <x v="0"/>
    <x v="1"/>
    <x v="1"/>
    <x v="13"/>
    <s v="Andalucía"/>
    <x v="0"/>
    <n v="3"/>
    <n v="1199.96"/>
    <n v="180"/>
  </r>
  <r>
    <s v="ORD-100995"/>
    <x v="534"/>
    <x v="0"/>
    <x v="0"/>
    <n v="5"/>
    <n v="45.99"/>
    <x v="1"/>
    <n v="45.99"/>
    <n v="229.95"/>
    <x v="0"/>
    <x v="0"/>
    <x v="4"/>
    <x v="4"/>
    <s v="Castilla y León"/>
    <x v="1"/>
    <n v="5"/>
    <n v="229.95000000000002"/>
    <n v="0"/>
  </r>
  <r>
    <s v="ORD-100996"/>
    <x v="519"/>
    <x v="8"/>
    <x v="2"/>
    <n v="5"/>
    <n v="59.99"/>
    <x v="0"/>
    <n v="50.99"/>
    <n v="254.95"/>
    <x v="1"/>
    <x v="0"/>
    <x v="3"/>
    <x v="3"/>
    <s v="Comunidad de Madrid"/>
    <x v="2"/>
    <m/>
    <n v="299.95"/>
    <n v="45"/>
  </r>
  <r>
    <s v="ORD-100997"/>
    <x v="396"/>
    <x v="13"/>
    <x v="3"/>
    <n v="4"/>
    <n v="49.99"/>
    <x v="0"/>
    <n v="42.49"/>
    <n v="169.96"/>
    <x v="0"/>
    <x v="1"/>
    <x v="3"/>
    <x v="4"/>
    <s v="Castilla y León"/>
    <x v="1"/>
    <n v="3"/>
    <n v="199.96"/>
    <n v="30"/>
  </r>
  <r>
    <s v="ORD-100998"/>
    <x v="378"/>
    <x v="14"/>
    <x v="1"/>
    <n v="4"/>
    <n v="249.99"/>
    <x v="1"/>
    <n v="249.99"/>
    <n v="999.96"/>
    <x v="2"/>
    <x v="0"/>
    <x v="1"/>
    <x v="6"/>
    <s v="Comunitat Valenciana"/>
    <x v="0"/>
    <m/>
    <n v="999.96"/>
    <n v="0"/>
  </r>
  <r>
    <s v="ORD-100999"/>
    <x v="535"/>
    <x v="11"/>
    <x v="0"/>
    <n v="3"/>
    <n v="349.99"/>
    <x v="1"/>
    <n v="349.99"/>
    <n v="1049.97"/>
    <x v="0"/>
    <x v="1"/>
    <x v="4"/>
    <x v="6"/>
    <s v="Comunitat Valenciana"/>
    <x v="0"/>
    <n v="3"/>
    <n v="1049.97"/>
    <n v="0"/>
  </r>
  <r>
    <s v="ORD-101000"/>
    <x v="317"/>
    <x v="22"/>
    <x v="4"/>
    <n v="4"/>
    <n v="44.99"/>
    <x v="1"/>
    <n v="44.99"/>
    <n v="179.96"/>
    <x v="3"/>
    <x v="1"/>
    <x v="1"/>
    <x v="5"/>
    <s v="País Vasco"/>
    <x v="0"/>
    <m/>
    <n v="179.96"/>
    <n v="0"/>
  </r>
  <r>
    <s v="ORD-101001"/>
    <x v="418"/>
    <x v="14"/>
    <x v="1"/>
    <n v="3"/>
    <n v="249.99"/>
    <x v="2"/>
    <n v="237.49"/>
    <n v="712.47"/>
    <x v="2"/>
    <x v="1"/>
    <x v="3"/>
    <x v="14"/>
    <s v="Aragón"/>
    <x v="0"/>
    <m/>
    <n v="749.97"/>
    <n v="37.5"/>
  </r>
  <r>
    <s v="ORD-101002"/>
    <x v="494"/>
    <x v="5"/>
    <x v="1"/>
    <n v="4"/>
    <n v="149.99"/>
    <x v="1"/>
    <n v="149.99"/>
    <n v="599.96"/>
    <x v="0"/>
    <x v="0"/>
    <x v="0"/>
    <x v="3"/>
    <s v="Comunidad de Madrid"/>
    <x v="2"/>
    <n v="3"/>
    <n v="599.96"/>
    <n v="0"/>
  </r>
  <r>
    <s v="ORD-101003"/>
    <x v="536"/>
    <x v="2"/>
    <x v="2"/>
    <n v="4"/>
    <n v="299.99"/>
    <x v="2"/>
    <n v="284.99"/>
    <n v="1139.96"/>
    <x v="0"/>
    <x v="2"/>
    <x v="0"/>
    <x v="4"/>
    <s v="Castilla y León"/>
    <x v="1"/>
    <n v="3"/>
    <n v="1199.96"/>
    <n v="60"/>
  </r>
  <r>
    <s v="ORD-101004"/>
    <x v="399"/>
    <x v="5"/>
    <x v="1"/>
    <n v="4"/>
    <n v="149.99"/>
    <x v="2"/>
    <n v="142.49"/>
    <n v="569.96"/>
    <x v="0"/>
    <x v="1"/>
    <x v="0"/>
    <x v="8"/>
    <s v="La Rioja"/>
    <x v="1"/>
    <n v="3"/>
    <n v="599.96"/>
    <n v="30"/>
  </r>
  <r>
    <s v="ORD-101005"/>
    <x v="350"/>
    <x v="21"/>
    <x v="0"/>
    <n v="3"/>
    <n v="799.99"/>
    <x v="1"/>
    <n v="799.99"/>
    <n v="2399.9699999999998"/>
    <x v="2"/>
    <x v="1"/>
    <x v="0"/>
    <x v="10"/>
    <s v="Cantabria"/>
    <x v="1"/>
    <m/>
    <n v="2399.9700000000003"/>
    <n v="0"/>
  </r>
  <r>
    <s v="ORD-101006"/>
    <x v="537"/>
    <x v="1"/>
    <x v="1"/>
    <n v="2"/>
    <n v="399.99"/>
    <x v="3"/>
    <n v="359.99"/>
    <n v="719.98"/>
    <x v="4"/>
    <x v="1"/>
    <x v="3"/>
    <x v="3"/>
    <s v="Comunidad de Madrid"/>
    <x v="2"/>
    <m/>
    <n v="799.98"/>
    <n v="80"/>
  </r>
  <r>
    <s v="ORD-101007"/>
    <x v="538"/>
    <x v="22"/>
    <x v="4"/>
    <n v="1"/>
    <n v="44.99"/>
    <x v="1"/>
    <n v="44.99"/>
    <n v="44.99"/>
    <x v="1"/>
    <x v="0"/>
    <x v="0"/>
    <x v="9"/>
    <s v="Asturias"/>
    <x v="1"/>
    <m/>
    <n v="44.99"/>
    <n v="0"/>
  </r>
  <r>
    <s v="ORD-101008"/>
    <x v="91"/>
    <x v="12"/>
    <x v="2"/>
    <n v="1"/>
    <n v="189.99"/>
    <x v="2"/>
    <n v="180.49"/>
    <n v="180.49"/>
    <x v="0"/>
    <x v="3"/>
    <x v="2"/>
    <x v="4"/>
    <s v="Castilla y León"/>
    <x v="1"/>
    <n v="2"/>
    <n v="189.99"/>
    <n v="9.5"/>
  </r>
  <r>
    <s v="ORD-101009"/>
    <x v="83"/>
    <x v="6"/>
    <x v="0"/>
    <n v="4"/>
    <n v="89.99"/>
    <x v="4"/>
    <n v="71.989999999999995"/>
    <n v="287.95999999999998"/>
    <x v="1"/>
    <x v="1"/>
    <x v="4"/>
    <x v="12"/>
    <s v="Región de Murcia"/>
    <x v="1"/>
    <m/>
    <n v="359.96"/>
    <n v="72"/>
  </r>
  <r>
    <s v="ORD-101010"/>
    <x v="278"/>
    <x v="12"/>
    <x v="2"/>
    <n v="1"/>
    <n v="189.99"/>
    <x v="1"/>
    <n v="189.99"/>
    <n v="189.99"/>
    <x v="4"/>
    <x v="1"/>
    <x v="3"/>
    <x v="9"/>
    <s v="Asturias"/>
    <x v="1"/>
    <m/>
    <n v="189.99"/>
    <n v="0"/>
  </r>
  <r>
    <s v="ORD-101011"/>
    <x v="539"/>
    <x v="11"/>
    <x v="0"/>
    <n v="2"/>
    <n v="349.99"/>
    <x v="4"/>
    <n v="279.99"/>
    <n v="559.98"/>
    <x v="0"/>
    <x v="0"/>
    <x v="1"/>
    <x v="9"/>
    <s v="Asturias"/>
    <x v="1"/>
    <n v="1"/>
    <n v="699.98"/>
    <n v="140"/>
  </r>
  <r>
    <s v="ORD-101012"/>
    <x v="540"/>
    <x v="27"/>
    <x v="1"/>
    <n v="4"/>
    <n v="49.99"/>
    <x v="1"/>
    <n v="49.99"/>
    <n v="199.96"/>
    <x v="0"/>
    <x v="0"/>
    <x v="1"/>
    <x v="6"/>
    <s v="Comunitat Valenciana"/>
    <x v="0"/>
    <n v="4"/>
    <n v="199.96"/>
    <n v="0"/>
  </r>
  <r>
    <s v="ORD-101013"/>
    <x v="363"/>
    <x v="19"/>
    <x v="0"/>
    <n v="2"/>
    <n v="1199.99"/>
    <x v="1"/>
    <n v="1199.99"/>
    <n v="2399.98"/>
    <x v="0"/>
    <x v="0"/>
    <x v="1"/>
    <x v="13"/>
    <s v="Andalucía"/>
    <x v="0"/>
    <n v="2"/>
    <n v="2399.98"/>
    <n v="0"/>
  </r>
  <r>
    <s v="ORD-101014"/>
    <x v="79"/>
    <x v="13"/>
    <x v="3"/>
    <n v="4"/>
    <n v="49.99"/>
    <x v="4"/>
    <n v="39.99"/>
    <n v="159.96"/>
    <x v="0"/>
    <x v="2"/>
    <x v="4"/>
    <x v="2"/>
    <s v="Navarra"/>
    <x v="1"/>
    <n v="5"/>
    <n v="199.96"/>
    <n v="40"/>
  </r>
  <r>
    <s v="ORD-101015"/>
    <x v="541"/>
    <x v="15"/>
    <x v="3"/>
    <n v="1"/>
    <n v="69.989999999999995"/>
    <x v="4"/>
    <n v="55.99"/>
    <n v="55.99"/>
    <x v="0"/>
    <x v="1"/>
    <x v="2"/>
    <x v="0"/>
    <s v="Andalucía"/>
    <x v="0"/>
    <n v="4"/>
    <n v="69.989999999999995"/>
    <n v="13.999999999999993"/>
  </r>
  <r>
    <s v="ORD-101016"/>
    <x v="532"/>
    <x v="1"/>
    <x v="1"/>
    <n v="5"/>
    <n v="399.99"/>
    <x v="2"/>
    <n v="379.99"/>
    <n v="1899.95"/>
    <x v="0"/>
    <x v="2"/>
    <x v="1"/>
    <x v="13"/>
    <s v="Andalucía"/>
    <x v="0"/>
    <n v="4"/>
    <n v="1999.95"/>
    <n v="100"/>
  </r>
  <r>
    <s v="ORD-101017"/>
    <x v="333"/>
    <x v="3"/>
    <x v="3"/>
    <n v="1"/>
    <n v="34.99"/>
    <x v="1"/>
    <n v="34.99"/>
    <n v="34.99"/>
    <x v="0"/>
    <x v="1"/>
    <x v="1"/>
    <x v="12"/>
    <s v="Región de Murcia"/>
    <x v="1"/>
    <n v="2"/>
    <n v="34.99"/>
    <n v="0"/>
  </r>
  <r>
    <s v="ORD-101018"/>
    <x v="117"/>
    <x v="14"/>
    <x v="1"/>
    <n v="5"/>
    <n v="249.99"/>
    <x v="1"/>
    <n v="249.99"/>
    <n v="1249.95"/>
    <x v="0"/>
    <x v="0"/>
    <x v="2"/>
    <x v="13"/>
    <s v="Andalucía"/>
    <x v="0"/>
    <n v="3"/>
    <n v="1249.95"/>
    <n v="0"/>
  </r>
  <r>
    <s v="ORD-101019"/>
    <x v="504"/>
    <x v="11"/>
    <x v="0"/>
    <n v="3"/>
    <n v="349.99"/>
    <x v="4"/>
    <n v="279.99"/>
    <n v="839.97"/>
    <x v="0"/>
    <x v="0"/>
    <x v="0"/>
    <x v="13"/>
    <s v="Andalucía"/>
    <x v="0"/>
    <n v="1"/>
    <n v="1049.97"/>
    <n v="210"/>
  </r>
  <r>
    <s v="ORD-101020"/>
    <x v="376"/>
    <x v="14"/>
    <x v="1"/>
    <n v="1"/>
    <n v="249.99"/>
    <x v="3"/>
    <n v="224.99"/>
    <n v="224.99"/>
    <x v="0"/>
    <x v="1"/>
    <x v="1"/>
    <x v="11"/>
    <s v="Cataluña"/>
    <x v="2"/>
    <n v="3"/>
    <n v="249.99"/>
    <n v="25"/>
  </r>
  <r>
    <s v="ORD-101021"/>
    <x v="490"/>
    <x v="7"/>
    <x v="3"/>
    <n v="5"/>
    <n v="19.989999999999998"/>
    <x v="1"/>
    <n v="19.989999999999998"/>
    <n v="99.95"/>
    <x v="1"/>
    <x v="0"/>
    <x v="1"/>
    <x v="3"/>
    <s v="Comunidad de Madrid"/>
    <x v="2"/>
    <m/>
    <n v="99.949999999999989"/>
    <n v="0"/>
  </r>
  <r>
    <s v="ORD-101022"/>
    <x v="46"/>
    <x v="8"/>
    <x v="2"/>
    <n v="2"/>
    <n v="59.99"/>
    <x v="4"/>
    <n v="47.99"/>
    <n v="95.98"/>
    <x v="0"/>
    <x v="0"/>
    <x v="1"/>
    <x v="11"/>
    <s v="Cataluña"/>
    <x v="2"/>
    <n v="3"/>
    <n v="119.98"/>
    <n v="24"/>
  </r>
  <r>
    <s v="ORD-101023"/>
    <x v="102"/>
    <x v="10"/>
    <x v="2"/>
    <n v="4"/>
    <n v="69.989999999999995"/>
    <x v="4"/>
    <n v="55.99"/>
    <n v="223.96"/>
    <x v="1"/>
    <x v="2"/>
    <x v="0"/>
    <x v="1"/>
    <s v="Comunitat Valenciana"/>
    <x v="1"/>
    <m/>
    <n v="279.95999999999998"/>
    <n v="55.999999999999972"/>
  </r>
  <r>
    <s v="ORD-101024"/>
    <x v="542"/>
    <x v="21"/>
    <x v="0"/>
    <n v="2"/>
    <n v="799.99"/>
    <x v="1"/>
    <n v="799.99"/>
    <n v="1599.98"/>
    <x v="1"/>
    <x v="0"/>
    <x v="1"/>
    <x v="1"/>
    <s v="Comunitat Valenciana"/>
    <x v="1"/>
    <m/>
    <n v="1599.98"/>
    <n v="0"/>
  </r>
  <r>
    <s v="ORD-101025"/>
    <x v="122"/>
    <x v="5"/>
    <x v="1"/>
    <n v="1"/>
    <n v="149.99"/>
    <x v="1"/>
    <n v="149.99"/>
    <n v="149.99"/>
    <x v="0"/>
    <x v="0"/>
    <x v="3"/>
    <x v="3"/>
    <s v="Comunidad de Madrid"/>
    <x v="2"/>
    <n v="4"/>
    <n v="149.99"/>
    <n v="0"/>
  </r>
  <r>
    <s v="ORD-101026"/>
    <x v="447"/>
    <x v="10"/>
    <x v="2"/>
    <n v="5"/>
    <n v="69.989999999999995"/>
    <x v="0"/>
    <n v="59.49"/>
    <n v="297.45"/>
    <x v="0"/>
    <x v="2"/>
    <x v="1"/>
    <x v="1"/>
    <s v="Comunitat Valenciana"/>
    <x v="1"/>
    <n v="4"/>
    <n v="349.95"/>
    <n v="52.5"/>
  </r>
  <r>
    <s v="ORD-101027"/>
    <x v="137"/>
    <x v="6"/>
    <x v="0"/>
    <n v="2"/>
    <n v="89.99"/>
    <x v="1"/>
    <n v="89.99"/>
    <n v="179.98"/>
    <x v="0"/>
    <x v="2"/>
    <x v="1"/>
    <x v="11"/>
    <s v="Cataluña"/>
    <x v="2"/>
    <n v="2"/>
    <n v="179.98"/>
    <n v="0"/>
  </r>
  <r>
    <s v="ORD-101028"/>
    <x v="493"/>
    <x v="21"/>
    <x v="0"/>
    <n v="4"/>
    <n v="799.99"/>
    <x v="0"/>
    <n v="679.99"/>
    <n v="2719.96"/>
    <x v="0"/>
    <x v="0"/>
    <x v="1"/>
    <x v="0"/>
    <s v="Andalucía"/>
    <x v="0"/>
    <n v="5"/>
    <n v="3199.96"/>
    <n v="480"/>
  </r>
  <r>
    <s v="ORD-101029"/>
    <x v="392"/>
    <x v="6"/>
    <x v="0"/>
    <n v="3"/>
    <n v="89.99"/>
    <x v="4"/>
    <n v="71.989999999999995"/>
    <n v="215.97"/>
    <x v="0"/>
    <x v="0"/>
    <x v="0"/>
    <x v="12"/>
    <s v="Región de Murcia"/>
    <x v="1"/>
    <n v="2"/>
    <n v="269.96999999999997"/>
    <n v="53.999999999999972"/>
  </r>
  <r>
    <s v="ORD-101030"/>
    <x v="543"/>
    <x v="26"/>
    <x v="1"/>
    <n v="4"/>
    <n v="599.99"/>
    <x v="2"/>
    <n v="569.99"/>
    <n v="2279.96"/>
    <x v="0"/>
    <x v="1"/>
    <x v="0"/>
    <x v="12"/>
    <s v="Región de Murcia"/>
    <x v="1"/>
    <n v="5"/>
    <n v="2399.96"/>
    <n v="120"/>
  </r>
  <r>
    <s v="ORD-101031"/>
    <x v="544"/>
    <x v="17"/>
    <x v="0"/>
    <n v="3"/>
    <n v="899.99"/>
    <x v="1"/>
    <n v="899.99"/>
    <n v="2699.97"/>
    <x v="0"/>
    <x v="1"/>
    <x v="4"/>
    <x v="8"/>
    <s v="La Rioja"/>
    <x v="1"/>
    <n v="4"/>
    <n v="2699.9700000000003"/>
    <n v="0"/>
  </r>
  <r>
    <s v="ORD-101032"/>
    <x v="521"/>
    <x v="27"/>
    <x v="1"/>
    <n v="5"/>
    <n v="49.99"/>
    <x v="1"/>
    <n v="49.99"/>
    <n v="249.95"/>
    <x v="0"/>
    <x v="1"/>
    <x v="3"/>
    <x v="13"/>
    <s v="Andalucía"/>
    <x v="0"/>
    <n v="5"/>
    <n v="249.95000000000002"/>
    <n v="0"/>
  </r>
  <r>
    <s v="ORD-101033"/>
    <x v="160"/>
    <x v="23"/>
    <x v="4"/>
    <n v="4"/>
    <n v="24.99"/>
    <x v="1"/>
    <n v="24.99"/>
    <n v="99.96"/>
    <x v="1"/>
    <x v="0"/>
    <x v="3"/>
    <x v="7"/>
    <s v="Castilla y León"/>
    <x v="1"/>
    <m/>
    <n v="99.96"/>
    <n v="0"/>
  </r>
  <r>
    <s v="ORD-101034"/>
    <x v="90"/>
    <x v="6"/>
    <x v="0"/>
    <n v="3"/>
    <n v="89.99"/>
    <x v="0"/>
    <n v="76.489999999999995"/>
    <n v="229.47"/>
    <x v="0"/>
    <x v="0"/>
    <x v="1"/>
    <x v="12"/>
    <s v="Región de Murcia"/>
    <x v="1"/>
    <n v="3"/>
    <n v="269.96999999999997"/>
    <n v="40.499999999999972"/>
  </r>
  <r>
    <s v="ORD-101035"/>
    <x v="357"/>
    <x v="2"/>
    <x v="2"/>
    <n v="4"/>
    <n v="299.99"/>
    <x v="1"/>
    <n v="299.99"/>
    <n v="1199.96"/>
    <x v="0"/>
    <x v="0"/>
    <x v="0"/>
    <x v="10"/>
    <s v="Cantabria"/>
    <x v="1"/>
    <n v="2"/>
    <n v="1199.96"/>
    <n v="0"/>
  </r>
  <r>
    <s v="ORD-101036"/>
    <x v="410"/>
    <x v="28"/>
    <x v="0"/>
    <n v="5"/>
    <n v="499.99"/>
    <x v="0"/>
    <n v="424.99"/>
    <n v="2124.9499999999998"/>
    <x v="0"/>
    <x v="2"/>
    <x v="1"/>
    <x v="1"/>
    <s v="Comunitat Valenciana"/>
    <x v="1"/>
    <n v="4"/>
    <n v="2499.9499999999998"/>
    <n v="375"/>
  </r>
  <r>
    <s v="ORD-101037"/>
    <x v="541"/>
    <x v="23"/>
    <x v="4"/>
    <n v="3"/>
    <n v="24.99"/>
    <x v="0"/>
    <n v="21.24"/>
    <n v="63.72"/>
    <x v="1"/>
    <x v="2"/>
    <x v="1"/>
    <x v="13"/>
    <s v="Andalucía"/>
    <x v="0"/>
    <m/>
    <n v="74.97"/>
    <n v="11.25"/>
  </r>
  <r>
    <s v="ORD-101038"/>
    <x v="385"/>
    <x v="8"/>
    <x v="2"/>
    <n v="4"/>
    <n v="59.99"/>
    <x v="4"/>
    <n v="47.99"/>
    <n v="191.96"/>
    <x v="4"/>
    <x v="1"/>
    <x v="0"/>
    <x v="6"/>
    <s v="Comunitat Valenciana"/>
    <x v="0"/>
    <m/>
    <n v="239.96"/>
    <n v="48"/>
  </r>
  <r>
    <s v="ORD-101039"/>
    <x v="82"/>
    <x v="12"/>
    <x v="2"/>
    <n v="4"/>
    <n v="189.99"/>
    <x v="1"/>
    <n v="189.99"/>
    <n v="759.96"/>
    <x v="0"/>
    <x v="1"/>
    <x v="0"/>
    <x v="6"/>
    <s v="Comunitat Valenciana"/>
    <x v="0"/>
    <n v="4"/>
    <n v="759.96"/>
    <n v="0"/>
  </r>
  <r>
    <s v="ORD-101040"/>
    <x v="383"/>
    <x v="13"/>
    <x v="3"/>
    <n v="2"/>
    <n v="49.99"/>
    <x v="1"/>
    <n v="49.99"/>
    <n v="99.98"/>
    <x v="0"/>
    <x v="0"/>
    <x v="0"/>
    <x v="3"/>
    <s v="Comunidad de Madrid"/>
    <x v="2"/>
    <n v="2"/>
    <n v="99.98"/>
    <n v="0"/>
  </r>
  <r>
    <s v="ORD-101041"/>
    <x v="545"/>
    <x v="25"/>
    <x v="4"/>
    <n v="5"/>
    <n v="34.99"/>
    <x v="1"/>
    <n v="34.99"/>
    <n v="174.95"/>
    <x v="2"/>
    <x v="0"/>
    <x v="1"/>
    <x v="14"/>
    <s v="Aragón"/>
    <x v="0"/>
    <m/>
    <n v="174.95000000000002"/>
    <n v="0"/>
  </r>
  <r>
    <s v="ORD-101042"/>
    <x v="79"/>
    <x v="5"/>
    <x v="1"/>
    <n v="2"/>
    <n v="149.99"/>
    <x v="2"/>
    <n v="142.49"/>
    <n v="284.98"/>
    <x v="0"/>
    <x v="2"/>
    <x v="1"/>
    <x v="14"/>
    <s v="Aragón"/>
    <x v="0"/>
    <n v="5"/>
    <n v="299.98"/>
    <n v="15"/>
  </r>
  <r>
    <s v="ORD-101043"/>
    <x v="8"/>
    <x v="23"/>
    <x v="4"/>
    <n v="2"/>
    <n v="24.99"/>
    <x v="4"/>
    <n v="19.989999999999998"/>
    <n v="39.979999999999997"/>
    <x v="1"/>
    <x v="1"/>
    <x v="0"/>
    <x v="7"/>
    <s v="Castilla y León"/>
    <x v="1"/>
    <m/>
    <n v="49.98"/>
    <n v="10"/>
  </r>
  <r>
    <s v="ORD-101044"/>
    <x v="546"/>
    <x v="22"/>
    <x v="4"/>
    <n v="4"/>
    <n v="44.99"/>
    <x v="4"/>
    <n v="35.99"/>
    <n v="143.96"/>
    <x v="0"/>
    <x v="2"/>
    <x v="4"/>
    <x v="8"/>
    <s v="La Rioja"/>
    <x v="1"/>
    <n v="5"/>
    <n v="179.96"/>
    <n v="36"/>
  </r>
  <r>
    <s v="ORD-101045"/>
    <x v="230"/>
    <x v="8"/>
    <x v="2"/>
    <n v="1"/>
    <n v="59.99"/>
    <x v="4"/>
    <n v="47.99"/>
    <n v="47.99"/>
    <x v="0"/>
    <x v="0"/>
    <x v="1"/>
    <x v="7"/>
    <s v="Castilla y León"/>
    <x v="1"/>
    <n v="2"/>
    <n v="59.99"/>
    <n v="12"/>
  </r>
  <r>
    <s v="ORD-101046"/>
    <x v="107"/>
    <x v="29"/>
    <x v="0"/>
    <n v="3"/>
    <n v="129.99"/>
    <x v="0"/>
    <n v="110.49"/>
    <n v="331.47"/>
    <x v="0"/>
    <x v="1"/>
    <x v="2"/>
    <x v="7"/>
    <s v="Castilla y León"/>
    <x v="1"/>
    <n v="2"/>
    <n v="389.97"/>
    <n v="58.5"/>
  </r>
  <r>
    <s v="ORD-101047"/>
    <x v="402"/>
    <x v="15"/>
    <x v="3"/>
    <n v="3"/>
    <n v="69.989999999999995"/>
    <x v="4"/>
    <n v="55.99"/>
    <n v="167.97"/>
    <x v="0"/>
    <x v="0"/>
    <x v="4"/>
    <x v="8"/>
    <s v="La Rioja"/>
    <x v="1"/>
    <n v="1"/>
    <n v="209.96999999999997"/>
    <n v="41.999999999999972"/>
  </r>
  <r>
    <s v="ORD-101048"/>
    <x v="327"/>
    <x v="25"/>
    <x v="4"/>
    <n v="4"/>
    <n v="34.99"/>
    <x v="1"/>
    <n v="34.99"/>
    <n v="139.96"/>
    <x v="0"/>
    <x v="0"/>
    <x v="3"/>
    <x v="6"/>
    <s v="Comunitat Valenciana"/>
    <x v="0"/>
    <n v="4"/>
    <n v="139.96"/>
    <n v="0"/>
  </r>
  <r>
    <s v="ORD-101049"/>
    <x v="317"/>
    <x v="9"/>
    <x v="2"/>
    <n v="2"/>
    <n v="29.99"/>
    <x v="1"/>
    <n v="29.99"/>
    <n v="59.98"/>
    <x v="1"/>
    <x v="0"/>
    <x v="0"/>
    <x v="7"/>
    <s v="Castilla y León"/>
    <x v="1"/>
    <m/>
    <n v="59.98"/>
    <n v="0"/>
  </r>
  <r>
    <s v="ORD-101050"/>
    <x v="547"/>
    <x v="3"/>
    <x v="3"/>
    <n v="4"/>
    <n v="34.99"/>
    <x v="2"/>
    <n v="33.24"/>
    <n v="132.96"/>
    <x v="3"/>
    <x v="2"/>
    <x v="3"/>
    <x v="7"/>
    <s v="Castilla y León"/>
    <x v="1"/>
    <m/>
    <n v="139.96"/>
    <n v="7"/>
  </r>
  <r>
    <s v="ORD-101051"/>
    <x v="322"/>
    <x v="26"/>
    <x v="1"/>
    <n v="2"/>
    <n v="599.99"/>
    <x v="4"/>
    <n v="479.99"/>
    <n v="959.98"/>
    <x v="0"/>
    <x v="1"/>
    <x v="0"/>
    <x v="2"/>
    <s v="Navarra"/>
    <x v="1"/>
    <n v="3"/>
    <n v="1199.98"/>
    <n v="240"/>
  </r>
  <r>
    <s v="ORD-101052"/>
    <x v="548"/>
    <x v="20"/>
    <x v="3"/>
    <n v="2"/>
    <n v="39.99"/>
    <x v="2"/>
    <n v="37.99"/>
    <n v="75.98"/>
    <x v="0"/>
    <x v="0"/>
    <x v="4"/>
    <x v="2"/>
    <s v="Navarra"/>
    <x v="1"/>
    <n v="2"/>
    <n v="79.98"/>
    <n v="4"/>
  </r>
  <r>
    <s v="ORD-101053"/>
    <x v="211"/>
    <x v="17"/>
    <x v="0"/>
    <n v="5"/>
    <n v="899.99"/>
    <x v="1"/>
    <n v="899.99"/>
    <n v="4499.95"/>
    <x v="0"/>
    <x v="1"/>
    <x v="3"/>
    <x v="4"/>
    <s v="Castilla y León"/>
    <x v="1"/>
    <n v="3"/>
    <n v="4499.95"/>
    <n v="0"/>
  </r>
  <r>
    <s v="ORD-101054"/>
    <x v="34"/>
    <x v="22"/>
    <x v="4"/>
    <n v="3"/>
    <n v="44.99"/>
    <x v="1"/>
    <n v="44.99"/>
    <n v="134.97"/>
    <x v="2"/>
    <x v="1"/>
    <x v="4"/>
    <x v="4"/>
    <s v="Castilla y León"/>
    <x v="1"/>
    <m/>
    <n v="134.97"/>
    <n v="0"/>
  </r>
  <r>
    <s v="ORD-101055"/>
    <x v="360"/>
    <x v="20"/>
    <x v="3"/>
    <n v="4"/>
    <n v="39.99"/>
    <x v="0"/>
    <n v="33.99"/>
    <n v="135.96"/>
    <x v="0"/>
    <x v="1"/>
    <x v="1"/>
    <x v="7"/>
    <s v="Castilla y León"/>
    <x v="1"/>
    <n v="4"/>
    <n v="159.96"/>
    <n v="24"/>
  </r>
  <r>
    <s v="ORD-101056"/>
    <x v="3"/>
    <x v="15"/>
    <x v="3"/>
    <n v="4"/>
    <n v="69.989999999999995"/>
    <x v="4"/>
    <n v="55.99"/>
    <n v="223.96"/>
    <x v="0"/>
    <x v="0"/>
    <x v="3"/>
    <x v="5"/>
    <s v="País Vasco"/>
    <x v="0"/>
    <n v="4"/>
    <n v="279.95999999999998"/>
    <n v="55.999999999999972"/>
  </r>
  <r>
    <s v="ORD-101057"/>
    <x v="549"/>
    <x v="14"/>
    <x v="1"/>
    <n v="5"/>
    <n v="249.99"/>
    <x v="1"/>
    <n v="249.99"/>
    <n v="1249.95"/>
    <x v="0"/>
    <x v="1"/>
    <x v="3"/>
    <x v="7"/>
    <s v="Castilla y León"/>
    <x v="1"/>
    <n v="2"/>
    <n v="1249.95"/>
    <n v="0"/>
  </r>
  <r>
    <s v="ORD-101058"/>
    <x v="550"/>
    <x v="19"/>
    <x v="0"/>
    <n v="5"/>
    <n v="1199.99"/>
    <x v="3"/>
    <n v="1079.99"/>
    <n v="5399.95"/>
    <x v="0"/>
    <x v="2"/>
    <x v="1"/>
    <x v="8"/>
    <s v="La Rioja"/>
    <x v="1"/>
    <n v="5"/>
    <n v="5999.95"/>
    <n v="600"/>
  </r>
  <r>
    <s v="ORD-101059"/>
    <x v="551"/>
    <x v="10"/>
    <x v="2"/>
    <n v="1"/>
    <n v="69.989999999999995"/>
    <x v="4"/>
    <n v="55.99"/>
    <n v="55.99"/>
    <x v="0"/>
    <x v="1"/>
    <x v="0"/>
    <x v="9"/>
    <s v="Asturias"/>
    <x v="1"/>
    <n v="1"/>
    <n v="69.989999999999995"/>
    <n v="13.999999999999993"/>
  </r>
  <r>
    <s v="ORD-101060"/>
    <x v="357"/>
    <x v="13"/>
    <x v="3"/>
    <n v="5"/>
    <n v="49.99"/>
    <x v="0"/>
    <n v="42.49"/>
    <n v="212.45"/>
    <x v="0"/>
    <x v="3"/>
    <x v="2"/>
    <x v="14"/>
    <s v="Aragón"/>
    <x v="0"/>
    <n v="5"/>
    <n v="249.95000000000002"/>
    <n v="37.500000000000028"/>
  </r>
  <r>
    <s v="ORD-101061"/>
    <x v="552"/>
    <x v="2"/>
    <x v="2"/>
    <n v="5"/>
    <n v="299.99"/>
    <x v="4"/>
    <n v="239.99"/>
    <n v="1199.95"/>
    <x v="0"/>
    <x v="0"/>
    <x v="1"/>
    <x v="14"/>
    <s v="Aragón"/>
    <x v="0"/>
    <n v="5"/>
    <n v="1499.95"/>
    <n v="300"/>
  </r>
  <r>
    <s v="ORD-101062"/>
    <x v="252"/>
    <x v="11"/>
    <x v="0"/>
    <n v="4"/>
    <n v="349.99"/>
    <x v="3"/>
    <n v="314.99"/>
    <n v="1259.96"/>
    <x v="1"/>
    <x v="0"/>
    <x v="3"/>
    <x v="11"/>
    <s v="Cataluña"/>
    <x v="2"/>
    <m/>
    <n v="1399.96"/>
    <n v="140"/>
  </r>
  <r>
    <s v="ORD-101063"/>
    <x v="317"/>
    <x v="26"/>
    <x v="1"/>
    <n v="1"/>
    <n v="599.99"/>
    <x v="1"/>
    <n v="599.99"/>
    <n v="599.99"/>
    <x v="1"/>
    <x v="0"/>
    <x v="0"/>
    <x v="8"/>
    <s v="La Rioja"/>
    <x v="1"/>
    <m/>
    <n v="599.99"/>
    <n v="0"/>
  </r>
  <r>
    <s v="ORD-101064"/>
    <x v="421"/>
    <x v="23"/>
    <x v="4"/>
    <n v="2"/>
    <n v="24.99"/>
    <x v="2"/>
    <n v="23.74"/>
    <n v="47.48"/>
    <x v="0"/>
    <x v="0"/>
    <x v="3"/>
    <x v="11"/>
    <s v="Cataluña"/>
    <x v="2"/>
    <n v="5"/>
    <n v="49.98"/>
    <n v="2.5"/>
  </r>
  <r>
    <s v="ORD-101065"/>
    <x v="427"/>
    <x v="14"/>
    <x v="1"/>
    <n v="4"/>
    <n v="249.99"/>
    <x v="4"/>
    <n v="199.99"/>
    <n v="799.96"/>
    <x v="0"/>
    <x v="1"/>
    <x v="4"/>
    <x v="12"/>
    <s v="Región de Murcia"/>
    <x v="1"/>
    <n v="4"/>
    <n v="999.96"/>
    <n v="200"/>
  </r>
  <r>
    <s v="ORD-101066"/>
    <x v="538"/>
    <x v="25"/>
    <x v="4"/>
    <n v="2"/>
    <n v="34.99"/>
    <x v="1"/>
    <n v="34.99"/>
    <n v="69.98"/>
    <x v="0"/>
    <x v="1"/>
    <x v="0"/>
    <x v="12"/>
    <s v="Región de Murcia"/>
    <x v="1"/>
    <n v="5"/>
    <n v="69.98"/>
    <n v="0"/>
  </r>
  <r>
    <s v="ORD-101067"/>
    <x v="553"/>
    <x v="0"/>
    <x v="0"/>
    <n v="2"/>
    <n v="45.99"/>
    <x v="2"/>
    <n v="43.69"/>
    <n v="87.38"/>
    <x v="0"/>
    <x v="0"/>
    <x v="3"/>
    <x v="10"/>
    <s v="Cantabria"/>
    <x v="1"/>
    <n v="1"/>
    <n v="91.98"/>
    <n v="4.6000000000000085"/>
  </r>
  <r>
    <s v="ORD-101068"/>
    <x v="394"/>
    <x v="4"/>
    <x v="4"/>
    <n v="4"/>
    <n v="349.99"/>
    <x v="1"/>
    <n v="349.99"/>
    <n v="1399.96"/>
    <x v="0"/>
    <x v="0"/>
    <x v="3"/>
    <x v="1"/>
    <s v="Comunitat Valenciana"/>
    <x v="1"/>
    <n v="1"/>
    <n v="1399.96"/>
    <n v="0"/>
  </r>
  <r>
    <s v="ORD-101069"/>
    <x v="372"/>
    <x v="13"/>
    <x v="3"/>
    <n v="3"/>
    <n v="49.99"/>
    <x v="1"/>
    <n v="49.99"/>
    <n v="149.97"/>
    <x v="0"/>
    <x v="2"/>
    <x v="0"/>
    <x v="3"/>
    <s v="Comunidad de Madrid"/>
    <x v="2"/>
    <n v="5"/>
    <n v="149.97"/>
    <n v="0"/>
  </r>
  <r>
    <s v="ORD-101070"/>
    <x v="73"/>
    <x v="17"/>
    <x v="0"/>
    <n v="3"/>
    <n v="899.99"/>
    <x v="1"/>
    <n v="899.99"/>
    <n v="2699.97"/>
    <x v="0"/>
    <x v="1"/>
    <x v="0"/>
    <x v="8"/>
    <s v="La Rioja"/>
    <x v="1"/>
    <n v="5"/>
    <n v="2699.9700000000003"/>
    <n v="0"/>
  </r>
  <r>
    <s v="ORD-101071"/>
    <x v="188"/>
    <x v="6"/>
    <x v="0"/>
    <n v="1"/>
    <n v="89.99"/>
    <x v="2"/>
    <n v="85.49"/>
    <n v="85.49"/>
    <x v="0"/>
    <x v="1"/>
    <x v="4"/>
    <x v="5"/>
    <s v="País Vasco"/>
    <x v="0"/>
    <n v="4"/>
    <n v="89.99"/>
    <n v="4.5"/>
  </r>
  <r>
    <s v="ORD-101072"/>
    <x v="60"/>
    <x v="25"/>
    <x v="4"/>
    <n v="5"/>
    <n v="34.99"/>
    <x v="1"/>
    <n v="34.99"/>
    <n v="174.95"/>
    <x v="1"/>
    <x v="1"/>
    <x v="1"/>
    <x v="7"/>
    <s v="Castilla y León"/>
    <x v="1"/>
    <m/>
    <n v="174.95000000000002"/>
    <n v="0"/>
  </r>
  <r>
    <s v="ORD-101073"/>
    <x v="208"/>
    <x v="26"/>
    <x v="1"/>
    <n v="2"/>
    <n v="599.99"/>
    <x v="4"/>
    <n v="479.99"/>
    <n v="959.98"/>
    <x v="1"/>
    <x v="2"/>
    <x v="1"/>
    <x v="11"/>
    <s v="Cataluña"/>
    <x v="2"/>
    <m/>
    <n v="1199.98"/>
    <n v="240"/>
  </r>
  <r>
    <s v="ORD-101074"/>
    <x v="373"/>
    <x v="20"/>
    <x v="3"/>
    <n v="2"/>
    <n v="39.99"/>
    <x v="2"/>
    <n v="37.99"/>
    <n v="75.98"/>
    <x v="0"/>
    <x v="3"/>
    <x v="2"/>
    <x v="3"/>
    <s v="Comunidad de Madrid"/>
    <x v="2"/>
    <n v="3"/>
    <n v="79.98"/>
    <n v="4"/>
  </r>
  <r>
    <s v="ORD-101075"/>
    <x v="406"/>
    <x v="6"/>
    <x v="0"/>
    <n v="2"/>
    <n v="89.99"/>
    <x v="0"/>
    <n v="76.489999999999995"/>
    <n v="152.97999999999999"/>
    <x v="0"/>
    <x v="2"/>
    <x v="1"/>
    <x v="9"/>
    <s v="Asturias"/>
    <x v="1"/>
    <n v="5"/>
    <n v="179.98"/>
    <n v="27"/>
  </r>
  <r>
    <s v="ORD-101076"/>
    <x v="266"/>
    <x v="0"/>
    <x v="0"/>
    <n v="5"/>
    <n v="45.99"/>
    <x v="1"/>
    <n v="45.99"/>
    <n v="229.95"/>
    <x v="0"/>
    <x v="1"/>
    <x v="1"/>
    <x v="1"/>
    <s v="Comunitat Valenciana"/>
    <x v="1"/>
    <n v="5"/>
    <n v="229.95000000000002"/>
    <n v="0"/>
  </r>
  <r>
    <s v="ORD-101077"/>
    <x v="420"/>
    <x v="21"/>
    <x v="0"/>
    <n v="4"/>
    <n v="799.99"/>
    <x v="3"/>
    <n v="719.99"/>
    <n v="2879.96"/>
    <x v="2"/>
    <x v="1"/>
    <x v="3"/>
    <x v="11"/>
    <s v="Cataluña"/>
    <x v="2"/>
    <m/>
    <n v="3199.96"/>
    <n v="320"/>
  </r>
  <r>
    <s v="ORD-101078"/>
    <x v="377"/>
    <x v="7"/>
    <x v="3"/>
    <n v="2"/>
    <n v="19.989999999999998"/>
    <x v="1"/>
    <n v="19.989999999999998"/>
    <n v="39.979999999999997"/>
    <x v="2"/>
    <x v="2"/>
    <x v="3"/>
    <x v="8"/>
    <s v="La Rioja"/>
    <x v="1"/>
    <m/>
    <n v="39.979999999999997"/>
    <n v="0"/>
  </r>
  <r>
    <s v="ORD-101079"/>
    <x v="183"/>
    <x v="27"/>
    <x v="1"/>
    <n v="3"/>
    <n v="49.99"/>
    <x v="2"/>
    <n v="47.49"/>
    <n v="142.47"/>
    <x v="0"/>
    <x v="2"/>
    <x v="0"/>
    <x v="12"/>
    <s v="Región de Murcia"/>
    <x v="1"/>
    <n v="4"/>
    <n v="149.97"/>
    <n v="7.5"/>
  </r>
  <r>
    <s v="ORD-101080"/>
    <x v="158"/>
    <x v="3"/>
    <x v="3"/>
    <n v="1"/>
    <n v="34.99"/>
    <x v="4"/>
    <n v="27.99"/>
    <n v="27.99"/>
    <x v="0"/>
    <x v="0"/>
    <x v="0"/>
    <x v="13"/>
    <s v="Andalucía"/>
    <x v="0"/>
    <n v="1"/>
    <n v="34.99"/>
    <n v="7.0000000000000036"/>
  </r>
  <r>
    <s v="ORD-101081"/>
    <x v="121"/>
    <x v="29"/>
    <x v="0"/>
    <n v="3"/>
    <n v="129.99"/>
    <x v="1"/>
    <n v="129.99"/>
    <n v="389.97"/>
    <x v="0"/>
    <x v="0"/>
    <x v="0"/>
    <x v="2"/>
    <s v="Navarra"/>
    <x v="1"/>
    <n v="4"/>
    <n v="389.97"/>
    <n v="0"/>
  </r>
  <r>
    <s v="ORD-101082"/>
    <x v="160"/>
    <x v="29"/>
    <x v="0"/>
    <n v="1"/>
    <n v="129.99"/>
    <x v="3"/>
    <n v="116.99"/>
    <n v="116.99"/>
    <x v="4"/>
    <x v="0"/>
    <x v="0"/>
    <x v="6"/>
    <s v="Comunitat Valenciana"/>
    <x v="0"/>
    <m/>
    <n v="129.99"/>
    <n v="13.000000000000014"/>
  </r>
  <r>
    <s v="ORD-101083"/>
    <x v="32"/>
    <x v="0"/>
    <x v="0"/>
    <n v="3"/>
    <n v="45.99"/>
    <x v="1"/>
    <n v="45.99"/>
    <n v="137.97"/>
    <x v="0"/>
    <x v="0"/>
    <x v="4"/>
    <x v="14"/>
    <s v="Aragón"/>
    <x v="0"/>
    <n v="1"/>
    <n v="137.97"/>
    <n v="0"/>
  </r>
  <r>
    <s v="ORD-101084"/>
    <x v="236"/>
    <x v="21"/>
    <x v="0"/>
    <n v="2"/>
    <n v="799.99"/>
    <x v="4"/>
    <n v="639.99"/>
    <n v="1279.98"/>
    <x v="0"/>
    <x v="1"/>
    <x v="1"/>
    <x v="0"/>
    <s v="Andalucía"/>
    <x v="0"/>
    <n v="4"/>
    <n v="1599.98"/>
    <n v="320"/>
  </r>
  <r>
    <s v="ORD-101085"/>
    <x v="554"/>
    <x v="7"/>
    <x v="3"/>
    <n v="1"/>
    <n v="19.989999999999998"/>
    <x v="1"/>
    <n v="19.989999999999998"/>
    <n v="19.989999999999998"/>
    <x v="0"/>
    <x v="0"/>
    <x v="0"/>
    <x v="13"/>
    <s v="Andalucía"/>
    <x v="0"/>
    <n v="2"/>
    <n v="19.989999999999998"/>
    <n v="0"/>
  </r>
  <r>
    <s v="ORD-101086"/>
    <x v="377"/>
    <x v="7"/>
    <x v="3"/>
    <n v="5"/>
    <n v="19.989999999999998"/>
    <x v="3"/>
    <n v="17.989999999999998"/>
    <n v="89.95"/>
    <x v="1"/>
    <x v="2"/>
    <x v="1"/>
    <x v="0"/>
    <s v="Andalucía"/>
    <x v="0"/>
    <m/>
    <n v="99.949999999999989"/>
    <n v="9.9999999999999858"/>
  </r>
  <r>
    <s v="ORD-101087"/>
    <x v="142"/>
    <x v="13"/>
    <x v="3"/>
    <n v="5"/>
    <n v="49.99"/>
    <x v="2"/>
    <n v="47.49"/>
    <n v="237.45"/>
    <x v="0"/>
    <x v="1"/>
    <x v="0"/>
    <x v="8"/>
    <s v="La Rioja"/>
    <x v="1"/>
    <n v="2"/>
    <n v="249.95000000000002"/>
    <n v="12.500000000000028"/>
  </r>
  <r>
    <s v="ORD-101088"/>
    <x v="242"/>
    <x v="5"/>
    <x v="1"/>
    <n v="2"/>
    <n v="149.99"/>
    <x v="4"/>
    <n v="119.99"/>
    <n v="239.98"/>
    <x v="0"/>
    <x v="3"/>
    <x v="3"/>
    <x v="13"/>
    <s v="Andalucía"/>
    <x v="0"/>
    <n v="1"/>
    <n v="299.98"/>
    <n v="60.000000000000028"/>
  </r>
  <r>
    <s v="ORD-101089"/>
    <x v="347"/>
    <x v="25"/>
    <x v="4"/>
    <n v="4"/>
    <n v="34.99"/>
    <x v="4"/>
    <n v="27.99"/>
    <n v="111.96"/>
    <x v="1"/>
    <x v="3"/>
    <x v="0"/>
    <x v="9"/>
    <s v="Asturias"/>
    <x v="1"/>
    <m/>
    <n v="139.96"/>
    <n v="28.000000000000014"/>
  </r>
  <r>
    <s v="ORD-101090"/>
    <x v="368"/>
    <x v="7"/>
    <x v="3"/>
    <n v="5"/>
    <n v="19.989999999999998"/>
    <x v="1"/>
    <n v="19.989999999999998"/>
    <n v="99.95"/>
    <x v="2"/>
    <x v="3"/>
    <x v="2"/>
    <x v="13"/>
    <s v="Andalucía"/>
    <x v="0"/>
    <m/>
    <n v="99.949999999999989"/>
    <n v="0"/>
  </r>
  <r>
    <s v="ORD-101091"/>
    <x v="11"/>
    <x v="1"/>
    <x v="1"/>
    <n v="5"/>
    <n v="399.99"/>
    <x v="1"/>
    <n v="399.99"/>
    <n v="1999.95"/>
    <x v="0"/>
    <x v="1"/>
    <x v="0"/>
    <x v="10"/>
    <s v="Cantabria"/>
    <x v="1"/>
    <n v="1"/>
    <n v="1999.95"/>
    <n v="0"/>
  </r>
  <r>
    <s v="ORD-101092"/>
    <x v="555"/>
    <x v="2"/>
    <x v="2"/>
    <n v="1"/>
    <n v="299.99"/>
    <x v="4"/>
    <n v="239.99"/>
    <n v="239.99"/>
    <x v="0"/>
    <x v="3"/>
    <x v="2"/>
    <x v="7"/>
    <s v="Castilla y León"/>
    <x v="1"/>
    <n v="2"/>
    <n v="299.99"/>
    <n v="60"/>
  </r>
  <r>
    <s v="ORD-101093"/>
    <x v="556"/>
    <x v="14"/>
    <x v="1"/>
    <n v="3"/>
    <n v="249.99"/>
    <x v="0"/>
    <n v="212.49"/>
    <n v="637.47"/>
    <x v="3"/>
    <x v="0"/>
    <x v="1"/>
    <x v="9"/>
    <s v="Asturias"/>
    <x v="1"/>
    <m/>
    <n v="749.97"/>
    <n v="112.5"/>
  </r>
  <r>
    <s v="ORD-101094"/>
    <x v="508"/>
    <x v="7"/>
    <x v="3"/>
    <n v="2"/>
    <n v="19.989999999999998"/>
    <x v="0"/>
    <n v="16.989999999999998"/>
    <n v="33.979999999999997"/>
    <x v="4"/>
    <x v="0"/>
    <x v="4"/>
    <x v="14"/>
    <s v="Aragón"/>
    <x v="0"/>
    <m/>
    <n v="39.979999999999997"/>
    <n v="6"/>
  </r>
  <r>
    <s v="ORD-101095"/>
    <x v="143"/>
    <x v="19"/>
    <x v="0"/>
    <n v="2"/>
    <n v="1199.99"/>
    <x v="0"/>
    <n v="1019.99"/>
    <n v="2039.98"/>
    <x v="3"/>
    <x v="1"/>
    <x v="4"/>
    <x v="1"/>
    <s v="Comunitat Valenciana"/>
    <x v="1"/>
    <m/>
    <n v="2399.98"/>
    <n v="360"/>
  </r>
  <r>
    <s v="ORD-101096"/>
    <x v="252"/>
    <x v="29"/>
    <x v="0"/>
    <n v="4"/>
    <n v="129.99"/>
    <x v="3"/>
    <n v="116.99"/>
    <n v="467.96"/>
    <x v="2"/>
    <x v="1"/>
    <x v="3"/>
    <x v="10"/>
    <s v="Cantabria"/>
    <x v="1"/>
    <m/>
    <n v="519.96"/>
    <n v="52.000000000000057"/>
  </r>
  <r>
    <s v="ORD-101097"/>
    <x v="557"/>
    <x v="8"/>
    <x v="2"/>
    <n v="1"/>
    <n v="59.99"/>
    <x v="3"/>
    <n v="53.99"/>
    <n v="53.99"/>
    <x v="0"/>
    <x v="2"/>
    <x v="3"/>
    <x v="8"/>
    <s v="La Rioja"/>
    <x v="1"/>
    <n v="1"/>
    <n v="59.99"/>
    <n v="6"/>
  </r>
  <r>
    <s v="ORD-101098"/>
    <x v="558"/>
    <x v="25"/>
    <x v="4"/>
    <n v="4"/>
    <n v="34.99"/>
    <x v="4"/>
    <n v="27.99"/>
    <n v="111.96"/>
    <x v="1"/>
    <x v="0"/>
    <x v="1"/>
    <x v="13"/>
    <s v="Andalucía"/>
    <x v="0"/>
    <m/>
    <n v="139.96"/>
    <n v="28.000000000000014"/>
  </r>
  <r>
    <s v="ORD-101099"/>
    <x v="423"/>
    <x v="19"/>
    <x v="0"/>
    <n v="1"/>
    <n v="1199.99"/>
    <x v="2"/>
    <n v="1139.99"/>
    <n v="1139.99"/>
    <x v="0"/>
    <x v="0"/>
    <x v="0"/>
    <x v="0"/>
    <s v="Andalucía"/>
    <x v="0"/>
    <n v="1"/>
    <n v="1199.99"/>
    <n v="60"/>
  </r>
  <r>
    <s v="ORD-101100"/>
    <x v="559"/>
    <x v="12"/>
    <x v="2"/>
    <n v="3"/>
    <n v="189.99"/>
    <x v="1"/>
    <n v="189.99"/>
    <n v="569.97"/>
    <x v="0"/>
    <x v="1"/>
    <x v="2"/>
    <x v="1"/>
    <s v="Comunitat Valenciana"/>
    <x v="1"/>
    <n v="2"/>
    <n v="569.97"/>
    <n v="0"/>
  </r>
  <r>
    <s v="ORD-101101"/>
    <x v="560"/>
    <x v="16"/>
    <x v="1"/>
    <n v="3"/>
    <n v="79.989999999999995"/>
    <x v="1"/>
    <n v="79.989999999999995"/>
    <n v="239.97"/>
    <x v="0"/>
    <x v="1"/>
    <x v="1"/>
    <x v="4"/>
    <s v="Castilla y León"/>
    <x v="1"/>
    <n v="1"/>
    <n v="239.96999999999997"/>
    <n v="0"/>
  </r>
  <r>
    <s v="ORD-101102"/>
    <x v="433"/>
    <x v="25"/>
    <x v="4"/>
    <n v="4"/>
    <n v="34.99"/>
    <x v="1"/>
    <n v="34.99"/>
    <n v="139.96"/>
    <x v="2"/>
    <x v="1"/>
    <x v="0"/>
    <x v="1"/>
    <s v="Comunitat Valenciana"/>
    <x v="1"/>
    <m/>
    <n v="139.96"/>
    <n v="0"/>
  </r>
  <r>
    <s v="ORD-101103"/>
    <x v="409"/>
    <x v="12"/>
    <x v="2"/>
    <n v="5"/>
    <n v="189.99"/>
    <x v="0"/>
    <n v="161.49"/>
    <n v="807.45"/>
    <x v="1"/>
    <x v="0"/>
    <x v="3"/>
    <x v="1"/>
    <s v="Comunitat Valenciana"/>
    <x v="1"/>
    <m/>
    <n v="949.95"/>
    <n v="142.5"/>
  </r>
  <r>
    <s v="ORD-101104"/>
    <x v="92"/>
    <x v="11"/>
    <x v="0"/>
    <n v="3"/>
    <n v="349.99"/>
    <x v="3"/>
    <n v="314.99"/>
    <n v="944.97"/>
    <x v="2"/>
    <x v="1"/>
    <x v="1"/>
    <x v="4"/>
    <s v="Castilla y León"/>
    <x v="1"/>
    <m/>
    <n v="1049.97"/>
    <n v="105"/>
  </r>
  <r>
    <s v="ORD-101105"/>
    <x v="561"/>
    <x v="4"/>
    <x v="4"/>
    <n v="1"/>
    <n v="349.99"/>
    <x v="0"/>
    <n v="297.49"/>
    <n v="297.49"/>
    <x v="1"/>
    <x v="0"/>
    <x v="3"/>
    <x v="1"/>
    <s v="Comunitat Valenciana"/>
    <x v="1"/>
    <m/>
    <n v="349.99"/>
    <n v="52.5"/>
  </r>
  <r>
    <s v="ORD-101106"/>
    <x v="483"/>
    <x v="19"/>
    <x v="0"/>
    <n v="4"/>
    <n v="1199.99"/>
    <x v="0"/>
    <n v="1019.99"/>
    <n v="4079.96"/>
    <x v="1"/>
    <x v="0"/>
    <x v="4"/>
    <x v="9"/>
    <s v="Asturias"/>
    <x v="1"/>
    <m/>
    <n v="4799.96"/>
    <n v="720"/>
  </r>
  <r>
    <s v="ORD-101107"/>
    <x v="562"/>
    <x v="4"/>
    <x v="4"/>
    <n v="4"/>
    <n v="349.99"/>
    <x v="1"/>
    <n v="349.99"/>
    <n v="1399.96"/>
    <x v="0"/>
    <x v="1"/>
    <x v="3"/>
    <x v="7"/>
    <s v="Castilla y León"/>
    <x v="1"/>
    <n v="1"/>
    <n v="1399.96"/>
    <n v="0"/>
  </r>
  <r>
    <s v="ORD-101108"/>
    <x v="395"/>
    <x v="17"/>
    <x v="0"/>
    <n v="3"/>
    <n v="899.99"/>
    <x v="2"/>
    <n v="854.99"/>
    <n v="2564.9699999999998"/>
    <x v="0"/>
    <x v="0"/>
    <x v="0"/>
    <x v="14"/>
    <s v="Aragón"/>
    <x v="0"/>
    <n v="1"/>
    <n v="2699.9700000000003"/>
    <n v="135.00000000000045"/>
  </r>
  <r>
    <s v="ORD-101109"/>
    <x v="325"/>
    <x v="8"/>
    <x v="2"/>
    <n v="1"/>
    <n v="59.99"/>
    <x v="0"/>
    <n v="50.99"/>
    <n v="50.99"/>
    <x v="0"/>
    <x v="0"/>
    <x v="0"/>
    <x v="10"/>
    <s v="Cantabria"/>
    <x v="1"/>
    <n v="2"/>
    <n v="59.99"/>
    <n v="9"/>
  </r>
  <r>
    <s v="ORD-101110"/>
    <x v="563"/>
    <x v="29"/>
    <x v="0"/>
    <n v="3"/>
    <n v="129.99"/>
    <x v="1"/>
    <n v="129.99"/>
    <n v="389.97"/>
    <x v="0"/>
    <x v="0"/>
    <x v="3"/>
    <x v="9"/>
    <s v="Asturias"/>
    <x v="1"/>
    <n v="1"/>
    <n v="389.97"/>
    <n v="0"/>
  </r>
  <r>
    <s v="ORD-101111"/>
    <x v="282"/>
    <x v="8"/>
    <x v="2"/>
    <n v="3"/>
    <n v="59.99"/>
    <x v="4"/>
    <n v="47.99"/>
    <n v="143.97"/>
    <x v="0"/>
    <x v="1"/>
    <x v="4"/>
    <x v="11"/>
    <s v="Cataluña"/>
    <x v="2"/>
    <n v="1"/>
    <n v="179.97"/>
    <n v="36"/>
  </r>
  <r>
    <s v="ORD-101112"/>
    <x v="564"/>
    <x v="14"/>
    <x v="1"/>
    <n v="2"/>
    <n v="249.99"/>
    <x v="1"/>
    <n v="249.99"/>
    <n v="499.98"/>
    <x v="1"/>
    <x v="0"/>
    <x v="0"/>
    <x v="1"/>
    <s v="Comunitat Valenciana"/>
    <x v="1"/>
    <m/>
    <n v="499.98"/>
    <n v="0"/>
  </r>
  <r>
    <s v="ORD-101113"/>
    <x v="201"/>
    <x v="1"/>
    <x v="1"/>
    <n v="1"/>
    <n v="399.99"/>
    <x v="1"/>
    <n v="399.99"/>
    <n v="399.99"/>
    <x v="4"/>
    <x v="0"/>
    <x v="0"/>
    <x v="4"/>
    <s v="Castilla y León"/>
    <x v="1"/>
    <m/>
    <n v="399.99"/>
    <n v="0"/>
  </r>
  <r>
    <s v="ORD-101114"/>
    <x v="441"/>
    <x v="6"/>
    <x v="0"/>
    <n v="2"/>
    <n v="89.99"/>
    <x v="1"/>
    <n v="89.99"/>
    <n v="179.98"/>
    <x v="3"/>
    <x v="0"/>
    <x v="1"/>
    <x v="12"/>
    <s v="Región de Murcia"/>
    <x v="1"/>
    <m/>
    <n v="179.98"/>
    <n v="0"/>
  </r>
  <r>
    <s v="ORD-101115"/>
    <x v="562"/>
    <x v="6"/>
    <x v="0"/>
    <n v="1"/>
    <n v="89.99"/>
    <x v="0"/>
    <n v="76.489999999999995"/>
    <n v="76.489999999999995"/>
    <x v="0"/>
    <x v="0"/>
    <x v="3"/>
    <x v="3"/>
    <s v="Comunidad de Madrid"/>
    <x v="2"/>
    <n v="1"/>
    <n v="89.99"/>
    <n v="13.5"/>
  </r>
  <r>
    <s v="ORD-101116"/>
    <x v="294"/>
    <x v="18"/>
    <x v="2"/>
    <n v="4"/>
    <n v="99.99"/>
    <x v="1"/>
    <n v="99.99"/>
    <n v="399.96"/>
    <x v="2"/>
    <x v="1"/>
    <x v="0"/>
    <x v="2"/>
    <s v="Navarra"/>
    <x v="1"/>
    <m/>
    <n v="399.96"/>
    <n v="0"/>
  </r>
  <r>
    <s v="ORD-101117"/>
    <x v="424"/>
    <x v="26"/>
    <x v="1"/>
    <n v="4"/>
    <n v="599.99"/>
    <x v="3"/>
    <n v="539.99"/>
    <n v="2159.96"/>
    <x v="1"/>
    <x v="1"/>
    <x v="1"/>
    <x v="14"/>
    <s v="Aragón"/>
    <x v="0"/>
    <m/>
    <n v="2399.96"/>
    <n v="240"/>
  </r>
  <r>
    <s v="ORD-101118"/>
    <x v="209"/>
    <x v="26"/>
    <x v="1"/>
    <n v="5"/>
    <n v="599.99"/>
    <x v="1"/>
    <n v="599.99"/>
    <n v="2999.95"/>
    <x v="0"/>
    <x v="0"/>
    <x v="3"/>
    <x v="11"/>
    <s v="Cataluña"/>
    <x v="2"/>
    <n v="1"/>
    <n v="2999.95"/>
    <n v="0"/>
  </r>
  <r>
    <s v="ORD-101119"/>
    <x v="565"/>
    <x v="8"/>
    <x v="2"/>
    <n v="2"/>
    <n v="59.99"/>
    <x v="3"/>
    <n v="53.99"/>
    <n v="107.98"/>
    <x v="0"/>
    <x v="0"/>
    <x v="3"/>
    <x v="7"/>
    <s v="Castilla y León"/>
    <x v="1"/>
    <n v="5"/>
    <n v="119.98"/>
    <n v="12"/>
  </r>
  <r>
    <s v="ORD-101120"/>
    <x v="505"/>
    <x v="29"/>
    <x v="0"/>
    <n v="2"/>
    <n v="129.99"/>
    <x v="1"/>
    <n v="129.99"/>
    <n v="259.98"/>
    <x v="1"/>
    <x v="0"/>
    <x v="3"/>
    <x v="3"/>
    <s v="Comunidad de Madrid"/>
    <x v="2"/>
    <m/>
    <n v="259.98"/>
    <n v="0"/>
  </r>
  <r>
    <s v="ORD-101121"/>
    <x v="566"/>
    <x v="9"/>
    <x v="2"/>
    <n v="3"/>
    <n v="29.99"/>
    <x v="1"/>
    <n v="29.99"/>
    <n v="89.97"/>
    <x v="0"/>
    <x v="2"/>
    <x v="0"/>
    <x v="7"/>
    <s v="Castilla y León"/>
    <x v="1"/>
    <n v="3"/>
    <n v="89.97"/>
    <n v="0"/>
  </r>
  <r>
    <s v="ORD-101122"/>
    <x v="567"/>
    <x v="24"/>
    <x v="3"/>
    <n v="3"/>
    <n v="89.99"/>
    <x v="1"/>
    <n v="89.99"/>
    <n v="269.97000000000003"/>
    <x v="4"/>
    <x v="1"/>
    <x v="1"/>
    <x v="7"/>
    <s v="Castilla y León"/>
    <x v="1"/>
    <m/>
    <n v="269.96999999999997"/>
    <n v="0"/>
  </r>
  <r>
    <s v="ORD-101123"/>
    <x v="202"/>
    <x v="28"/>
    <x v="0"/>
    <n v="5"/>
    <n v="499.99"/>
    <x v="4"/>
    <n v="399.99"/>
    <n v="1999.95"/>
    <x v="2"/>
    <x v="0"/>
    <x v="0"/>
    <x v="8"/>
    <s v="La Rioja"/>
    <x v="1"/>
    <m/>
    <n v="2499.9499999999998"/>
    <n v="499.99999999999977"/>
  </r>
  <r>
    <s v="ORD-101124"/>
    <x v="568"/>
    <x v="9"/>
    <x v="2"/>
    <n v="2"/>
    <n v="29.99"/>
    <x v="4"/>
    <n v="23.99"/>
    <n v="47.98"/>
    <x v="0"/>
    <x v="1"/>
    <x v="1"/>
    <x v="0"/>
    <s v="Andalucía"/>
    <x v="0"/>
    <n v="4"/>
    <n v="59.98"/>
    <n v="12"/>
  </r>
  <r>
    <s v="ORD-101125"/>
    <x v="569"/>
    <x v="2"/>
    <x v="2"/>
    <n v="3"/>
    <n v="299.99"/>
    <x v="4"/>
    <n v="239.99"/>
    <n v="719.97"/>
    <x v="0"/>
    <x v="1"/>
    <x v="3"/>
    <x v="14"/>
    <s v="Aragón"/>
    <x v="0"/>
    <n v="2"/>
    <n v="899.97"/>
    <n v="180"/>
  </r>
  <r>
    <s v="ORD-101126"/>
    <x v="349"/>
    <x v="26"/>
    <x v="1"/>
    <n v="1"/>
    <n v="599.99"/>
    <x v="2"/>
    <n v="569.99"/>
    <n v="569.99"/>
    <x v="0"/>
    <x v="1"/>
    <x v="1"/>
    <x v="3"/>
    <s v="Comunidad de Madrid"/>
    <x v="2"/>
    <n v="4"/>
    <n v="599.99"/>
    <n v="30"/>
  </r>
  <r>
    <s v="ORD-101127"/>
    <x v="459"/>
    <x v="21"/>
    <x v="0"/>
    <n v="2"/>
    <n v="799.99"/>
    <x v="2"/>
    <n v="759.99"/>
    <n v="1519.98"/>
    <x v="1"/>
    <x v="0"/>
    <x v="1"/>
    <x v="8"/>
    <s v="La Rioja"/>
    <x v="1"/>
    <m/>
    <n v="1599.98"/>
    <n v="80"/>
  </r>
  <r>
    <s v="ORD-101128"/>
    <x v="381"/>
    <x v="20"/>
    <x v="3"/>
    <n v="2"/>
    <n v="39.99"/>
    <x v="4"/>
    <n v="31.99"/>
    <n v="63.98"/>
    <x v="4"/>
    <x v="0"/>
    <x v="3"/>
    <x v="14"/>
    <s v="Aragón"/>
    <x v="0"/>
    <m/>
    <n v="79.98"/>
    <n v="16.000000000000007"/>
  </r>
  <r>
    <s v="ORD-101129"/>
    <x v="85"/>
    <x v="0"/>
    <x v="0"/>
    <n v="2"/>
    <n v="45.99"/>
    <x v="1"/>
    <n v="45.99"/>
    <n v="91.98"/>
    <x v="0"/>
    <x v="1"/>
    <x v="1"/>
    <x v="9"/>
    <s v="Asturias"/>
    <x v="1"/>
    <n v="1"/>
    <n v="91.98"/>
    <n v="0"/>
  </r>
  <r>
    <s v="ORD-101130"/>
    <x v="322"/>
    <x v="21"/>
    <x v="0"/>
    <n v="2"/>
    <n v="799.99"/>
    <x v="1"/>
    <n v="799.99"/>
    <n v="1599.98"/>
    <x v="0"/>
    <x v="0"/>
    <x v="0"/>
    <x v="4"/>
    <s v="Castilla y León"/>
    <x v="1"/>
    <n v="5"/>
    <n v="1599.98"/>
    <n v="0"/>
  </r>
  <r>
    <s v="ORD-101131"/>
    <x v="327"/>
    <x v="29"/>
    <x v="0"/>
    <n v="2"/>
    <n v="129.99"/>
    <x v="1"/>
    <n v="129.99"/>
    <n v="259.98"/>
    <x v="0"/>
    <x v="2"/>
    <x v="0"/>
    <x v="5"/>
    <s v="País Vasco"/>
    <x v="0"/>
    <n v="2"/>
    <n v="259.98"/>
    <n v="0"/>
  </r>
  <r>
    <s v="ORD-101132"/>
    <x v="9"/>
    <x v="9"/>
    <x v="2"/>
    <n v="1"/>
    <n v="29.99"/>
    <x v="1"/>
    <n v="29.99"/>
    <n v="29.99"/>
    <x v="3"/>
    <x v="1"/>
    <x v="3"/>
    <x v="5"/>
    <s v="País Vasco"/>
    <x v="0"/>
    <m/>
    <n v="29.99"/>
    <n v="0"/>
  </r>
  <r>
    <s v="ORD-101133"/>
    <x v="331"/>
    <x v="12"/>
    <x v="2"/>
    <n v="2"/>
    <n v="189.99"/>
    <x v="3"/>
    <n v="170.99"/>
    <n v="341.98"/>
    <x v="4"/>
    <x v="2"/>
    <x v="2"/>
    <x v="1"/>
    <s v="Comunitat Valenciana"/>
    <x v="1"/>
    <m/>
    <n v="379.98"/>
    <n v="38"/>
  </r>
  <r>
    <s v="ORD-101134"/>
    <x v="92"/>
    <x v="0"/>
    <x v="0"/>
    <n v="2"/>
    <n v="45.99"/>
    <x v="1"/>
    <n v="45.99"/>
    <n v="91.98"/>
    <x v="1"/>
    <x v="1"/>
    <x v="1"/>
    <x v="0"/>
    <s v="Andalucía"/>
    <x v="0"/>
    <m/>
    <n v="91.98"/>
    <n v="0"/>
  </r>
  <r>
    <s v="ORD-101135"/>
    <x v="329"/>
    <x v="27"/>
    <x v="1"/>
    <n v="4"/>
    <n v="49.99"/>
    <x v="0"/>
    <n v="42.49"/>
    <n v="169.96"/>
    <x v="0"/>
    <x v="2"/>
    <x v="3"/>
    <x v="3"/>
    <s v="Comunidad de Madrid"/>
    <x v="2"/>
    <n v="5"/>
    <n v="199.96"/>
    <n v="30"/>
  </r>
  <r>
    <s v="ORD-101136"/>
    <x v="86"/>
    <x v="8"/>
    <x v="2"/>
    <n v="2"/>
    <n v="59.99"/>
    <x v="1"/>
    <n v="59.99"/>
    <n v="119.98"/>
    <x v="0"/>
    <x v="2"/>
    <x v="2"/>
    <x v="9"/>
    <s v="Asturias"/>
    <x v="1"/>
    <n v="5"/>
    <n v="119.98"/>
    <n v="0"/>
  </r>
  <r>
    <s v="ORD-101137"/>
    <x v="135"/>
    <x v="23"/>
    <x v="4"/>
    <n v="4"/>
    <n v="24.99"/>
    <x v="1"/>
    <n v="24.99"/>
    <n v="99.96"/>
    <x v="1"/>
    <x v="1"/>
    <x v="1"/>
    <x v="2"/>
    <s v="Navarra"/>
    <x v="1"/>
    <m/>
    <n v="99.96"/>
    <n v="0"/>
  </r>
  <r>
    <s v="ORD-101138"/>
    <x v="92"/>
    <x v="29"/>
    <x v="0"/>
    <n v="5"/>
    <n v="129.99"/>
    <x v="2"/>
    <n v="123.49"/>
    <n v="617.45000000000005"/>
    <x v="1"/>
    <x v="2"/>
    <x v="3"/>
    <x v="9"/>
    <s v="Asturias"/>
    <x v="1"/>
    <m/>
    <n v="649.95000000000005"/>
    <n v="32.5"/>
  </r>
  <r>
    <s v="ORD-101139"/>
    <x v="225"/>
    <x v="26"/>
    <x v="1"/>
    <n v="2"/>
    <n v="599.99"/>
    <x v="1"/>
    <n v="599.99"/>
    <n v="1199.98"/>
    <x v="1"/>
    <x v="1"/>
    <x v="1"/>
    <x v="7"/>
    <s v="Castilla y León"/>
    <x v="1"/>
    <m/>
    <n v="1199.98"/>
    <n v="0"/>
  </r>
  <r>
    <s v="ORD-101140"/>
    <x v="61"/>
    <x v="16"/>
    <x v="1"/>
    <n v="3"/>
    <n v="79.989999999999995"/>
    <x v="3"/>
    <n v="71.989999999999995"/>
    <n v="215.97"/>
    <x v="0"/>
    <x v="2"/>
    <x v="1"/>
    <x v="4"/>
    <s v="Castilla y León"/>
    <x v="1"/>
    <n v="2"/>
    <n v="239.96999999999997"/>
    <n v="23.999999999999972"/>
  </r>
  <r>
    <s v="ORD-101141"/>
    <x v="13"/>
    <x v="23"/>
    <x v="4"/>
    <n v="2"/>
    <n v="24.99"/>
    <x v="2"/>
    <n v="23.74"/>
    <n v="47.48"/>
    <x v="2"/>
    <x v="0"/>
    <x v="3"/>
    <x v="13"/>
    <s v="Andalucía"/>
    <x v="0"/>
    <m/>
    <n v="49.98"/>
    <n v="2.5"/>
  </r>
  <r>
    <s v="ORD-101142"/>
    <x v="570"/>
    <x v="1"/>
    <x v="1"/>
    <n v="2"/>
    <n v="399.99"/>
    <x v="4"/>
    <n v="319.99"/>
    <n v="639.98"/>
    <x v="0"/>
    <x v="0"/>
    <x v="1"/>
    <x v="7"/>
    <s v="Castilla y León"/>
    <x v="1"/>
    <n v="3"/>
    <n v="799.98"/>
    <n v="160"/>
  </r>
  <r>
    <s v="ORD-101143"/>
    <x v="505"/>
    <x v="14"/>
    <x v="1"/>
    <n v="3"/>
    <n v="249.99"/>
    <x v="1"/>
    <n v="249.99"/>
    <n v="749.97"/>
    <x v="0"/>
    <x v="1"/>
    <x v="0"/>
    <x v="12"/>
    <s v="Región de Murcia"/>
    <x v="1"/>
    <n v="4"/>
    <n v="749.97"/>
    <n v="0"/>
  </r>
  <r>
    <s v="ORD-101144"/>
    <x v="70"/>
    <x v="3"/>
    <x v="3"/>
    <n v="4"/>
    <n v="34.99"/>
    <x v="1"/>
    <n v="34.99"/>
    <n v="139.96"/>
    <x v="2"/>
    <x v="0"/>
    <x v="0"/>
    <x v="14"/>
    <s v="Aragón"/>
    <x v="0"/>
    <m/>
    <n v="139.96"/>
    <n v="0"/>
  </r>
  <r>
    <s v="ORD-101145"/>
    <x v="43"/>
    <x v="28"/>
    <x v="0"/>
    <n v="3"/>
    <n v="499.99"/>
    <x v="0"/>
    <n v="424.99"/>
    <n v="1274.97"/>
    <x v="0"/>
    <x v="0"/>
    <x v="2"/>
    <x v="4"/>
    <s v="Castilla y León"/>
    <x v="1"/>
    <n v="5"/>
    <n v="1499.97"/>
    <n v="225"/>
  </r>
  <r>
    <s v="ORD-101146"/>
    <x v="571"/>
    <x v="9"/>
    <x v="2"/>
    <n v="1"/>
    <n v="29.99"/>
    <x v="4"/>
    <n v="23.99"/>
    <n v="23.99"/>
    <x v="0"/>
    <x v="0"/>
    <x v="0"/>
    <x v="0"/>
    <s v="Andalucía"/>
    <x v="0"/>
    <n v="1"/>
    <n v="29.99"/>
    <n v="6"/>
  </r>
  <r>
    <s v="ORD-101147"/>
    <x v="571"/>
    <x v="21"/>
    <x v="0"/>
    <n v="3"/>
    <n v="799.99"/>
    <x v="1"/>
    <n v="799.99"/>
    <n v="2399.9699999999998"/>
    <x v="1"/>
    <x v="0"/>
    <x v="2"/>
    <x v="5"/>
    <s v="País Vasco"/>
    <x v="0"/>
    <m/>
    <n v="2399.9700000000003"/>
    <n v="0"/>
  </r>
  <r>
    <s v="ORD-101148"/>
    <x v="358"/>
    <x v="4"/>
    <x v="4"/>
    <n v="3"/>
    <n v="349.99"/>
    <x v="1"/>
    <n v="349.99"/>
    <n v="1049.97"/>
    <x v="1"/>
    <x v="3"/>
    <x v="1"/>
    <x v="6"/>
    <s v="Comunitat Valenciana"/>
    <x v="0"/>
    <m/>
    <n v="1049.97"/>
    <n v="0"/>
  </r>
  <r>
    <s v="ORD-101149"/>
    <x v="285"/>
    <x v="22"/>
    <x v="4"/>
    <n v="3"/>
    <n v="44.99"/>
    <x v="1"/>
    <n v="44.99"/>
    <n v="134.97"/>
    <x v="1"/>
    <x v="2"/>
    <x v="1"/>
    <x v="5"/>
    <s v="País Vasco"/>
    <x v="0"/>
    <m/>
    <n v="134.97"/>
    <n v="0"/>
  </r>
  <r>
    <s v="ORD-101150"/>
    <x v="370"/>
    <x v="20"/>
    <x v="3"/>
    <n v="5"/>
    <n v="39.99"/>
    <x v="4"/>
    <n v="31.99"/>
    <n v="159.94999999999999"/>
    <x v="1"/>
    <x v="1"/>
    <x v="4"/>
    <x v="12"/>
    <s v="Región de Murcia"/>
    <x v="1"/>
    <m/>
    <n v="199.95000000000002"/>
    <n v="40.000000000000028"/>
  </r>
  <r>
    <s v="ORD-101151"/>
    <x v="504"/>
    <x v="4"/>
    <x v="4"/>
    <n v="4"/>
    <n v="349.99"/>
    <x v="1"/>
    <n v="349.99"/>
    <n v="1399.96"/>
    <x v="0"/>
    <x v="0"/>
    <x v="0"/>
    <x v="10"/>
    <s v="Cantabria"/>
    <x v="1"/>
    <n v="5"/>
    <n v="1399.96"/>
    <n v="0"/>
  </r>
  <r>
    <s v="ORD-101152"/>
    <x v="572"/>
    <x v="18"/>
    <x v="2"/>
    <n v="4"/>
    <n v="99.99"/>
    <x v="0"/>
    <n v="84.99"/>
    <n v="339.96"/>
    <x v="2"/>
    <x v="2"/>
    <x v="0"/>
    <x v="14"/>
    <s v="Aragón"/>
    <x v="0"/>
    <m/>
    <n v="399.96"/>
    <n v="60"/>
  </r>
  <r>
    <s v="ORD-101153"/>
    <x v="256"/>
    <x v="3"/>
    <x v="3"/>
    <n v="4"/>
    <n v="34.99"/>
    <x v="1"/>
    <n v="34.99"/>
    <n v="139.96"/>
    <x v="0"/>
    <x v="1"/>
    <x v="3"/>
    <x v="8"/>
    <s v="La Rioja"/>
    <x v="1"/>
    <n v="5"/>
    <n v="139.96"/>
    <n v="0"/>
  </r>
  <r>
    <s v="ORD-101154"/>
    <x v="212"/>
    <x v="13"/>
    <x v="3"/>
    <n v="1"/>
    <n v="49.99"/>
    <x v="2"/>
    <n v="47.49"/>
    <n v="47.49"/>
    <x v="2"/>
    <x v="0"/>
    <x v="0"/>
    <x v="8"/>
    <s v="La Rioja"/>
    <x v="1"/>
    <m/>
    <n v="49.99"/>
    <n v="2.5"/>
  </r>
  <r>
    <s v="ORD-101155"/>
    <x v="421"/>
    <x v="12"/>
    <x v="2"/>
    <n v="4"/>
    <n v="189.99"/>
    <x v="4"/>
    <n v="151.99"/>
    <n v="607.96"/>
    <x v="1"/>
    <x v="0"/>
    <x v="3"/>
    <x v="7"/>
    <s v="Castilla y León"/>
    <x v="1"/>
    <m/>
    <n v="759.96"/>
    <n v="152"/>
  </r>
  <r>
    <s v="ORD-101156"/>
    <x v="491"/>
    <x v="8"/>
    <x v="2"/>
    <n v="1"/>
    <n v="59.99"/>
    <x v="1"/>
    <n v="59.99"/>
    <n v="59.99"/>
    <x v="0"/>
    <x v="1"/>
    <x v="1"/>
    <x v="14"/>
    <s v="Aragón"/>
    <x v="0"/>
    <n v="5"/>
    <n v="59.99"/>
    <n v="0"/>
  </r>
  <r>
    <s v="ORD-101157"/>
    <x v="204"/>
    <x v="4"/>
    <x v="4"/>
    <n v="4"/>
    <n v="349.99"/>
    <x v="2"/>
    <n v="332.49"/>
    <n v="1329.96"/>
    <x v="0"/>
    <x v="0"/>
    <x v="3"/>
    <x v="13"/>
    <s v="Andalucía"/>
    <x v="0"/>
    <n v="4"/>
    <n v="1399.96"/>
    <n v="70"/>
  </r>
  <r>
    <s v="ORD-101158"/>
    <x v="286"/>
    <x v="24"/>
    <x v="3"/>
    <n v="5"/>
    <n v="89.99"/>
    <x v="2"/>
    <n v="85.49"/>
    <n v="427.45"/>
    <x v="1"/>
    <x v="0"/>
    <x v="0"/>
    <x v="5"/>
    <s v="País Vasco"/>
    <x v="0"/>
    <m/>
    <n v="449.95"/>
    <n v="22.5"/>
  </r>
  <r>
    <s v="ORD-101159"/>
    <x v="90"/>
    <x v="29"/>
    <x v="0"/>
    <n v="1"/>
    <n v="129.99"/>
    <x v="4"/>
    <n v="103.99"/>
    <n v="103.99"/>
    <x v="1"/>
    <x v="0"/>
    <x v="0"/>
    <x v="12"/>
    <s v="Región de Murcia"/>
    <x v="1"/>
    <m/>
    <n v="129.99"/>
    <n v="26.000000000000014"/>
  </r>
  <r>
    <s v="ORD-101160"/>
    <x v="198"/>
    <x v="13"/>
    <x v="3"/>
    <n v="2"/>
    <n v="49.99"/>
    <x v="1"/>
    <n v="49.99"/>
    <n v="99.98"/>
    <x v="0"/>
    <x v="0"/>
    <x v="0"/>
    <x v="7"/>
    <s v="Castilla y León"/>
    <x v="1"/>
    <n v="5"/>
    <n v="99.98"/>
    <n v="0"/>
  </r>
  <r>
    <s v="ORD-101161"/>
    <x v="15"/>
    <x v="29"/>
    <x v="0"/>
    <n v="3"/>
    <n v="129.99"/>
    <x v="4"/>
    <n v="103.99"/>
    <n v="311.97000000000003"/>
    <x v="3"/>
    <x v="0"/>
    <x v="0"/>
    <x v="13"/>
    <s v="Andalucía"/>
    <x v="0"/>
    <m/>
    <n v="389.97"/>
    <n v="78"/>
  </r>
  <r>
    <s v="ORD-101162"/>
    <x v="573"/>
    <x v="3"/>
    <x v="3"/>
    <n v="4"/>
    <n v="34.99"/>
    <x v="0"/>
    <n v="29.74"/>
    <n v="118.96"/>
    <x v="0"/>
    <x v="2"/>
    <x v="0"/>
    <x v="4"/>
    <s v="Castilla y León"/>
    <x v="1"/>
    <n v="2"/>
    <n v="139.96"/>
    <n v="21.000000000000014"/>
  </r>
  <r>
    <s v="ORD-101163"/>
    <x v="319"/>
    <x v="3"/>
    <x v="3"/>
    <n v="4"/>
    <n v="34.99"/>
    <x v="1"/>
    <n v="34.99"/>
    <n v="139.96"/>
    <x v="1"/>
    <x v="1"/>
    <x v="3"/>
    <x v="5"/>
    <s v="País Vasco"/>
    <x v="0"/>
    <m/>
    <n v="139.96"/>
    <n v="0"/>
  </r>
  <r>
    <s v="ORD-101164"/>
    <x v="298"/>
    <x v="26"/>
    <x v="1"/>
    <n v="3"/>
    <n v="599.99"/>
    <x v="1"/>
    <n v="599.99"/>
    <n v="1799.97"/>
    <x v="0"/>
    <x v="0"/>
    <x v="2"/>
    <x v="6"/>
    <s v="Comunitat Valenciana"/>
    <x v="0"/>
    <n v="5"/>
    <n v="1799.97"/>
    <n v="0"/>
  </r>
  <r>
    <s v="ORD-101165"/>
    <x v="12"/>
    <x v="14"/>
    <x v="1"/>
    <n v="3"/>
    <n v="249.99"/>
    <x v="3"/>
    <n v="224.99"/>
    <n v="674.97"/>
    <x v="2"/>
    <x v="1"/>
    <x v="0"/>
    <x v="12"/>
    <s v="Región de Murcia"/>
    <x v="1"/>
    <m/>
    <n v="749.97"/>
    <n v="75"/>
  </r>
  <r>
    <s v="ORD-101166"/>
    <x v="141"/>
    <x v="13"/>
    <x v="3"/>
    <n v="4"/>
    <n v="49.99"/>
    <x v="1"/>
    <n v="49.99"/>
    <n v="199.96"/>
    <x v="1"/>
    <x v="2"/>
    <x v="3"/>
    <x v="10"/>
    <s v="Cantabria"/>
    <x v="1"/>
    <m/>
    <n v="199.96"/>
    <n v="0"/>
  </r>
  <r>
    <s v="ORD-101167"/>
    <x v="320"/>
    <x v="3"/>
    <x v="3"/>
    <n v="2"/>
    <n v="34.99"/>
    <x v="1"/>
    <n v="34.99"/>
    <n v="69.98"/>
    <x v="2"/>
    <x v="0"/>
    <x v="3"/>
    <x v="10"/>
    <s v="Cantabria"/>
    <x v="1"/>
    <m/>
    <n v="69.98"/>
    <n v="0"/>
  </r>
  <r>
    <s v="ORD-101168"/>
    <x v="58"/>
    <x v="29"/>
    <x v="0"/>
    <n v="5"/>
    <n v="129.99"/>
    <x v="1"/>
    <n v="129.99"/>
    <n v="649.95000000000005"/>
    <x v="0"/>
    <x v="0"/>
    <x v="2"/>
    <x v="3"/>
    <s v="Comunidad de Madrid"/>
    <x v="2"/>
    <n v="3"/>
    <n v="649.95000000000005"/>
    <n v="0"/>
  </r>
  <r>
    <s v="ORD-101169"/>
    <x v="130"/>
    <x v="5"/>
    <x v="1"/>
    <n v="3"/>
    <n v="149.99"/>
    <x v="0"/>
    <n v="127.49"/>
    <n v="382.47"/>
    <x v="3"/>
    <x v="1"/>
    <x v="4"/>
    <x v="10"/>
    <s v="Cantabria"/>
    <x v="1"/>
    <m/>
    <n v="449.97"/>
    <n v="67.5"/>
  </r>
  <r>
    <s v="ORD-101170"/>
    <x v="383"/>
    <x v="3"/>
    <x v="3"/>
    <n v="5"/>
    <n v="34.99"/>
    <x v="1"/>
    <n v="34.99"/>
    <n v="174.95"/>
    <x v="4"/>
    <x v="2"/>
    <x v="3"/>
    <x v="11"/>
    <s v="Cataluña"/>
    <x v="2"/>
    <m/>
    <n v="174.95000000000002"/>
    <n v="0"/>
  </r>
  <r>
    <s v="ORD-101171"/>
    <x v="281"/>
    <x v="3"/>
    <x v="3"/>
    <n v="4"/>
    <n v="34.99"/>
    <x v="1"/>
    <n v="34.99"/>
    <n v="139.96"/>
    <x v="0"/>
    <x v="0"/>
    <x v="0"/>
    <x v="7"/>
    <s v="Castilla y León"/>
    <x v="1"/>
    <n v="4"/>
    <n v="139.96"/>
    <n v="0"/>
  </r>
  <r>
    <s v="ORD-101172"/>
    <x v="396"/>
    <x v="24"/>
    <x v="3"/>
    <n v="4"/>
    <n v="89.99"/>
    <x v="4"/>
    <n v="71.989999999999995"/>
    <n v="287.95999999999998"/>
    <x v="0"/>
    <x v="0"/>
    <x v="0"/>
    <x v="3"/>
    <s v="Comunidad de Madrid"/>
    <x v="2"/>
    <n v="2"/>
    <n v="359.96"/>
    <n v="72"/>
  </r>
  <r>
    <s v="ORD-101173"/>
    <x v="574"/>
    <x v="12"/>
    <x v="2"/>
    <n v="4"/>
    <n v="189.99"/>
    <x v="2"/>
    <n v="180.49"/>
    <n v="721.96"/>
    <x v="0"/>
    <x v="1"/>
    <x v="0"/>
    <x v="11"/>
    <s v="Cataluña"/>
    <x v="2"/>
    <n v="4"/>
    <n v="759.96"/>
    <n v="38"/>
  </r>
  <r>
    <s v="ORD-101174"/>
    <x v="29"/>
    <x v="16"/>
    <x v="1"/>
    <n v="3"/>
    <n v="79.989999999999995"/>
    <x v="4"/>
    <n v="63.99"/>
    <n v="191.97"/>
    <x v="0"/>
    <x v="0"/>
    <x v="0"/>
    <x v="8"/>
    <s v="La Rioja"/>
    <x v="1"/>
    <n v="3"/>
    <n v="239.96999999999997"/>
    <n v="47.999999999999972"/>
  </r>
  <r>
    <s v="ORD-101175"/>
    <x v="100"/>
    <x v="5"/>
    <x v="1"/>
    <n v="4"/>
    <n v="149.99"/>
    <x v="1"/>
    <n v="149.99"/>
    <n v="599.96"/>
    <x v="0"/>
    <x v="0"/>
    <x v="0"/>
    <x v="2"/>
    <s v="Navarra"/>
    <x v="1"/>
    <n v="4"/>
    <n v="599.96"/>
    <n v="0"/>
  </r>
  <r>
    <s v="ORD-101176"/>
    <x v="45"/>
    <x v="29"/>
    <x v="0"/>
    <n v="2"/>
    <n v="129.99"/>
    <x v="0"/>
    <n v="110.49"/>
    <n v="220.98"/>
    <x v="0"/>
    <x v="1"/>
    <x v="3"/>
    <x v="9"/>
    <s v="Asturias"/>
    <x v="1"/>
    <n v="1"/>
    <n v="259.98"/>
    <n v="39.000000000000028"/>
  </r>
  <r>
    <s v="ORD-101177"/>
    <x v="531"/>
    <x v="8"/>
    <x v="2"/>
    <n v="5"/>
    <n v="59.99"/>
    <x v="0"/>
    <n v="50.99"/>
    <n v="254.95"/>
    <x v="1"/>
    <x v="2"/>
    <x v="3"/>
    <x v="9"/>
    <s v="Asturias"/>
    <x v="1"/>
    <m/>
    <n v="299.95"/>
    <n v="45"/>
  </r>
  <r>
    <s v="ORD-101178"/>
    <x v="354"/>
    <x v="26"/>
    <x v="1"/>
    <n v="1"/>
    <n v="599.99"/>
    <x v="3"/>
    <n v="539.99"/>
    <n v="539.99"/>
    <x v="0"/>
    <x v="0"/>
    <x v="0"/>
    <x v="2"/>
    <s v="Navarra"/>
    <x v="1"/>
    <n v="2"/>
    <n v="599.99"/>
    <n v="60"/>
  </r>
  <r>
    <s v="ORD-101179"/>
    <x v="189"/>
    <x v="22"/>
    <x v="4"/>
    <n v="2"/>
    <n v="44.99"/>
    <x v="1"/>
    <n v="44.99"/>
    <n v="89.98"/>
    <x v="0"/>
    <x v="0"/>
    <x v="0"/>
    <x v="13"/>
    <s v="Andalucía"/>
    <x v="0"/>
    <n v="2"/>
    <n v="89.98"/>
    <n v="0"/>
  </r>
  <r>
    <s v="ORD-101180"/>
    <x v="14"/>
    <x v="12"/>
    <x v="2"/>
    <n v="1"/>
    <n v="189.99"/>
    <x v="1"/>
    <n v="189.99"/>
    <n v="189.99"/>
    <x v="3"/>
    <x v="2"/>
    <x v="2"/>
    <x v="11"/>
    <s v="Cataluña"/>
    <x v="2"/>
    <m/>
    <n v="189.99"/>
    <n v="0"/>
  </r>
  <r>
    <s v="ORD-101181"/>
    <x v="76"/>
    <x v="10"/>
    <x v="2"/>
    <n v="2"/>
    <n v="69.989999999999995"/>
    <x v="1"/>
    <n v="69.989999999999995"/>
    <n v="139.97999999999999"/>
    <x v="0"/>
    <x v="2"/>
    <x v="0"/>
    <x v="11"/>
    <s v="Cataluña"/>
    <x v="2"/>
    <n v="2"/>
    <n v="139.97999999999999"/>
    <n v="0"/>
  </r>
  <r>
    <s v="ORD-101182"/>
    <x v="575"/>
    <x v="21"/>
    <x v="0"/>
    <n v="5"/>
    <n v="799.99"/>
    <x v="2"/>
    <n v="759.99"/>
    <n v="3799.95"/>
    <x v="3"/>
    <x v="0"/>
    <x v="0"/>
    <x v="11"/>
    <s v="Cataluña"/>
    <x v="2"/>
    <m/>
    <n v="3999.95"/>
    <n v="200"/>
  </r>
  <r>
    <s v="ORD-101183"/>
    <x v="19"/>
    <x v="29"/>
    <x v="0"/>
    <n v="1"/>
    <n v="129.99"/>
    <x v="2"/>
    <n v="123.49"/>
    <n v="123.49"/>
    <x v="1"/>
    <x v="0"/>
    <x v="3"/>
    <x v="3"/>
    <s v="Comunidad de Madrid"/>
    <x v="2"/>
    <m/>
    <n v="129.99"/>
    <n v="6.5000000000000142"/>
  </r>
  <r>
    <s v="ORD-101184"/>
    <x v="210"/>
    <x v="12"/>
    <x v="2"/>
    <n v="3"/>
    <n v="189.99"/>
    <x v="0"/>
    <n v="161.49"/>
    <n v="484.47"/>
    <x v="1"/>
    <x v="0"/>
    <x v="0"/>
    <x v="3"/>
    <s v="Comunidad de Madrid"/>
    <x v="2"/>
    <m/>
    <n v="569.97"/>
    <n v="85.5"/>
  </r>
  <r>
    <s v="ORD-101185"/>
    <x v="576"/>
    <x v="18"/>
    <x v="2"/>
    <n v="5"/>
    <n v="99.99"/>
    <x v="2"/>
    <n v="94.99"/>
    <n v="474.95"/>
    <x v="4"/>
    <x v="1"/>
    <x v="1"/>
    <x v="11"/>
    <s v="Cataluña"/>
    <x v="2"/>
    <m/>
    <n v="499.95"/>
    <n v="25"/>
  </r>
  <r>
    <s v="ORD-101186"/>
    <x v="539"/>
    <x v="29"/>
    <x v="0"/>
    <n v="3"/>
    <n v="129.99"/>
    <x v="1"/>
    <n v="129.99"/>
    <n v="389.97"/>
    <x v="0"/>
    <x v="1"/>
    <x v="1"/>
    <x v="9"/>
    <s v="Asturias"/>
    <x v="1"/>
    <n v="2"/>
    <n v="389.97"/>
    <n v="0"/>
  </r>
  <r>
    <s v="ORD-101187"/>
    <x v="257"/>
    <x v="29"/>
    <x v="0"/>
    <n v="3"/>
    <n v="129.99"/>
    <x v="4"/>
    <n v="103.99"/>
    <n v="311.97000000000003"/>
    <x v="1"/>
    <x v="0"/>
    <x v="1"/>
    <x v="11"/>
    <s v="Cataluña"/>
    <x v="2"/>
    <m/>
    <n v="389.97"/>
    <n v="78"/>
  </r>
  <r>
    <s v="ORD-101188"/>
    <x v="577"/>
    <x v="26"/>
    <x v="1"/>
    <n v="4"/>
    <n v="599.99"/>
    <x v="3"/>
    <n v="539.99"/>
    <n v="2159.96"/>
    <x v="1"/>
    <x v="1"/>
    <x v="1"/>
    <x v="0"/>
    <s v="Andalucía"/>
    <x v="0"/>
    <m/>
    <n v="2399.96"/>
    <n v="240"/>
  </r>
  <r>
    <s v="ORD-101189"/>
    <x v="578"/>
    <x v="28"/>
    <x v="0"/>
    <n v="1"/>
    <n v="499.99"/>
    <x v="3"/>
    <n v="449.99"/>
    <n v="449.99"/>
    <x v="1"/>
    <x v="0"/>
    <x v="1"/>
    <x v="11"/>
    <s v="Cataluña"/>
    <x v="2"/>
    <m/>
    <n v="499.99"/>
    <n v="50"/>
  </r>
  <r>
    <s v="ORD-101190"/>
    <x v="486"/>
    <x v="27"/>
    <x v="1"/>
    <n v="1"/>
    <n v="49.99"/>
    <x v="1"/>
    <n v="49.99"/>
    <n v="49.99"/>
    <x v="0"/>
    <x v="0"/>
    <x v="0"/>
    <x v="12"/>
    <s v="Región de Murcia"/>
    <x v="1"/>
    <n v="2"/>
    <n v="49.99"/>
    <n v="0"/>
  </r>
  <r>
    <s v="ORD-101191"/>
    <x v="260"/>
    <x v="17"/>
    <x v="0"/>
    <n v="2"/>
    <n v="899.99"/>
    <x v="0"/>
    <n v="764.99"/>
    <n v="1529.98"/>
    <x v="0"/>
    <x v="1"/>
    <x v="0"/>
    <x v="12"/>
    <s v="Región de Murcia"/>
    <x v="1"/>
    <n v="3"/>
    <n v="1799.98"/>
    <n v="270"/>
  </r>
  <r>
    <s v="ORD-101192"/>
    <x v="329"/>
    <x v="9"/>
    <x v="2"/>
    <n v="1"/>
    <n v="29.99"/>
    <x v="3"/>
    <n v="26.99"/>
    <n v="26.99"/>
    <x v="1"/>
    <x v="1"/>
    <x v="0"/>
    <x v="13"/>
    <s v="Andalucía"/>
    <x v="0"/>
    <m/>
    <n v="29.99"/>
    <n v="3"/>
  </r>
  <r>
    <s v="ORD-101193"/>
    <x v="579"/>
    <x v="28"/>
    <x v="0"/>
    <n v="3"/>
    <n v="499.99"/>
    <x v="1"/>
    <n v="499.99"/>
    <n v="1499.97"/>
    <x v="0"/>
    <x v="0"/>
    <x v="4"/>
    <x v="7"/>
    <s v="Castilla y León"/>
    <x v="1"/>
    <n v="2"/>
    <n v="1499.97"/>
    <n v="0"/>
  </r>
  <r>
    <s v="ORD-101194"/>
    <x v="53"/>
    <x v="2"/>
    <x v="2"/>
    <n v="2"/>
    <n v="299.99"/>
    <x v="3"/>
    <n v="269.99"/>
    <n v="539.98"/>
    <x v="2"/>
    <x v="0"/>
    <x v="3"/>
    <x v="7"/>
    <s v="Castilla y León"/>
    <x v="1"/>
    <m/>
    <n v="599.98"/>
    <n v="60"/>
  </r>
  <r>
    <s v="ORD-101195"/>
    <x v="455"/>
    <x v="6"/>
    <x v="0"/>
    <n v="4"/>
    <n v="89.99"/>
    <x v="1"/>
    <n v="89.99"/>
    <n v="359.96"/>
    <x v="3"/>
    <x v="1"/>
    <x v="0"/>
    <x v="3"/>
    <s v="Comunidad de Madrid"/>
    <x v="2"/>
    <m/>
    <n v="359.96"/>
    <n v="0"/>
  </r>
  <r>
    <s v="ORD-101196"/>
    <x v="580"/>
    <x v="11"/>
    <x v="0"/>
    <n v="1"/>
    <n v="349.99"/>
    <x v="1"/>
    <n v="349.99"/>
    <n v="349.99"/>
    <x v="0"/>
    <x v="2"/>
    <x v="0"/>
    <x v="8"/>
    <s v="La Rioja"/>
    <x v="1"/>
    <n v="5"/>
    <n v="349.99"/>
    <n v="0"/>
  </r>
  <r>
    <s v="ORD-101197"/>
    <x v="5"/>
    <x v="3"/>
    <x v="3"/>
    <n v="4"/>
    <n v="34.99"/>
    <x v="1"/>
    <n v="34.99"/>
    <n v="139.96"/>
    <x v="0"/>
    <x v="0"/>
    <x v="0"/>
    <x v="0"/>
    <s v="Andalucía"/>
    <x v="0"/>
    <n v="2"/>
    <n v="139.96"/>
    <n v="0"/>
  </r>
  <r>
    <s v="ORD-101198"/>
    <x v="581"/>
    <x v="13"/>
    <x v="3"/>
    <n v="5"/>
    <n v="49.99"/>
    <x v="2"/>
    <n v="47.49"/>
    <n v="237.45"/>
    <x v="4"/>
    <x v="0"/>
    <x v="1"/>
    <x v="0"/>
    <s v="Andalucía"/>
    <x v="0"/>
    <m/>
    <n v="249.95000000000002"/>
    <n v="12.500000000000028"/>
  </r>
  <r>
    <s v="ORD-101199"/>
    <x v="200"/>
    <x v="15"/>
    <x v="3"/>
    <n v="4"/>
    <n v="69.989999999999995"/>
    <x v="2"/>
    <n v="66.489999999999995"/>
    <n v="265.95999999999998"/>
    <x v="0"/>
    <x v="0"/>
    <x v="1"/>
    <x v="12"/>
    <s v="Región de Murcia"/>
    <x v="1"/>
    <n v="4"/>
    <n v="279.95999999999998"/>
    <n v="14"/>
  </r>
  <r>
    <s v="ORD-101200"/>
    <x v="330"/>
    <x v="25"/>
    <x v="4"/>
    <n v="4"/>
    <n v="34.99"/>
    <x v="1"/>
    <n v="34.99"/>
    <n v="139.96"/>
    <x v="1"/>
    <x v="2"/>
    <x v="1"/>
    <x v="13"/>
    <s v="Andalucía"/>
    <x v="0"/>
    <m/>
    <n v="139.96"/>
    <n v="0"/>
  </r>
  <r>
    <s v="ORD-101201"/>
    <x v="54"/>
    <x v="27"/>
    <x v="1"/>
    <n v="5"/>
    <n v="49.99"/>
    <x v="1"/>
    <n v="49.99"/>
    <n v="249.95"/>
    <x v="0"/>
    <x v="0"/>
    <x v="3"/>
    <x v="6"/>
    <s v="Comunitat Valenciana"/>
    <x v="0"/>
    <n v="4"/>
    <n v="249.95000000000002"/>
    <n v="0"/>
  </r>
  <r>
    <s v="ORD-101202"/>
    <x v="213"/>
    <x v="20"/>
    <x v="3"/>
    <n v="5"/>
    <n v="39.99"/>
    <x v="3"/>
    <n v="35.99"/>
    <n v="179.95"/>
    <x v="0"/>
    <x v="0"/>
    <x v="3"/>
    <x v="14"/>
    <s v="Aragón"/>
    <x v="0"/>
    <n v="2"/>
    <n v="199.95000000000002"/>
    <n v="20.000000000000028"/>
  </r>
  <r>
    <s v="ORD-101203"/>
    <x v="129"/>
    <x v="19"/>
    <x v="0"/>
    <n v="1"/>
    <n v="1199.99"/>
    <x v="4"/>
    <n v="959.99"/>
    <n v="959.99"/>
    <x v="0"/>
    <x v="0"/>
    <x v="3"/>
    <x v="10"/>
    <s v="Cantabria"/>
    <x v="1"/>
    <n v="4"/>
    <n v="1199.99"/>
    <n v="240"/>
  </r>
  <r>
    <s v="ORD-101204"/>
    <x v="555"/>
    <x v="10"/>
    <x v="2"/>
    <n v="3"/>
    <n v="69.989999999999995"/>
    <x v="2"/>
    <n v="66.489999999999995"/>
    <n v="199.47"/>
    <x v="0"/>
    <x v="3"/>
    <x v="0"/>
    <x v="9"/>
    <s v="Asturias"/>
    <x v="1"/>
    <n v="1"/>
    <n v="209.96999999999997"/>
    <n v="10.499999999999972"/>
  </r>
  <r>
    <s v="ORD-101205"/>
    <x v="100"/>
    <x v="20"/>
    <x v="3"/>
    <n v="5"/>
    <n v="39.99"/>
    <x v="1"/>
    <n v="39.99"/>
    <n v="199.95"/>
    <x v="0"/>
    <x v="3"/>
    <x v="1"/>
    <x v="13"/>
    <s v="Andalucía"/>
    <x v="0"/>
    <n v="3"/>
    <n v="199.95000000000002"/>
    <n v="0"/>
  </r>
  <r>
    <s v="ORD-101206"/>
    <x v="582"/>
    <x v="2"/>
    <x v="2"/>
    <n v="4"/>
    <n v="299.99"/>
    <x v="0"/>
    <n v="254.99"/>
    <n v="1019.96"/>
    <x v="1"/>
    <x v="0"/>
    <x v="3"/>
    <x v="10"/>
    <s v="Cantabria"/>
    <x v="1"/>
    <m/>
    <n v="1199.96"/>
    <n v="180"/>
  </r>
  <r>
    <s v="ORD-101207"/>
    <x v="523"/>
    <x v="10"/>
    <x v="2"/>
    <n v="2"/>
    <n v="69.989999999999995"/>
    <x v="1"/>
    <n v="69.989999999999995"/>
    <n v="139.97999999999999"/>
    <x v="0"/>
    <x v="2"/>
    <x v="1"/>
    <x v="4"/>
    <s v="Castilla y León"/>
    <x v="1"/>
    <n v="1"/>
    <n v="139.97999999999999"/>
    <n v="0"/>
  </r>
  <r>
    <s v="ORD-101208"/>
    <x v="3"/>
    <x v="12"/>
    <x v="2"/>
    <n v="2"/>
    <n v="189.99"/>
    <x v="1"/>
    <n v="189.99"/>
    <n v="379.98"/>
    <x v="1"/>
    <x v="0"/>
    <x v="0"/>
    <x v="9"/>
    <s v="Asturias"/>
    <x v="1"/>
    <m/>
    <n v="379.98"/>
    <n v="0"/>
  </r>
  <r>
    <s v="ORD-101209"/>
    <x v="521"/>
    <x v="12"/>
    <x v="2"/>
    <n v="2"/>
    <n v="189.99"/>
    <x v="1"/>
    <n v="189.99"/>
    <n v="379.98"/>
    <x v="0"/>
    <x v="1"/>
    <x v="4"/>
    <x v="11"/>
    <s v="Cataluña"/>
    <x v="2"/>
    <n v="4"/>
    <n v="379.98"/>
    <n v="0"/>
  </r>
  <r>
    <s v="ORD-101210"/>
    <x v="583"/>
    <x v="1"/>
    <x v="1"/>
    <n v="1"/>
    <n v="399.99"/>
    <x v="3"/>
    <n v="359.99"/>
    <n v="359.99"/>
    <x v="3"/>
    <x v="0"/>
    <x v="2"/>
    <x v="4"/>
    <s v="Castilla y León"/>
    <x v="1"/>
    <m/>
    <n v="399.99"/>
    <n v="40"/>
  </r>
  <r>
    <s v="ORD-101211"/>
    <x v="584"/>
    <x v="2"/>
    <x v="2"/>
    <n v="3"/>
    <n v="299.99"/>
    <x v="3"/>
    <n v="269.99"/>
    <n v="809.97"/>
    <x v="4"/>
    <x v="2"/>
    <x v="3"/>
    <x v="9"/>
    <s v="Asturias"/>
    <x v="1"/>
    <m/>
    <n v="899.97"/>
    <n v="90"/>
  </r>
  <r>
    <s v="ORD-101212"/>
    <x v="440"/>
    <x v="18"/>
    <x v="2"/>
    <n v="1"/>
    <n v="99.99"/>
    <x v="1"/>
    <n v="99.99"/>
    <n v="99.99"/>
    <x v="1"/>
    <x v="2"/>
    <x v="2"/>
    <x v="2"/>
    <s v="Navarra"/>
    <x v="1"/>
    <m/>
    <n v="99.99"/>
    <n v="0"/>
  </r>
  <r>
    <s v="ORD-101213"/>
    <x v="356"/>
    <x v="10"/>
    <x v="2"/>
    <n v="2"/>
    <n v="69.989999999999995"/>
    <x v="0"/>
    <n v="59.49"/>
    <n v="118.98"/>
    <x v="0"/>
    <x v="0"/>
    <x v="0"/>
    <x v="5"/>
    <s v="País Vasco"/>
    <x v="0"/>
    <n v="4"/>
    <n v="139.97999999999999"/>
    <n v="20.999999999999986"/>
  </r>
  <r>
    <s v="ORD-101214"/>
    <x v="347"/>
    <x v="0"/>
    <x v="0"/>
    <n v="1"/>
    <n v="45.99"/>
    <x v="4"/>
    <n v="36.79"/>
    <n v="36.79"/>
    <x v="1"/>
    <x v="0"/>
    <x v="0"/>
    <x v="7"/>
    <s v="Castilla y León"/>
    <x v="1"/>
    <m/>
    <n v="45.99"/>
    <n v="9.2000000000000028"/>
  </r>
  <r>
    <s v="ORD-101215"/>
    <x v="585"/>
    <x v="29"/>
    <x v="0"/>
    <n v="2"/>
    <n v="129.99"/>
    <x v="1"/>
    <n v="129.99"/>
    <n v="259.98"/>
    <x v="0"/>
    <x v="0"/>
    <x v="0"/>
    <x v="6"/>
    <s v="Comunitat Valenciana"/>
    <x v="0"/>
    <n v="1"/>
    <n v="259.98"/>
    <n v="0"/>
  </r>
  <r>
    <s v="ORD-101216"/>
    <x v="174"/>
    <x v="1"/>
    <x v="1"/>
    <n v="2"/>
    <n v="399.99"/>
    <x v="1"/>
    <n v="399.99"/>
    <n v="799.98"/>
    <x v="0"/>
    <x v="0"/>
    <x v="1"/>
    <x v="10"/>
    <s v="Cantabria"/>
    <x v="1"/>
    <n v="3"/>
    <n v="799.98"/>
    <n v="0"/>
  </r>
  <r>
    <s v="ORD-101217"/>
    <x v="104"/>
    <x v="26"/>
    <x v="1"/>
    <n v="5"/>
    <n v="599.99"/>
    <x v="1"/>
    <n v="599.99"/>
    <n v="2999.95"/>
    <x v="2"/>
    <x v="0"/>
    <x v="0"/>
    <x v="6"/>
    <s v="Comunitat Valenciana"/>
    <x v="0"/>
    <m/>
    <n v="2999.95"/>
    <n v="0"/>
  </r>
  <r>
    <s v="ORD-101218"/>
    <x v="100"/>
    <x v="7"/>
    <x v="3"/>
    <n v="1"/>
    <n v="19.989999999999998"/>
    <x v="1"/>
    <n v="19.989999999999998"/>
    <n v="19.989999999999998"/>
    <x v="0"/>
    <x v="1"/>
    <x v="1"/>
    <x v="0"/>
    <s v="Andalucía"/>
    <x v="0"/>
    <n v="1"/>
    <n v="19.989999999999998"/>
    <n v="0"/>
  </r>
  <r>
    <s v="ORD-101219"/>
    <x v="297"/>
    <x v="17"/>
    <x v="0"/>
    <n v="3"/>
    <n v="899.99"/>
    <x v="4"/>
    <n v="719.99"/>
    <n v="2159.9699999999998"/>
    <x v="3"/>
    <x v="1"/>
    <x v="4"/>
    <x v="9"/>
    <s v="Asturias"/>
    <x v="1"/>
    <m/>
    <n v="2699.9700000000003"/>
    <n v="540.00000000000045"/>
  </r>
  <r>
    <s v="ORD-101220"/>
    <x v="27"/>
    <x v="21"/>
    <x v="0"/>
    <n v="5"/>
    <n v="799.99"/>
    <x v="4"/>
    <n v="639.99"/>
    <n v="3199.95"/>
    <x v="0"/>
    <x v="1"/>
    <x v="4"/>
    <x v="1"/>
    <s v="Comunitat Valenciana"/>
    <x v="1"/>
    <n v="3"/>
    <n v="3999.95"/>
    <n v="800"/>
  </r>
  <r>
    <s v="ORD-101221"/>
    <x v="69"/>
    <x v="16"/>
    <x v="1"/>
    <n v="3"/>
    <n v="79.989999999999995"/>
    <x v="3"/>
    <n v="71.989999999999995"/>
    <n v="215.97"/>
    <x v="0"/>
    <x v="1"/>
    <x v="0"/>
    <x v="14"/>
    <s v="Aragón"/>
    <x v="0"/>
    <n v="3"/>
    <n v="239.96999999999997"/>
    <n v="23.999999999999972"/>
  </r>
  <r>
    <s v="ORD-101222"/>
    <x v="20"/>
    <x v="15"/>
    <x v="3"/>
    <n v="4"/>
    <n v="69.989999999999995"/>
    <x v="2"/>
    <n v="66.489999999999995"/>
    <n v="265.95999999999998"/>
    <x v="1"/>
    <x v="2"/>
    <x v="2"/>
    <x v="14"/>
    <s v="Aragón"/>
    <x v="0"/>
    <m/>
    <n v="279.95999999999998"/>
    <n v="14"/>
  </r>
  <r>
    <s v="ORD-101223"/>
    <x v="246"/>
    <x v="26"/>
    <x v="1"/>
    <n v="4"/>
    <n v="599.99"/>
    <x v="0"/>
    <n v="509.99"/>
    <n v="2039.96"/>
    <x v="2"/>
    <x v="0"/>
    <x v="1"/>
    <x v="4"/>
    <s v="Castilla y León"/>
    <x v="1"/>
    <m/>
    <n v="2399.96"/>
    <n v="360"/>
  </r>
  <r>
    <s v="ORD-101224"/>
    <x v="167"/>
    <x v="7"/>
    <x v="3"/>
    <n v="2"/>
    <n v="19.989999999999998"/>
    <x v="1"/>
    <n v="19.989999999999998"/>
    <n v="39.979999999999997"/>
    <x v="0"/>
    <x v="1"/>
    <x v="3"/>
    <x v="9"/>
    <s v="Asturias"/>
    <x v="1"/>
    <n v="4"/>
    <n v="39.979999999999997"/>
    <n v="0"/>
  </r>
  <r>
    <s v="ORD-101225"/>
    <x v="586"/>
    <x v="21"/>
    <x v="0"/>
    <n v="1"/>
    <n v="799.99"/>
    <x v="0"/>
    <n v="679.99"/>
    <n v="679.99"/>
    <x v="3"/>
    <x v="0"/>
    <x v="1"/>
    <x v="8"/>
    <s v="La Rioja"/>
    <x v="1"/>
    <m/>
    <n v="799.99"/>
    <n v="120"/>
  </r>
  <r>
    <s v="ORD-101226"/>
    <x v="376"/>
    <x v="8"/>
    <x v="2"/>
    <n v="3"/>
    <n v="59.99"/>
    <x v="0"/>
    <n v="50.99"/>
    <n v="152.97"/>
    <x v="0"/>
    <x v="1"/>
    <x v="1"/>
    <x v="1"/>
    <s v="Comunitat Valenciana"/>
    <x v="1"/>
    <n v="1"/>
    <n v="179.97"/>
    <n v="27"/>
  </r>
  <r>
    <s v="ORD-101227"/>
    <x v="484"/>
    <x v="3"/>
    <x v="3"/>
    <n v="4"/>
    <n v="34.99"/>
    <x v="0"/>
    <n v="29.74"/>
    <n v="118.96"/>
    <x v="2"/>
    <x v="0"/>
    <x v="3"/>
    <x v="4"/>
    <s v="Castilla y León"/>
    <x v="1"/>
    <m/>
    <n v="139.96"/>
    <n v="21.000000000000014"/>
  </r>
  <r>
    <s v="ORD-101228"/>
    <x v="22"/>
    <x v="21"/>
    <x v="0"/>
    <n v="2"/>
    <n v="799.99"/>
    <x v="4"/>
    <n v="639.99"/>
    <n v="1279.98"/>
    <x v="0"/>
    <x v="2"/>
    <x v="1"/>
    <x v="1"/>
    <s v="Comunitat Valenciana"/>
    <x v="1"/>
    <n v="1"/>
    <n v="1599.98"/>
    <n v="320"/>
  </r>
  <r>
    <s v="ORD-101229"/>
    <x v="178"/>
    <x v="16"/>
    <x v="1"/>
    <n v="1"/>
    <n v="79.989999999999995"/>
    <x v="1"/>
    <n v="79.989999999999995"/>
    <n v="79.989999999999995"/>
    <x v="2"/>
    <x v="3"/>
    <x v="3"/>
    <x v="7"/>
    <s v="Castilla y León"/>
    <x v="1"/>
    <m/>
    <n v="79.989999999999995"/>
    <n v="0"/>
  </r>
  <r>
    <s v="ORD-101230"/>
    <x v="206"/>
    <x v="0"/>
    <x v="0"/>
    <n v="4"/>
    <n v="45.99"/>
    <x v="0"/>
    <n v="39.090000000000003"/>
    <n v="156.36000000000001"/>
    <x v="0"/>
    <x v="0"/>
    <x v="1"/>
    <x v="0"/>
    <s v="Andalucía"/>
    <x v="0"/>
    <n v="1"/>
    <n v="183.96"/>
    <n v="27.599999999999994"/>
  </r>
  <r>
    <s v="ORD-101231"/>
    <x v="501"/>
    <x v="3"/>
    <x v="3"/>
    <n v="1"/>
    <n v="34.99"/>
    <x v="1"/>
    <n v="34.99"/>
    <n v="34.99"/>
    <x v="3"/>
    <x v="2"/>
    <x v="1"/>
    <x v="14"/>
    <s v="Aragón"/>
    <x v="0"/>
    <m/>
    <n v="34.99"/>
    <n v="0"/>
  </r>
  <r>
    <s v="ORD-101232"/>
    <x v="299"/>
    <x v="10"/>
    <x v="2"/>
    <n v="3"/>
    <n v="69.989999999999995"/>
    <x v="0"/>
    <n v="59.49"/>
    <n v="178.47"/>
    <x v="0"/>
    <x v="1"/>
    <x v="1"/>
    <x v="4"/>
    <s v="Castilla y León"/>
    <x v="1"/>
    <n v="5"/>
    <n v="209.96999999999997"/>
    <n v="31.499999999999972"/>
  </r>
  <r>
    <s v="ORD-101233"/>
    <x v="375"/>
    <x v="10"/>
    <x v="2"/>
    <n v="4"/>
    <n v="69.989999999999995"/>
    <x v="1"/>
    <n v="69.989999999999995"/>
    <n v="279.95999999999998"/>
    <x v="1"/>
    <x v="2"/>
    <x v="4"/>
    <x v="14"/>
    <s v="Aragón"/>
    <x v="0"/>
    <m/>
    <n v="279.95999999999998"/>
    <n v="0"/>
  </r>
  <r>
    <s v="ORD-101234"/>
    <x v="587"/>
    <x v="6"/>
    <x v="0"/>
    <n v="3"/>
    <n v="89.99"/>
    <x v="2"/>
    <n v="85.49"/>
    <n v="256.47000000000003"/>
    <x v="3"/>
    <x v="1"/>
    <x v="3"/>
    <x v="10"/>
    <s v="Cantabria"/>
    <x v="1"/>
    <m/>
    <n v="269.96999999999997"/>
    <n v="13.499999999999943"/>
  </r>
  <r>
    <s v="ORD-101235"/>
    <x v="260"/>
    <x v="8"/>
    <x v="2"/>
    <n v="5"/>
    <n v="59.99"/>
    <x v="4"/>
    <n v="47.99"/>
    <n v="239.95"/>
    <x v="0"/>
    <x v="0"/>
    <x v="0"/>
    <x v="0"/>
    <s v="Andalucía"/>
    <x v="0"/>
    <n v="1"/>
    <n v="299.95"/>
    <n v="60"/>
  </r>
  <r>
    <s v="ORD-101236"/>
    <x v="16"/>
    <x v="6"/>
    <x v="0"/>
    <n v="3"/>
    <n v="89.99"/>
    <x v="0"/>
    <n v="76.489999999999995"/>
    <n v="229.47"/>
    <x v="0"/>
    <x v="1"/>
    <x v="0"/>
    <x v="0"/>
    <s v="Andalucía"/>
    <x v="0"/>
    <n v="3"/>
    <n v="269.96999999999997"/>
    <n v="40.499999999999972"/>
  </r>
  <r>
    <s v="ORD-101237"/>
    <x v="178"/>
    <x v="4"/>
    <x v="4"/>
    <n v="3"/>
    <n v="349.99"/>
    <x v="2"/>
    <n v="332.49"/>
    <n v="997.47"/>
    <x v="0"/>
    <x v="0"/>
    <x v="3"/>
    <x v="3"/>
    <s v="Comunidad de Madrid"/>
    <x v="2"/>
    <n v="2"/>
    <n v="1049.97"/>
    <n v="52.5"/>
  </r>
  <r>
    <s v="ORD-101238"/>
    <x v="275"/>
    <x v="3"/>
    <x v="3"/>
    <n v="3"/>
    <n v="34.99"/>
    <x v="4"/>
    <n v="27.99"/>
    <n v="83.97"/>
    <x v="0"/>
    <x v="2"/>
    <x v="0"/>
    <x v="9"/>
    <s v="Asturias"/>
    <x v="1"/>
    <n v="5"/>
    <n v="104.97"/>
    <n v="21"/>
  </r>
  <r>
    <s v="ORD-101239"/>
    <x v="387"/>
    <x v="28"/>
    <x v="0"/>
    <n v="1"/>
    <n v="499.99"/>
    <x v="2"/>
    <n v="474.99"/>
    <n v="474.99"/>
    <x v="0"/>
    <x v="1"/>
    <x v="0"/>
    <x v="8"/>
    <s v="La Rioja"/>
    <x v="1"/>
    <n v="3"/>
    <n v="499.99"/>
    <n v="25"/>
  </r>
  <r>
    <s v="ORD-101240"/>
    <x v="13"/>
    <x v="16"/>
    <x v="1"/>
    <n v="4"/>
    <n v="79.989999999999995"/>
    <x v="1"/>
    <n v="79.989999999999995"/>
    <n v="319.95999999999998"/>
    <x v="1"/>
    <x v="1"/>
    <x v="2"/>
    <x v="6"/>
    <s v="Comunitat Valenciana"/>
    <x v="0"/>
    <m/>
    <n v="319.95999999999998"/>
    <n v="0"/>
  </r>
  <r>
    <s v="ORD-101241"/>
    <x v="543"/>
    <x v="17"/>
    <x v="0"/>
    <n v="5"/>
    <n v="899.99"/>
    <x v="1"/>
    <n v="899.99"/>
    <n v="4499.95"/>
    <x v="0"/>
    <x v="0"/>
    <x v="4"/>
    <x v="10"/>
    <s v="Cantabria"/>
    <x v="1"/>
    <n v="5"/>
    <n v="4499.95"/>
    <n v="0"/>
  </r>
  <r>
    <s v="ORD-101242"/>
    <x v="339"/>
    <x v="9"/>
    <x v="2"/>
    <n v="2"/>
    <n v="29.99"/>
    <x v="2"/>
    <n v="28.49"/>
    <n v="56.98"/>
    <x v="0"/>
    <x v="0"/>
    <x v="2"/>
    <x v="13"/>
    <s v="Andalucía"/>
    <x v="0"/>
    <n v="2"/>
    <n v="59.98"/>
    <n v="3"/>
  </r>
  <r>
    <s v="ORD-101243"/>
    <x v="431"/>
    <x v="4"/>
    <x v="4"/>
    <n v="2"/>
    <n v="349.99"/>
    <x v="0"/>
    <n v="297.49"/>
    <n v="594.98"/>
    <x v="1"/>
    <x v="2"/>
    <x v="0"/>
    <x v="4"/>
    <s v="Castilla y León"/>
    <x v="1"/>
    <m/>
    <n v="699.98"/>
    <n v="105"/>
  </r>
  <r>
    <s v="ORD-101244"/>
    <x v="588"/>
    <x v="10"/>
    <x v="2"/>
    <n v="4"/>
    <n v="69.989999999999995"/>
    <x v="1"/>
    <n v="69.989999999999995"/>
    <n v="279.95999999999998"/>
    <x v="4"/>
    <x v="2"/>
    <x v="0"/>
    <x v="9"/>
    <s v="Asturias"/>
    <x v="1"/>
    <m/>
    <n v="279.95999999999998"/>
    <n v="0"/>
  </r>
  <r>
    <s v="ORD-101245"/>
    <x v="589"/>
    <x v="5"/>
    <x v="1"/>
    <n v="4"/>
    <n v="149.99"/>
    <x v="1"/>
    <n v="149.99"/>
    <n v="599.96"/>
    <x v="0"/>
    <x v="3"/>
    <x v="1"/>
    <x v="12"/>
    <s v="Región de Murcia"/>
    <x v="1"/>
    <n v="4"/>
    <n v="599.96"/>
    <n v="0"/>
  </r>
  <r>
    <s v="ORD-101246"/>
    <x v="99"/>
    <x v="14"/>
    <x v="1"/>
    <n v="3"/>
    <n v="249.99"/>
    <x v="1"/>
    <n v="249.99"/>
    <n v="749.97"/>
    <x v="1"/>
    <x v="1"/>
    <x v="3"/>
    <x v="0"/>
    <s v="Andalucía"/>
    <x v="0"/>
    <m/>
    <n v="749.97"/>
    <n v="0"/>
  </r>
  <r>
    <s v="ORD-101247"/>
    <x v="27"/>
    <x v="11"/>
    <x v="0"/>
    <n v="3"/>
    <n v="349.99"/>
    <x v="4"/>
    <n v="279.99"/>
    <n v="839.97"/>
    <x v="1"/>
    <x v="2"/>
    <x v="2"/>
    <x v="8"/>
    <s v="La Rioja"/>
    <x v="1"/>
    <m/>
    <n v="1049.97"/>
    <n v="210"/>
  </r>
  <r>
    <s v="ORD-101248"/>
    <x v="399"/>
    <x v="13"/>
    <x v="3"/>
    <n v="4"/>
    <n v="49.99"/>
    <x v="0"/>
    <n v="42.49"/>
    <n v="169.96"/>
    <x v="0"/>
    <x v="0"/>
    <x v="3"/>
    <x v="6"/>
    <s v="Comunitat Valenciana"/>
    <x v="0"/>
    <n v="2"/>
    <n v="199.96"/>
    <n v="30"/>
  </r>
  <r>
    <s v="ORD-101249"/>
    <x v="461"/>
    <x v="21"/>
    <x v="0"/>
    <n v="2"/>
    <n v="799.99"/>
    <x v="0"/>
    <n v="679.99"/>
    <n v="1359.98"/>
    <x v="1"/>
    <x v="1"/>
    <x v="3"/>
    <x v="14"/>
    <s v="Aragón"/>
    <x v="0"/>
    <m/>
    <n v="1599.98"/>
    <n v="240"/>
  </r>
  <r>
    <s v="ORD-101250"/>
    <x v="160"/>
    <x v="8"/>
    <x v="2"/>
    <n v="2"/>
    <n v="59.99"/>
    <x v="2"/>
    <n v="56.99"/>
    <n v="113.98"/>
    <x v="3"/>
    <x v="1"/>
    <x v="0"/>
    <x v="13"/>
    <s v="Andalucía"/>
    <x v="0"/>
    <m/>
    <n v="119.98"/>
    <n v="6"/>
  </r>
  <r>
    <s v="ORD-101251"/>
    <x v="336"/>
    <x v="0"/>
    <x v="0"/>
    <n v="3"/>
    <n v="45.99"/>
    <x v="2"/>
    <n v="43.69"/>
    <n v="131.07"/>
    <x v="0"/>
    <x v="0"/>
    <x v="3"/>
    <x v="3"/>
    <s v="Comunidad de Madrid"/>
    <x v="2"/>
    <n v="3"/>
    <n v="137.97"/>
    <n v="6.9000000000000057"/>
  </r>
  <r>
    <s v="ORD-101252"/>
    <x v="565"/>
    <x v="3"/>
    <x v="3"/>
    <n v="2"/>
    <n v="34.99"/>
    <x v="0"/>
    <n v="29.74"/>
    <n v="59.48"/>
    <x v="1"/>
    <x v="0"/>
    <x v="0"/>
    <x v="0"/>
    <s v="Andalucía"/>
    <x v="0"/>
    <m/>
    <n v="69.98"/>
    <n v="10.500000000000007"/>
  </r>
  <r>
    <s v="ORD-101253"/>
    <x v="261"/>
    <x v="13"/>
    <x v="3"/>
    <n v="5"/>
    <n v="49.99"/>
    <x v="1"/>
    <n v="49.99"/>
    <n v="249.95"/>
    <x v="1"/>
    <x v="2"/>
    <x v="4"/>
    <x v="13"/>
    <s v="Andalucía"/>
    <x v="0"/>
    <m/>
    <n v="249.95000000000002"/>
    <n v="0"/>
  </r>
  <r>
    <s v="ORD-101254"/>
    <x v="519"/>
    <x v="12"/>
    <x v="2"/>
    <n v="1"/>
    <n v="189.99"/>
    <x v="4"/>
    <n v="151.99"/>
    <n v="151.99"/>
    <x v="0"/>
    <x v="1"/>
    <x v="0"/>
    <x v="8"/>
    <s v="La Rioja"/>
    <x v="1"/>
    <n v="4"/>
    <n v="189.99"/>
    <n v="38"/>
  </r>
  <r>
    <s v="ORD-101255"/>
    <x v="533"/>
    <x v="19"/>
    <x v="0"/>
    <n v="1"/>
    <n v="1199.99"/>
    <x v="1"/>
    <n v="1199.99"/>
    <n v="1199.99"/>
    <x v="0"/>
    <x v="1"/>
    <x v="4"/>
    <x v="12"/>
    <s v="Región de Murcia"/>
    <x v="1"/>
    <n v="2"/>
    <n v="1199.99"/>
    <n v="0"/>
  </r>
  <r>
    <s v="ORD-101256"/>
    <x v="550"/>
    <x v="1"/>
    <x v="1"/>
    <n v="5"/>
    <n v="399.99"/>
    <x v="3"/>
    <n v="359.99"/>
    <n v="1799.95"/>
    <x v="0"/>
    <x v="1"/>
    <x v="1"/>
    <x v="10"/>
    <s v="Cantabria"/>
    <x v="1"/>
    <n v="2"/>
    <n v="1999.95"/>
    <n v="200"/>
  </r>
  <r>
    <s v="ORD-101257"/>
    <x v="424"/>
    <x v="16"/>
    <x v="1"/>
    <n v="4"/>
    <n v="79.989999999999995"/>
    <x v="1"/>
    <n v="79.989999999999995"/>
    <n v="319.95999999999998"/>
    <x v="0"/>
    <x v="0"/>
    <x v="1"/>
    <x v="11"/>
    <s v="Cataluña"/>
    <x v="2"/>
    <n v="5"/>
    <n v="319.95999999999998"/>
    <n v="0"/>
  </r>
  <r>
    <s v="ORD-101258"/>
    <x v="355"/>
    <x v="20"/>
    <x v="3"/>
    <n v="1"/>
    <n v="39.99"/>
    <x v="2"/>
    <n v="37.99"/>
    <n v="37.99"/>
    <x v="0"/>
    <x v="2"/>
    <x v="3"/>
    <x v="7"/>
    <s v="Castilla y León"/>
    <x v="1"/>
    <n v="1"/>
    <n v="39.99"/>
    <n v="2"/>
  </r>
  <r>
    <s v="ORD-101259"/>
    <x v="225"/>
    <x v="25"/>
    <x v="4"/>
    <n v="5"/>
    <n v="34.99"/>
    <x v="3"/>
    <n v="31.49"/>
    <n v="157.44999999999999"/>
    <x v="1"/>
    <x v="1"/>
    <x v="1"/>
    <x v="2"/>
    <s v="Navarra"/>
    <x v="1"/>
    <m/>
    <n v="174.95000000000002"/>
    <n v="17.500000000000028"/>
  </r>
  <r>
    <s v="ORD-101260"/>
    <x v="590"/>
    <x v="12"/>
    <x v="2"/>
    <n v="1"/>
    <n v="189.99"/>
    <x v="1"/>
    <n v="189.99"/>
    <n v="189.99"/>
    <x v="2"/>
    <x v="0"/>
    <x v="3"/>
    <x v="10"/>
    <s v="Cantabria"/>
    <x v="1"/>
    <m/>
    <n v="189.99"/>
    <n v="0"/>
  </r>
  <r>
    <s v="ORD-101261"/>
    <x v="34"/>
    <x v="0"/>
    <x v="0"/>
    <n v="1"/>
    <n v="45.99"/>
    <x v="1"/>
    <n v="45.99"/>
    <n v="45.99"/>
    <x v="0"/>
    <x v="0"/>
    <x v="3"/>
    <x v="9"/>
    <s v="Asturias"/>
    <x v="1"/>
    <n v="1"/>
    <n v="45.99"/>
    <n v="0"/>
  </r>
  <r>
    <s v="ORD-101262"/>
    <x v="591"/>
    <x v="0"/>
    <x v="0"/>
    <n v="5"/>
    <n v="45.99"/>
    <x v="1"/>
    <n v="45.99"/>
    <n v="229.95"/>
    <x v="0"/>
    <x v="0"/>
    <x v="4"/>
    <x v="7"/>
    <s v="Castilla y León"/>
    <x v="1"/>
    <n v="1"/>
    <n v="229.95000000000002"/>
    <n v="0"/>
  </r>
  <r>
    <s v="ORD-101263"/>
    <x v="47"/>
    <x v="13"/>
    <x v="3"/>
    <n v="1"/>
    <n v="49.99"/>
    <x v="3"/>
    <n v="44.99"/>
    <n v="44.99"/>
    <x v="3"/>
    <x v="1"/>
    <x v="3"/>
    <x v="5"/>
    <s v="País Vasco"/>
    <x v="0"/>
    <m/>
    <n v="49.99"/>
    <n v="5"/>
  </r>
  <r>
    <s v="ORD-101264"/>
    <x v="215"/>
    <x v="16"/>
    <x v="1"/>
    <n v="3"/>
    <n v="79.989999999999995"/>
    <x v="3"/>
    <n v="71.989999999999995"/>
    <n v="215.97"/>
    <x v="3"/>
    <x v="1"/>
    <x v="3"/>
    <x v="14"/>
    <s v="Aragón"/>
    <x v="0"/>
    <m/>
    <n v="239.96999999999997"/>
    <n v="23.999999999999972"/>
  </r>
  <r>
    <s v="ORD-101265"/>
    <x v="517"/>
    <x v="0"/>
    <x v="0"/>
    <n v="1"/>
    <n v="45.99"/>
    <x v="1"/>
    <n v="45.99"/>
    <n v="45.99"/>
    <x v="0"/>
    <x v="0"/>
    <x v="2"/>
    <x v="6"/>
    <s v="Comunitat Valenciana"/>
    <x v="0"/>
    <n v="2"/>
    <n v="45.99"/>
    <n v="0"/>
  </r>
  <r>
    <s v="ORD-101266"/>
    <x v="394"/>
    <x v="5"/>
    <x v="1"/>
    <n v="2"/>
    <n v="149.99"/>
    <x v="3"/>
    <n v="134.99"/>
    <n v="269.98"/>
    <x v="0"/>
    <x v="1"/>
    <x v="3"/>
    <x v="6"/>
    <s v="Comunitat Valenciana"/>
    <x v="0"/>
    <n v="5"/>
    <n v="299.98"/>
    <n v="30"/>
  </r>
  <r>
    <s v="ORD-101267"/>
    <x v="592"/>
    <x v="7"/>
    <x v="3"/>
    <n v="4"/>
    <n v="19.989999999999998"/>
    <x v="0"/>
    <n v="16.989999999999998"/>
    <n v="67.959999999999994"/>
    <x v="3"/>
    <x v="1"/>
    <x v="4"/>
    <x v="13"/>
    <s v="Andalucía"/>
    <x v="0"/>
    <m/>
    <n v="79.959999999999994"/>
    <n v="12"/>
  </r>
  <r>
    <s v="ORD-101268"/>
    <x v="182"/>
    <x v="3"/>
    <x v="3"/>
    <n v="2"/>
    <n v="34.99"/>
    <x v="3"/>
    <n v="31.49"/>
    <n v="62.98"/>
    <x v="0"/>
    <x v="1"/>
    <x v="4"/>
    <x v="9"/>
    <s v="Asturias"/>
    <x v="1"/>
    <n v="2"/>
    <n v="69.98"/>
    <n v="7.0000000000000071"/>
  </r>
  <r>
    <s v="ORD-101269"/>
    <x v="331"/>
    <x v="1"/>
    <x v="1"/>
    <n v="5"/>
    <n v="399.99"/>
    <x v="3"/>
    <n v="359.99"/>
    <n v="1799.95"/>
    <x v="0"/>
    <x v="0"/>
    <x v="4"/>
    <x v="8"/>
    <s v="La Rioja"/>
    <x v="1"/>
    <n v="4"/>
    <n v="1999.95"/>
    <n v="200"/>
  </r>
  <r>
    <s v="ORD-101270"/>
    <x v="9"/>
    <x v="19"/>
    <x v="0"/>
    <n v="5"/>
    <n v="1199.99"/>
    <x v="1"/>
    <n v="1199.99"/>
    <n v="5999.95"/>
    <x v="0"/>
    <x v="1"/>
    <x v="1"/>
    <x v="11"/>
    <s v="Cataluña"/>
    <x v="2"/>
    <n v="4"/>
    <n v="5999.95"/>
    <n v="0"/>
  </r>
  <r>
    <s v="ORD-101271"/>
    <x v="210"/>
    <x v="24"/>
    <x v="3"/>
    <n v="1"/>
    <n v="89.99"/>
    <x v="1"/>
    <n v="89.99"/>
    <n v="89.99"/>
    <x v="3"/>
    <x v="0"/>
    <x v="2"/>
    <x v="2"/>
    <s v="Navarra"/>
    <x v="1"/>
    <m/>
    <n v="89.99"/>
    <n v="0"/>
  </r>
  <r>
    <s v="ORD-101272"/>
    <x v="524"/>
    <x v="7"/>
    <x v="3"/>
    <n v="1"/>
    <n v="19.989999999999998"/>
    <x v="1"/>
    <n v="19.989999999999998"/>
    <n v="19.989999999999998"/>
    <x v="0"/>
    <x v="0"/>
    <x v="0"/>
    <x v="0"/>
    <s v="Andalucía"/>
    <x v="0"/>
    <n v="1"/>
    <n v="19.989999999999998"/>
    <n v="0"/>
  </r>
  <r>
    <s v="ORD-101273"/>
    <x v="320"/>
    <x v="14"/>
    <x v="1"/>
    <n v="3"/>
    <n v="249.99"/>
    <x v="3"/>
    <n v="224.99"/>
    <n v="674.97"/>
    <x v="2"/>
    <x v="0"/>
    <x v="0"/>
    <x v="12"/>
    <s v="Región de Murcia"/>
    <x v="1"/>
    <m/>
    <n v="749.97"/>
    <n v="75"/>
  </r>
  <r>
    <s v="ORD-101274"/>
    <x v="325"/>
    <x v="4"/>
    <x v="4"/>
    <n v="3"/>
    <n v="349.99"/>
    <x v="3"/>
    <n v="314.99"/>
    <n v="944.97"/>
    <x v="0"/>
    <x v="2"/>
    <x v="0"/>
    <x v="11"/>
    <s v="Cataluña"/>
    <x v="2"/>
    <n v="4"/>
    <n v="1049.97"/>
    <n v="105"/>
  </r>
  <r>
    <s v="ORD-101275"/>
    <x v="407"/>
    <x v="15"/>
    <x v="3"/>
    <n v="5"/>
    <n v="69.989999999999995"/>
    <x v="3"/>
    <n v="62.99"/>
    <n v="314.95"/>
    <x v="0"/>
    <x v="0"/>
    <x v="3"/>
    <x v="8"/>
    <s v="La Rioja"/>
    <x v="1"/>
    <n v="3"/>
    <n v="349.95"/>
    <n v="35"/>
  </r>
  <r>
    <s v="ORD-101276"/>
    <x v="297"/>
    <x v="12"/>
    <x v="2"/>
    <n v="5"/>
    <n v="189.99"/>
    <x v="0"/>
    <n v="161.49"/>
    <n v="807.45"/>
    <x v="0"/>
    <x v="0"/>
    <x v="3"/>
    <x v="6"/>
    <s v="Comunitat Valenciana"/>
    <x v="0"/>
    <n v="3"/>
    <n v="949.95"/>
    <n v="142.5"/>
  </r>
  <r>
    <s v="ORD-101277"/>
    <x v="516"/>
    <x v="22"/>
    <x v="4"/>
    <n v="3"/>
    <n v="44.99"/>
    <x v="0"/>
    <n v="38.24"/>
    <n v="114.72"/>
    <x v="1"/>
    <x v="1"/>
    <x v="1"/>
    <x v="9"/>
    <s v="Asturias"/>
    <x v="1"/>
    <m/>
    <n v="134.97"/>
    <n v="20.25"/>
  </r>
  <r>
    <s v="ORD-101278"/>
    <x v="593"/>
    <x v="26"/>
    <x v="1"/>
    <n v="3"/>
    <n v="599.99"/>
    <x v="4"/>
    <n v="479.99"/>
    <n v="1439.97"/>
    <x v="0"/>
    <x v="0"/>
    <x v="3"/>
    <x v="5"/>
    <s v="País Vasco"/>
    <x v="0"/>
    <n v="2"/>
    <n v="1799.97"/>
    <n v="360"/>
  </r>
  <r>
    <s v="ORD-101279"/>
    <x v="530"/>
    <x v="9"/>
    <x v="2"/>
    <n v="1"/>
    <n v="29.99"/>
    <x v="1"/>
    <n v="29.99"/>
    <n v="29.99"/>
    <x v="0"/>
    <x v="2"/>
    <x v="1"/>
    <x v="14"/>
    <s v="Aragón"/>
    <x v="0"/>
    <n v="1"/>
    <n v="29.99"/>
    <n v="0"/>
  </r>
  <r>
    <s v="ORD-101280"/>
    <x v="20"/>
    <x v="6"/>
    <x v="0"/>
    <n v="2"/>
    <n v="89.99"/>
    <x v="3"/>
    <n v="80.989999999999995"/>
    <n v="161.97999999999999"/>
    <x v="0"/>
    <x v="0"/>
    <x v="4"/>
    <x v="10"/>
    <s v="Cantabria"/>
    <x v="1"/>
    <n v="1"/>
    <n v="179.98"/>
    <n v="18"/>
  </r>
  <r>
    <s v="ORD-101281"/>
    <x v="523"/>
    <x v="12"/>
    <x v="2"/>
    <n v="5"/>
    <n v="189.99"/>
    <x v="0"/>
    <n v="161.49"/>
    <n v="807.45"/>
    <x v="0"/>
    <x v="1"/>
    <x v="4"/>
    <x v="12"/>
    <s v="Región de Murcia"/>
    <x v="1"/>
    <n v="5"/>
    <n v="949.95"/>
    <n v="142.5"/>
  </r>
  <r>
    <s v="ORD-101282"/>
    <x v="3"/>
    <x v="0"/>
    <x v="0"/>
    <n v="4"/>
    <n v="45.99"/>
    <x v="1"/>
    <n v="45.99"/>
    <n v="183.96"/>
    <x v="1"/>
    <x v="2"/>
    <x v="0"/>
    <x v="4"/>
    <s v="Castilla y León"/>
    <x v="1"/>
    <m/>
    <n v="183.96"/>
    <n v="0"/>
  </r>
  <r>
    <s v="ORD-101283"/>
    <x v="421"/>
    <x v="2"/>
    <x v="2"/>
    <n v="5"/>
    <n v="299.99"/>
    <x v="0"/>
    <n v="254.99"/>
    <n v="1274.95"/>
    <x v="0"/>
    <x v="1"/>
    <x v="4"/>
    <x v="10"/>
    <s v="Cantabria"/>
    <x v="1"/>
    <n v="5"/>
    <n v="1499.95"/>
    <n v="225"/>
  </r>
  <r>
    <s v="ORD-101284"/>
    <x v="388"/>
    <x v="27"/>
    <x v="1"/>
    <n v="1"/>
    <n v="49.99"/>
    <x v="3"/>
    <n v="44.99"/>
    <n v="44.99"/>
    <x v="0"/>
    <x v="1"/>
    <x v="2"/>
    <x v="6"/>
    <s v="Comunitat Valenciana"/>
    <x v="0"/>
    <n v="5"/>
    <n v="49.99"/>
    <n v="5"/>
  </r>
  <r>
    <s v="ORD-101285"/>
    <x v="253"/>
    <x v="29"/>
    <x v="0"/>
    <n v="1"/>
    <n v="129.99"/>
    <x v="1"/>
    <n v="129.99"/>
    <n v="129.99"/>
    <x v="2"/>
    <x v="0"/>
    <x v="0"/>
    <x v="7"/>
    <s v="Castilla y León"/>
    <x v="1"/>
    <m/>
    <n v="129.99"/>
    <n v="0"/>
  </r>
  <r>
    <s v="ORD-101286"/>
    <x v="117"/>
    <x v="20"/>
    <x v="3"/>
    <n v="2"/>
    <n v="39.99"/>
    <x v="1"/>
    <n v="39.99"/>
    <n v="79.98"/>
    <x v="4"/>
    <x v="2"/>
    <x v="0"/>
    <x v="14"/>
    <s v="Aragón"/>
    <x v="0"/>
    <m/>
    <n v="79.98"/>
    <n v="0"/>
  </r>
  <r>
    <s v="ORD-101287"/>
    <x v="26"/>
    <x v="4"/>
    <x v="4"/>
    <n v="1"/>
    <n v="349.99"/>
    <x v="1"/>
    <n v="349.99"/>
    <n v="349.99"/>
    <x v="0"/>
    <x v="0"/>
    <x v="0"/>
    <x v="5"/>
    <s v="País Vasco"/>
    <x v="0"/>
    <n v="5"/>
    <n v="349.99"/>
    <n v="0"/>
  </r>
  <r>
    <s v="ORD-101288"/>
    <x v="594"/>
    <x v="21"/>
    <x v="0"/>
    <n v="3"/>
    <n v="799.99"/>
    <x v="0"/>
    <n v="679.99"/>
    <n v="2039.97"/>
    <x v="0"/>
    <x v="0"/>
    <x v="3"/>
    <x v="4"/>
    <s v="Castilla y León"/>
    <x v="1"/>
    <n v="5"/>
    <n v="2399.9700000000003"/>
    <n v="360.00000000000023"/>
  </r>
  <r>
    <s v="ORD-101289"/>
    <x v="588"/>
    <x v="17"/>
    <x v="0"/>
    <n v="3"/>
    <n v="899.99"/>
    <x v="1"/>
    <n v="899.99"/>
    <n v="2699.97"/>
    <x v="1"/>
    <x v="0"/>
    <x v="0"/>
    <x v="14"/>
    <s v="Aragón"/>
    <x v="0"/>
    <m/>
    <n v="2699.9700000000003"/>
    <n v="0"/>
  </r>
  <r>
    <s v="ORD-101290"/>
    <x v="595"/>
    <x v="23"/>
    <x v="4"/>
    <n v="2"/>
    <n v="24.99"/>
    <x v="2"/>
    <n v="23.74"/>
    <n v="47.48"/>
    <x v="0"/>
    <x v="0"/>
    <x v="0"/>
    <x v="11"/>
    <s v="Cataluña"/>
    <x v="2"/>
    <n v="5"/>
    <n v="49.98"/>
    <n v="2.5"/>
  </r>
  <r>
    <s v="ORD-101291"/>
    <x v="106"/>
    <x v="23"/>
    <x v="4"/>
    <n v="2"/>
    <n v="24.99"/>
    <x v="2"/>
    <n v="23.74"/>
    <n v="47.48"/>
    <x v="0"/>
    <x v="0"/>
    <x v="1"/>
    <x v="12"/>
    <s v="Región de Murcia"/>
    <x v="1"/>
    <n v="3"/>
    <n v="49.98"/>
    <n v="2.5"/>
  </r>
  <r>
    <s v="ORD-101292"/>
    <x v="524"/>
    <x v="16"/>
    <x v="1"/>
    <n v="4"/>
    <n v="79.989999999999995"/>
    <x v="1"/>
    <n v="79.989999999999995"/>
    <n v="319.95999999999998"/>
    <x v="0"/>
    <x v="2"/>
    <x v="3"/>
    <x v="13"/>
    <s v="Andalucía"/>
    <x v="0"/>
    <n v="3"/>
    <n v="319.95999999999998"/>
    <n v="0"/>
  </r>
  <r>
    <s v="ORD-101293"/>
    <x v="286"/>
    <x v="26"/>
    <x v="1"/>
    <n v="4"/>
    <n v="599.99"/>
    <x v="1"/>
    <n v="599.99"/>
    <n v="2399.96"/>
    <x v="0"/>
    <x v="0"/>
    <x v="3"/>
    <x v="10"/>
    <s v="Cantabria"/>
    <x v="1"/>
    <n v="2"/>
    <n v="2399.96"/>
    <n v="0"/>
  </r>
  <r>
    <s v="ORD-101294"/>
    <x v="551"/>
    <x v="21"/>
    <x v="0"/>
    <n v="3"/>
    <n v="799.99"/>
    <x v="1"/>
    <n v="799.99"/>
    <n v="2399.9699999999998"/>
    <x v="0"/>
    <x v="1"/>
    <x v="4"/>
    <x v="13"/>
    <s v="Andalucía"/>
    <x v="0"/>
    <n v="2"/>
    <n v="2399.9700000000003"/>
    <n v="0"/>
  </r>
  <r>
    <s v="ORD-101295"/>
    <x v="514"/>
    <x v="21"/>
    <x v="0"/>
    <n v="4"/>
    <n v="799.99"/>
    <x v="0"/>
    <n v="679.99"/>
    <n v="2719.96"/>
    <x v="4"/>
    <x v="0"/>
    <x v="3"/>
    <x v="11"/>
    <s v="Cataluña"/>
    <x v="2"/>
    <m/>
    <n v="3199.96"/>
    <n v="480"/>
  </r>
  <r>
    <s v="ORD-101296"/>
    <x v="596"/>
    <x v="2"/>
    <x v="2"/>
    <n v="2"/>
    <n v="299.99"/>
    <x v="1"/>
    <n v="299.99"/>
    <n v="599.98"/>
    <x v="1"/>
    <x v="2"/>
    <x v="3"/>
    <x v="2"/>
    <s v="Navarra"/>
    <x v="1"/>
    <m/>
    <n v="599.98"/>
    <n v="0"/>
  </r>
  <r>
    <s v="ORD-101297"/>
    <x v="272"/>
    <x v="11"/>
    <x v="0"/>
    <n v="1"/>
    <n v="349.99"/>
    <x v="1"/>
    <n v="349.99"/>
    <n v="349.99"/>
    <x v="1"/>
    <x v="0"/>
    <x v="3"/>
    <x v="6"/>
    <s v="Comunitat Valenciana"/>
    <x v="0"/>
    <m/>
    <n v="349.99"/>
    <n v="0"/>
  </r>
  <r>
    <s v="ORD-101298"/>
    <x v="388"/>
    <x v="28"/>
    <x v="0"/>
    <n v="1"/>
    <n v="499.99"/>
    <x v="0"/>
    <n v="424.99"/>
    <n v="424.99"/>
    <x v="2"/>
    <x v="3"/>
    <x v="1"/>
    <x v="13"/>
    <s v="Andalucía"/>
    <x v="0"/>
    <m/>
    <n v="499.99"/>
    <n v="75"/>
  </r>
  <r>
    <s v="ORD-101299"/>
    <x v="122"/>
    <x v="16"/>
    <x v="1"/>
    <n v="3"/>
    <n v="79.989999999999995"/>
    <x v="1"/>
    <n v="79.989999999999995"/>
    <n v="239.97"/>
    <x v="0"/>
    <x v="0"/>
    <x v="1"/>
    <x v="2"/>
    <s v="Navarra"/>
    <x v="1"/>
    <n v="5"/>
    <n v="239.96999999999997"/>
    <n v="0"/>
  </r>
  <r>
    <s v="ORD-101300"/>
    <x v="542"/>
    <x v="28"/>
    <x v="0"/>
    <n v="3"/>
    <n v="499.99"/>
    <x v="4"/>
    <n v="399.99"/>
    <n v="1199.97"/>
    <x v="0"/>
    <x v="3"/>
    <x v="0"/>
    <x v="5"/>
    <s v="País Vasco"/>
    <x v="0"/>
    <n v="4"/>
    <n v="1499.97"/>
    <n v="300"/>
  </r>
  <r>
    <s v="ORD-101301"/>
    <x v="2"/>
    <x v="16"/>
    <x v="1"/>
    <n v="1"/>
    <n v="79.989999999999995"/>
    <x v="0"/>
    <n v="67.989999999999995"/>
    <n v="67.989999999999995"/>
    <x v="1"/>
    <x v="0"/>
    <x v="4"/>
    <x v="1"/>
    <s v="Comunitat Valenciana"/>
    <x v="1"/>
    <m/>
    <n v="79.989999999999995"/>
    <n v="12"/>
  </r>
  <r>
    <s v="ORD-101302"/>
    <x v="437"/>
    <x v="9"/>
    <x v="2"/>
    <n v="2"/>
    <n v="29.99"/>
    <x v="1"/>
    <n v="29.99"/>
    <n v="59.98"/>
    <x v="0"/>
    <x v="0"/>
    <x v="4"/>
    <x v="13"/>
    <s v="Andalucía"/>
    <x v="0"/>
    <n v="2"/>
    <n v="59.98"/>
    <n v="0"/>
  </r>
  <r>
    <s v="ORD-101303"/>
    <x v="148"/>
    <x v="19"/>
    <x v="0"/>
    <n v="5"/>
    <n v="1199.99"/>
    <x v="1"/>
    <n v="1199.99"/>
    <n v="5999.95"/>
    <x v="0"/>
    <x v="0"/>
    <x v="3"/>
    <x v="3"/>
    <s v="Comunidad de Madrid"/>
    <x v="2"/>
    <n v="2"/>
    <n v="5999.95"/>
    <n v="0"/>
  </r>
  <r>
    <s v="ORD-101304"/>
    <x v="48"/>
    <x v="24"/>
    <x v="3"/>
    <n v="4"/>
    <n v="89.99"/>
    <x v="2"/>
    <n v="85.49"/>
    <n v="341.96"/>
    <x v="0"/>
    <x v="1"/>
    <x v="0"/>
    <x v="13"/>
    <s v="Andalucía"/>
    <x v="0"/>
    <n v="3"/>
    <n v="359.96"/>
    <n v="18"/>
  </r>
  <r>
    <s v="ORD-101305"/>
    <x v="482"/>
    <x v="7"/>
    <x v="3"/>
    <n v="3"/>
    <n v="19.989999999999998"/>
    <x v="0"/>
    <n v="16.989999999999998"/>
    <n v="50.97"/>
    <x v="0"/>
    <x v="2"/>
    <x v="0"/>
    <x v="14"/>
    <s v="Aragón"/>
    <x v="0"/>
    <n v="1"/>
    <n v="59.97"/>
    <n v="9"/>
  </r>
  <r>
    <s v="ORD-101306"/>
    <x v="236"/>
    <x v="12"/>
    <x v="2"/>
    <n v="3"/>
    <n v="189.99"/>
    <x v="1"/>
    <n v="189.99"/>
    <n v="569.97"/>
    <x v="0"/>
    <x v="2"/>
    <x v="0"/>
    <x v="5"/>
    <s v="País Vasco"/>
    <x v="0"/>
    <n v="2"/>
    <n v="569.97"/>
    <n v="0"/>
  </r>
  <r>
    <s v="ORD-101307"/>
    <x v="584"/>
    <x v="16"/>
    <x v="1"/>
    <n v="3"/>
    <n v="79.989999999999995"/>
    <x v="1"/>
    <n v="79.989999999999995"/>
    <n v="239.97"/>
    <x v="0"/>
    <x v="1"/>
    <x v="1"/>
    <x v="11"/>
    <s v="Cataluña"/>
    <x v="2"/>
    <n v="2"/>
    <n v="239.96999999999997"/>
    <n v="0"/>
  </r>
  <r>
    <s v="ORD-101308"/>
    <x v="597"/>
    <x v="15"/>
    <x v="3"/>
    <n v="3"/>
    <n v="69.989999999999995"/>
    <x v="0"/>
    <n v="59.49"/>
    <n v="178.47"/>
    <x v="1"/>
    <x v="1"/>
    <x v="0"/>
    <x v="7"/>
    <s v="Castilla y León"/>
    <x v="1"/>
    <m/>
    <n v="209.96999999999997"/>
    <n v="31.499999999999972"/>
  </r>
  <r>
    <s v="ORD-101309"/>
    <x v="250"/>
    <x v="21"/>
    <x v="0"/>
    <n v="5"/>
    <n v="799.99"/>
    <x v="2"/>
    <n v="759.99"/>
    <n v="3799.95"/>
    <x v="0"/>
    <x v="0"/>
    <x v="1"/>
    <x v="11"/>
    <s v="Cataluña"/>
    <x v="2"/>
    <n v="1"/>
    <n v="3999.95"/>
    <n v="200"/>
  </r>
  <r>
    <s v="ORD-101310"/>
    <x v="301"/>
    <x v="1"/>
    <x v="1"/>
    <n v="2"/>
    <n v="399.99"/>
    <x v="1"/>
    <n v="399.99"/>
    <n v="799.98"/>
    <x v="1"/>
    <x v="0"/>
    <x v="4"/>
    <x v="4"/>
    <s v="Castilla y León"/>
    <x v="1"/>
    <m/>
    <n v="799.98"/>
    <n v="0"/>
  </r>
  <r>
    <s v="ORD-101311"/>
    <x v="400"/>
    <x v="24"/>
    <x v="3"/>
    <n v="3"/>
    <n v="89.99"/>
    <x v="0"/>
    <n v="76.489999999999995"/>
    <n v="229.47"/>
    <x v="0"/>
    <x v="0"/>
    <x v="1"/>
    <x v="2"/>
    <s v="Navarra"/>
    <x v="1"/>
    <n v="1"/>
    <n v="269.96999999999997"/>
    <n v="40.499999999999972"/>
  </r>
  <r>
    <s v="ORD-101312"/>
    <x v="178"/>
    <x v="21"/>
    <x v="0"/>
    <n v="4"/>
    <n v="799.99"/>
    <x v="3"/>
    <n v="719.99"/>
    <n v="2879.96"/>
    <x v="1"/>
    <x v="2"/>
    <x v="2"/>
    <x v="4"/>
    <s v="Castilla y León"/>
    <x v="1"/>
    <m/>
    <n v="3199.96"/>
    <n v="320"/>
  </r>
  <r>
    <s v="ORD-101313"/>
    <x v="391"/>
    <x v="15"/>
    <x v="3"/>
    <n v="3"/>
    <n v="69.989999999999995"/>
    <x v="2"/>
    <n v="66.489999999999995"/>
    <n v="199.47"/>
    <x v="1"/>
    <x v="2"/>
    <x v="0"/>
    <x v="11"/>
    <s v="Cataluña"/>
    <x v="2"/>
    <m/>
    <n v="209.96999999999997"/>
    <n v="10.499999999999972"/>
  </r>
  <r>
    <s v="ORD-101314"/>
    <x v="138"/>
    <x v="14"/>
    <x v="1"/>
    <n v="5"/>
    <n v="249.99"/>
    <x v="4"/>
    <n v="199.99"/>
    <n v="999.95"/>
    <x v="0"/>
    <x v="0"/>
    <x v="4"/>
    <x v="1"/>
    <s v="Comunitat Valenciana"/>
    <x v="1"/>
    <n v="3"/>
    <n v="1249.95"/>
    <n v="250"/>
  </r>
  <r>
    <s v="ORD-101315"/>
    <x v="376"/>
    <x v="1"/>
    <x v="1"/>
    <n v="1"/>
    <n v="399.99"/>
    <x v="4"/>
    <n v="319.99"/>
    <n v="319.99"/>
    <x v="4"/>
    <x v="1"/>
    <x v="3"/>
    <x v="0"/>
    <s v="Andalucía"/>
    <x v="0"/>
    <m/>
    <n v="399.99"/>
    <n v="80"/>
  </r>
  <r>
    <s v="ORD-101316"/>
    <x v="298"/>
    <x v="5"/>
    <x v="1"/>
    <n v="5"/>
    <n v="149.99"/>
    <x v="1"/>
    <n v="149.99"/>
    <n v="749.95"/>
    <x v="0"/>
    <x v="1"/>
    <x v="3"/>
    <x v="2"/>
    <s v="Navarra"/>
    <x v="1"/>
    <n v="4"/>
    <n v="749.95"/>
    <n v="0"/>
  </r>
  <r>
    <s v="ORD-101317"/>
    <x v="598"/>
    <x v="27"/>
    <x v="1"/>
    <n v="3"/>
    <n v="49.99"/>
    <x v="1"/>
    <n v="49.99"/>
    <n v="149.97"/>
    <x v="0"/>
    <x v="1"/>
    <x v="3"/>
    <x v="6"/>
    <s v="Comunitat Valenciana"/>
    <x v="0"/>
    <n v="1"/>
    <n v="149.97"/>
    <n v="0"/>
  </r>
  <r>
    <s v="ORD-101318"/>
    <x v="566"/>
    <x v="26"/>
    <x v="1"/>
    <n v="5"/>
    <n v="599.99"/>
    <x v="0"/>
    <n v="509.99"/>
    <n v="2549.9499999999998"/>
    <x v="1"/>
    <x v="0"/>
    <x v="0"/>
    <x v="5"/>
    <s v="País Vasco"/>
    <x v="0"/>
    <m/>
    <n v="2999.95"/>
    <n v="450"/>
  </r>
  <r>
    <s v="ORD-101319"/>
    <x v="283"/>
    <x v="7"/>
    <x v="3"/>
    <n v="5"/>
    <n v="19.989999999999998"/>
    <x v="1"/>
    <n v="19.989999999999998"/>
    <n v="99.95"/>
    <x v="0"/>
    <x v="1"/>
    <x v="0"/>
    <x v="3"/>
    <s v="Comunidad de Madrid"/>
    <x v="2"/>
    <n v="2"/>
    <n v="99.949999999999989"/>
    <n v="0"/>
  </r>
  <r>
    <s v="ORD-101320"/>
    <x v="103"/>
    <x v="22"/>
    <x v="4"/>
    <n v="2"/>
    <n v="44.99"/>
    <x v="1"/>
    <n v="44.99"/>
    <n v="89.98"/>
    <x v="2"/>
    <x v="1"/>
    <x v="0"/>
    <x v="3"/>
    <s v="Comunidad de Madrid"/>
    <x v="2"/>
    <m/>
    <n v="89.98"/>
    <n v="0"/>
  </r>
  <r>
    <s v="ORD-101321"/>
    <x v="431"/>
    <x v="5"/>
    <x v="1"/>
    <n v="1"/>
    <n v="149.99"/>
    <x v="1"/>
    <n v="149.99"/>
    <n v="149.99"/>
    <x v="1"/>
    <x v="1"/>
    <x v="3"/>
    <x v="9"/>
    <s v="Asturias"/>
    <x v="1"/>
    <m/>
    <n v="149.99"/>
    <n v="0"/>
  </r>
  <r>
    <s v="ORD-101322"/>
    <x v="71"/>
    <x v="2"/>
    <x v="2"/>
    <n v="5"/>
    <n v="299.99"/>
    <x v="1"/>
    <n v="299.99"/>
    <n v="1499.95"/>
    <x v="1"/>
    <x v="2"/>
    <x v="0"/>
    <x v="13"/>
    <s v="Andalucía"/>
    <x v="0"/>
    <m/>
    <n v="1499.95"/>
    <n v="0"/>
  </r>
  <r>
    <s v="ORD-101323"/>
    <x v="202"/>
    <x v="9"/>
    <x v="2"/>
    <n v="1"/>
    <n v="29.99"/>
    <x v="4"/>
    <n v="23.99"/>
    <n v="23.99"/>
    <x v="0"/>
    <x v="3"/>
    <x v="0"/>
    <x v="10"/>
    <s v="Cantabria"/>
    <x v="1"/>
    <n v="1"/>
    <n v="29.99"/>
    <n v="6"/>
  </r>
  <r>
    <s v="ORD-101324"/>
    <x v="599"/>
    <x v="12"/>
    <x v="2"/>
    <n v="5"/>
    <n v="189.99"/>
    <x v="1"/>
    <n v="189.99"/>
    <n v="949.95"/>
    <x v="1"/>
    <x v="0"/>
    <x v="1"/>
    <x v="10"/>
    <s v="Cantabria"/>
    <x v="1"/>
    <m/>
    <n v="949.95"/>
    <n v="0"/>
  </r>
  <r>
    <s v="ORD-101325"/>
    <x v="65"/>
    <x v="9"/>
    <x v="2"/>
    <n v="5"/>
    <n v="29.99"/>
    <x v="3"/>
    <n v="26.99"/>
    <n v="134.94999999999999"/>
    <x v="0"/>
    <x v="0"/>
    <x v="0"/>
    <x v="12"/>
    <s v="Región de Murcia"/>
    <x v="1"/>
    <n v="5"/>
    <n v="149.94999999999999"/>
    <n v="15"/>
  </r>
  <r>
    <s v="ORD-101326"/>
    <x v="290"/>
    <x v="8"/>
    <x v="2"/>
    <n v="4"/>
    <n v="59.99"/>
    <x v="1"/>
    <n v="59.99"/>
    <n v="239.96"/>
    <x v="0"/>
    <x v="1"/>
    <x v="3"/>
    <x v="10"/>
    <s v="Cantabria"/>
    <x v="1"/>
    <n v="4"/>
    <n v="239.96"/>
    <n v="0"/>
  </r>
  <r>
    <s v="ORD-101327"/>
    <x v="350"/>
    <x v="16"/>
    <x v="1"/>
    <n v="2"/>
    <n v="79.989999999999995"/>
    <x v="2"/>
    <n v="75.989999999999995"/>
    <n v="151.97999999999999"/>
    <x v="0"/>
    <x v="0"/>
    <x v="3"/>
    <x v="8"/>
    <s v="La Rioja"/>
    <x v="1"/>
    <n v="2"/>
    <n v="159.97999999999999"/>
    <n v="8"/>
  </r>
  <r>
    <s v="ORD-101328"/>
    <x v="80"/>
    <x v="13"/>
    <x v="3"/>
    <n v="1"/>
    <n v="49.99"/>
    <x v="1"/>
    <n v="49.99"/>
    <n v="49.99"/>
    <x v="0"/>
    <x v="2"/>
    <x v="1"/>
    <x v="6"/>
    <s v="Comunitat Valenciana"/>
    <x v="0"/>
    <n v="2"/>
    <n v="49.99"/>
    <n v="0"/>
  </r>
  <r>
    <s v="ORD-101329"/>
    <x v="112"/>
    <x v="11"/>
    <x v="0"/>
    <n v="1"/>
    <n v="349.99"/>
    <x v="2"/>
    <n v="332.49"/>
    <n v="332.49"/>
    <x v="0"/>
    <x v="1"/>
    <x v="3"/>
    <x v="4"/>
    <s v="Castilla y León"/>
    <x v="1"/>
    <n v="5"/>
    <n v="349.99"/>
    <n v="17.5"/>
  </r>
  <r>
    <s v="ORD-101330"/>
    <x v="600"/>
    <x v="10"/>
    <x v="2"/>
    <n v="1"/>
    <n v="69.989999999999995"/>
    <x v="3"/>
    <n v="62.99"/>
    <n v="62.99"/>
    <x v="0"/>
    <x v="0"/>
    <x v="2"/>
    <x v="13"/>
    <s v="Andalucía"/>
    <x v="0"/>
    <n v="1"/>
    <n v="69.989999999999995"/>
    <n v="6.9999999999999929"/>
  </r>
  <r>
    <s v="ORD-101331"/>
    <x v="273"/>
    <x v="28"/>
    <x v="0"/>
    <n v="1"/>
    <n v="499.99"/>
    <x v="1"/>
    <n v="499.99"/>
    <n v="499.99"/>
    <x v="0"/>
    <x v="1"/>
    <x v="1"/>
    <x v="9"/>
    <s v="Asturias"/>
    <x v="1"/>
    <n v="1"/>
    <n v="499.99"/>
    <n v="0"/>
  </r>
  <r>
    <s v="ORD-101332"/>
    <x v="501"/>
    <x v="5"/>
    <x v="1"/>
    <n v="3"/>
    <n v="149.99"/>
    <x v="4"/>
    <n v="119.99"/>
    <n v="359.97"/>
    <x v="1"/>
    <x v="0"/>
    <x v="1"/>
    <x v="0"/>
    <s v="Andalucía"/>
    <x v="0"/>
    <m/>
    <n v="449.97"/>
    <n v="90"/>
  </r>
  <r>
    <s v="ORD-101333"/>
    <x v="478"/>
    <x v="25"/>
    <x v="4"/>
    <n v="2"/>
    <n v="34.99"/>
    <x v="1"/>
    <n v="34.99"/>
    <n v="69.98"/>
    <x v="0"/>
    <x v="0"/>
    <x v="3"/>
    <x v="6"/>
    <s v="Comunitat Valenciana"/>
    <x v="0"/>
    <n v="3"/>
    <n v="69.98"/>
    <n v="0"/>
  </r>
  <r>
    <s v="ORD-101334"/>
    <x v="509"/>
    <x v="5"/>
    <x v="1"/>
    <n v="1"/>
    <n v="149.99"/>
    <x v="1"/>
    <n v="149.99"/>
    <n v="149.99"/>
    <x v="2"/>
    <x v="1"/>
    <x v="0"/>
    <x v="11"/>
    <s v="Cataluña"/>
    <x v="2"/>
    <m/>
    <n v="149.99"/>
    <n v="0"/>
  </r>
  <r>
    <s v="ORD-101335"/>
    <x v="601"/>
    <x v="11"/>
    <x v="0"/>
    <n v="1"/>
    <n v="349.99"/>
    <x v="1"/>
    <n v="349.99"/>
    <n v="349.99"/>
    <x v="0"/>
    <x v="0"/>
    <x v="3"/>
    <x v="13"/>
    <s v="Andalucía"/>
    <x v="0"/>
    <n v="3"/>
    <n v="349.99"/>
    <n v="0"/>
  </r>
  <r>
    <s v="ORD-101336"/>
    <x v="524"/>
    <x v="22"/>
    <x v="4"/>
    <n v="4"/>
    <n v="44.99"/>
    <x v="0"/>
    <n v="38.24"/>
    <n v="152.96"/>
    <x v="2"/>
    <x v="2"/>
    <x v="3"/>
    <x v="8"/>
    <s v="La Rioja"/>
    <x v="1"/>
    <m/>
    <n v="179.96"/>
    <n v="27"/>
  </r>
  <r>
    <s v="ORD-101337"/>
    <x v="602"/>
    <x v="28"/>
    <x v="0"/>
    <n v="1"/>
    <n v="499.99"/>
    <x v="1"/>
    <n v="499.99"/>
    <n v="499.99"/>
    <x v="0"/>
    <x v="0"/>
    <x v="3"/>
    <x v="1"/>
    <s v="Comunitat Valenciana"/>
    <x v="1"/>
    <n v="1"/>
    <n v="499.99"/>
    <n v="0"/>
  </r>
  <r>
    <s v="ORD-101338"/>
    <x v="147"/>
    <x v="27"/>
    <x v="1"/>
    <n v="2"/>
    <n v="49.99"/>
    <x v="1"/>
    <n v="49.99"/>
    <n v="99.98"/>
    <x v="0"/>
    <x v="1"/>
    <x v="1"/>
    <x v="14"/>
    <s v="Aragón"/>
    <x v="0"/>
    <n v="2"/>
    <n v="99.98"/>
    <n v="0"/>
  </r>
  <r>
    <s v="ORD-101339"/>
    <x v="208"/>
    <x v="12"/>
    <x v="2"/>
    <n v="3"/>
    <n v="189.99"/>
    <x v="3"/>
    <n v="170.99"/>
    <n v="512.97"/>
    <x v="2"/>
    <x v="2"/>
    <x v="0"/>
    <x v="14"/>
    <s v="Aragón"/>
    <x v="0"/>
    <m/>
    <n v="569.97"/>
    <n v="57"/>
  </r>
  <r>
    <s v="ORD-101340"/>
    <x v="525"/>
    <x v="12"/>
    <x v="2"/>
    <n v="3"/>
    <n v="189.99"/>
    <x v="1"/>
    <n v="189.99"/>
    <n v="569.97"/>
    <x v="2"/>
    <x v="2"/>
    <x v="1"/>
    <x v="10"/>
    <s v="Cantabria"/>
    <x v="1"/>
    <m/>
    <n v="569.97"/>
    <n v="0"/>
  </r>
  <r>
    <s v="ORD-101341"/>
    <x v="504"/>
    <x v="18"/>
    <x v="2"/>
    <n v="2"/>
    <n v="99.99"/>
    <x v="1"/>
    <n v="99.99"/>
    <n v="199.98"/>
    <x v="0"/>
    <x v="1"/>
    <x v="1"/>
    <x v="12"/>
    <s v="Región de Murcia"/>
    <x v="1"/>
    <n v="4"/>
    <n v="199.98"/>
    <n v="0"/>
  </r>
  <r>
    <s v="ORD-101342"/>
    <x v="359"/>
    <x v="0"/>
    <x v="0"/>
    <n v="5"/>
    <n v="45.99"/>
    <x v="2"/>
    <n v="43.69"/>
    <n v="218.45"/>
    <x v="3"/>
    <x v="0"/>
    <x v="0"/>
    <x v="5"/>
    <s v="País Vasco"/>
    <x v="0"/>
    <m/>
    <n v="229.95000000000002"/>
    <n v="11.500000000000028"/>
  </r>
  <r>
    <s v="ORD-101343"/>
    <x v="178"/>
    <x v="29"/>
    <x v="0"/>
    <n v="4"/>
    <n v="129.99"/>
    <x v="1"/>
    <n v="129.99"/>
    <n v="519.96"/>
    <x v="0"/>
    <x v="1"/>
    <x v="4"/>
    <x v="13"/>
    <s v="Andalucía"/>
    <x v="0"/>
    <n v="5"/>
    <n v="519.96"/>
    <n v="0"/>
  </r>
  <r>
    <s v="ORD-101344"/>
    <x v="603"/>
    <x v="24"/>
    <x v="3"/>
    <n v="2"/>
    <n v="89.99"/>
    <x v="4"/>
    <n v="71.989999999999995"/>
    <n v="143.97999999999999"/>
    <x v="3"/>
    <x v="0"/>
    <x v="3"/>
    <x v="4"/>
    <s v="Castilla y León"/>
    <x v="1"/>
    <m/>
    <n v="179.98"/>
    <n v="36"/>
  </r>
  <r>
    <s v="ORD-101345"/>
    <x v="259"/>
    <x v="5"/>
    <x v="1"/>
    <n v="5"/>
    <n v="149.99"/>
    <x v="2"/>
    <n v="142.49"/>
    <n v="712.45"/>
    <x v="0"/>
    <x v="0"/>
    <x v="0"/>
    <x v="8"/>
    <s v="La Rioja"/>
    <x v="1"/>
    <n v="4"/>
    <n v="749.95"/>
    <n v="37.5"/>
  </r>
  <r>
    <s v="ORD-101346"/>
    <x v="180"/>
    <x v="1"/>
    <x v="1"/>
    <n v="2"/>
    <n v="399.99"/>
    <x v="0"/>
    <n v="339.99"/>
    <n v="679.98"/>
    <x v="0"/>
    <x v="0"/>
    <x v="4"/>
    <x v="14"/>
    <s v="Aragón"/>
    <x v="0"/>
    <n v="1"/>
    <n v="799.98"/>
    <n v="120"/>
  </r>
  <r>
    <s v="ORD-101347"/>
    <x v="604"/>
    <x v="5"/>
    <x v="1"/>
    <n v="4"/>
    <n v="149.99"/>
    <x v="1"/>
    <n v="149.99"/>
    <n v="599.96"/>
    <x v="3"/>
    <x v="2"/>
    <x v="3"/>
    <x v="3"/>
    <s v="Comunidad de Madrid"/>
    <x v="2"/>
    <m/>
    <n v="599.96"/>
    <n v="0"/>
  </r>
  <r>
    <s v="ORD-101348"/>
    <x v="304"/>
    <x v="13"/>
    <x v="3"/>
    <n v="4"/>
    <n v="49.99"/>
    <x v="1"/>
    <n v="49.99"/>
    <n v="199.96"/>
    <x v="2"/>
    <x v="3"/>
    <x v="4"/>
    <x v="7"/>
    <s v="Castilla y León"/>
    <x v="1"/>
    <m/>
    <n v="199.96"/>
    <n v="0"/>
  </r>
  <r>
    <s v="ORD-101349"/>
    <x v="605"/>
    <x v="21"/>
    <x v="0"/>
    <n v="2"/>
    <n v="799.99"/>
    <x v="1"/>
    <n v="799.99"/>
    <n v="1599.98"/>
    <x v="1"/>
    <x v="3"/>
    <x v="1"/>
    <x v="11"/>
    <s v="Cataluña"/>
    <x v="2"/>
    <m/>
    <n v="1599.98"/>
    <n v="0"/>
  </r>
  <r>
    <s v="ORD-101350"/>
    <x v="570"/>
    <x v="10"/>
    <x v="2"/>
    <n v="1"/>
    <n v="69.989999999999995"/>
    <x v="0"/>
    <n v="59.49"/>
    <n v="59.49"/>
    <x v="4"/>
    <x v="0"/>
    <x v="0"/>
    <x v="14"/>
    <s v="Aragón"/>
    <x v="0"/>
    <m/>
    <n v="69.989999999999995"/>
    <n v="10.499999999999993"/>
  </r>
  <r>
    <s v="ORD-101351"/>
    <x v="308"/>
    <x v="6"/>
    <x v="0"/>
    <n v="4"/>
    <n v="89.99"/>
    <x v="4"/>
    <n v="71.989999999999995"/>
    <n v="287.95999999999998"/>
    <x v="0"/>
    <x v="0"/>
    <x v="3"/>
    <x v="6"/>
    <s v="Comunitat Valenciana"/>
    <x v="0"/>
    <n v="1"/>
    <n v="359.96"/>
    <n v="72"/>
  </r>
  <r>
    <s v="ORD-101352"/>
    <x v="38"/>
    <x v="6"/>
    <x v="0"/>
    <n v="1"/>
    <n v="89.99"/>
    <x v="3"/>
    <n v="80.989999999999995"/>
    <n v="80.989999999999995"/>
    <x v="2"/>
    <x v="0"/>
    <x v="0"/>
    <x v="13"/>
    <s v="Andalucía"/>
    <x v="0"/>
    <m/>
    <n v="89.99"/>
    <n v="9"/>
  </r>
  <r>
    <s v="ORD-101353"/>
    <x v="29"/>
    <x v="10"/>
    <x v="2"/>
    <n v="5"/>
    <n v="69.989999999999995"/>
    <x v="0"/>
    <n v="59.49"/>
    <n v="297.45"/>
    <x v="3"/>
    <x v="0"/>
    <x v="0"/>
    <x v="12"/>
    <s v="Región de Murcia"/>
    <x v="1"/>
    <m/>
    <n v="349.95"/>
    <n v="52.5"/>
  </r>
  <r>
    <s v="ORD-101354"/>
    <x v="266"/>
    <x v="2"/>
    <x v="2"/>
    <n v="1"/>
    <n v="299.99"/>
    <x v="1"/>
    <n v="299.99"/>
    <n v="299.99"/>
    <x v="0"/>
    <x v="2"/>
    <x v="0"/>
    <x v="3"/>
    <s v="Comunidad de Madrid"/>
    <x v="2"/>
    <n v="2"/>
    <n v="299.99"/>
    <n v="0"/>
  </r>
  <r>
    <s v="ORD-101355"/>
    <x v="429"/>
    <x v="29"/>
    <x v="0"/>
    <n v="1"/>
    <n v="129.99"/>
    <x v="2"/>
    <n v="123.49"/>
    <n v="123.49"/>
    <x v="2"/>
    <x v="2"/>
    <x v="3"/>
    <x v="9"/>
    <s v="Asturias"/>
    <x v="1"/>
    <m/>
    <n v="129.99"/>
    <n v="6.5000000000000142"/>
  </r>
  <r>
    <s v="ORD-101356"/>
    <x v="487"/>
    <x v="25"/>
    <x v="4"/>
    <n v="3"/>
    <n v="34.99"/>
    <x v="3"/>
    <n v="31.49"/>
    <n v="94.47"/>
    <x v="0"/>
    <x v="0"/>
    <x v="4"/>
    <x v="10"/>
    <s v="Cantabria"/>
    <x v="1"/>
    <n v="3"/>
    <n v="104.97"/>
    <n v="10.5"/>
  </r>
  <r>
    <s v="ORD-101357"/>
    <x v="255"/>
    <x v="14"/>
    <x v="1"/>
    <n v="4"/>
    <n v="249.99"/>
    <x v="1"/>
    <n v="249.99"/>
    <n v="999.96"/>
    <x v="1"/>
    <x v="1"/>
    <x v="0"/>
    <x v="13"/>
    <s v="Andalucía"/>
    <x v="0"/>
    <m/>
    <n v="999.96"/>
    <n v="0"/>
  </r>
  <r>
    <s v="ORD-101358"/>
    <x v="511"/>
    <x v="25"/>
    <x v="4"/>
    <n v="5"/>
    <n v="34.99"/>
    <x v="3"/>
    <n v="31.49"/>
    <n v="157.44999999999999"/>
    <x v="2"/>
    <x v="1"/>
    <x v="3"/>
    <x v="8"/>
    <s v="La Rioja"/>
    <x v="1"/>
    <m/>
    <n v="174.95000000000002"/>
    <n v="17.500000000000028"/>
  </r>
  <r>
    <s v="ORD-101359"/>
    <x v="457"/>
    <x v="9"/>
    <x v="2"/>
    <n v="4"/>
    <n v="29.99"/>
    <x v="4"/>
    <n v="23.99"/>
    <n v="95.96"/>
    <x v="0"/>
    <x v="2"/>
    <x v="1"/>
    <x v="3"/>
    <s v="Comunidad de Madrid"/>
    <x v="2"/>
    <n v="2"/>
    <n v="119.96"/>
    <n v="24"/>
  </r>
  <r>
    <s v="ORD-101360"/>
    <x v="606"/>
    <x v="0"/>
    <x v="0"/>
    <n v="1"/>
    <n v="45.99"/>
    <x v="1"/>
    <n v="45.99"/>
    <n v="45.99"/>
    <x v="0"/>
    <x v="2"/>
    <x v="0"/>
    <x v="2"/>
    <s v="Navarra"/>
    <x v="1"/>
    <n v="3"/>
    <n v="45.99"/>
    <n v="0"/>
  </r>
  <r>
    <s v="ORD-101361"/>
    <x v="226"/>
    <x v="5"/>
    <x v="1"/>
    <n v="1"/>
    <n v="149.99"/>
    <x v="1"/>
    <n v="149.99"/>
    <n v="149.99"/>
    <x v="0"/>
    <x v="2"/>
    <x v="0"/>
    <x v="3"/>
    <s v="Comunidad de Madrid"/>
    <x v="2"/>
    <n v="5"/>
    <n v="149.99"/>
    <n v="0"/>
  </r>
  <r>
    <s v="ORD-101362"/>
    <x v="607"/>
    <x v="9"/>
    <x v="2"/>
    <n v="1"/>
    <n v="29.99"/>
    <x v="1"/>
    <n v="29.99"/>
    <n v="29.99"/>
    <x v="0"/>
    <x v="1"/>
    <x v="3"/>
    <x v="1"/>
    <s v="Comunitat Valenciana"/>
    <x v="1"/>
    <n v="4"/>
    <n v="29.99"/>
    <n v="0"/>
  </r>
  <r>
    <s v="ORD-101363"/>
    <x v="376"/>
    <x v="17"/>
    <x v="0"/>
    <n v="3"/>
    <n v="899.99"/>
    <x v="1"/>
    <n v="899.99"/>
    <n v="2699.97"/>
    <x v="3"/>
    <x v="3"/>
    <x v="1"/>
    <x v="3"/>
    <s v="Comunidad de Madrid"/>
    <x v="2"/>
    <m/>
    <n v="2699.9700000000003"/>
    <n v="0"/>
  </r>
  <r>
    <s v="ORD-101364"/>
    <x v="280"/>
    <x v="14"/>
    <x v="1"/>
    <n v="2"/>
    <n v="249.99"/>
    <x v="1"/>
    <n v="249.99"/>
    <n v="499.98"/>
    <x v="1"/>
    <x v="0"/>
    <x v="0"/>
    <x v="10"/>
    <s v="Cantabria"/>
    <x v="1"/>
    <m/>
    <n v="499.98"/>
    <n v="0"/>
  </r>
  <r>
    <s v="ORD-101365"/>
    <x v="120"/>
    <x v="0"/>
    <x v="0"/>
    <n v="3"/>
    <n v="45.99"/>
    <x v="2"/>
    <n v="43.69"/>
    <n v="131.07"/>
    <x v="2"/>
    <x v="0"/>
    <x v="2"/>
    <x v="7"/>
    <s v="Castilla y León"/>
    <x v="1"/>
    <m/>
    <n v="137.97"/>
    <n v="6.9000000000000057"/>
  </r>
  <r>
    <s v="ORD-101366"/>
    <x v="176"/>
    <x v="19"/>
    <x v="0"/>
    <n v="5"/>
    <n v="1199.99"/>
    <x v="4"/>
    <n v="959.99"/>
    <n v="4799.95"/>
    <x v="0"/>
    <x v="2"/>
    <x v="0"/>
    <x v="1"/>
    <s v="Comunitat Valenciana"/>
    <x v="1"/>
    <n v="2"/>
    <n v="5999.95"/>
    <n v="1200"/>
  </r>
  <r>
    <s v="ORD-101367"/>
    <x v="608"/>
    <x v="12"/>
    <x v="2"/>
    <n v="4"/>
    <n v="189.99"/>
    <x v="1"/>
    <n v="189.99"/>
    <n v="759.96"/>
    <x v="2"/>
    <x v="3"/>
    <x v="0"/>
    <x v="11"/>
    <s v="Cataluña"/>
    <x v="2"/>
    <m/>
    <n v="759.96"/>
    <n v="0"/>
  </r>
  <r>
    <s v="ORD-101368"/>
    <x v="151"/>
    <x v="8"/>
    <x v="2"/>
    <n v="2"/>
    <n v="59.99"/>
    <x v="4"/>
    <n v="47.99"/>
    <n v="95.98"/>
    <x v="1"/>
    <x v="1"/>
    <x v="1"/>
    <x v="7"/>
    <s v="Castilla y León"/>
    <x v="1"/>
    <m/>
    <n v="119.98"/>
    <n v="24"/>
  </r>
  <r>
    <s v="ORD-101369"/>
    <x v="369"/>
    <x v="14"/>
    <x v="1"/>
    <n v="3"/>
    <n v="249.99"/>
    <x v="2"/>
    <n v="237.49"/>
    <n v="712.47"/>
    <x v="1"/>
    <x v="0"/>
    <x v="1"/>
    <x v="14"/>
    <s v="Aragón"/>
    <x v="0"/>
    <m/>
    <n v="749.97"/>
    <n v="37.5"/>
  </r>
  <r>
    <s v="ORD-101370"/>
    <x v="585"/>
    <x v="17"/>
    <x v="0"/>
    <n v="4"/>
    <n v="899.99"/>
    <x v="1"/>
    <n v="899.99"/>
    <n v="3599.96"/>
    <x v="0"/>
    <x v="1"/>
    <x v="4"/>
    <x v="1"/>
    <s v="Comunitat Valenciana"/>
    <x v="1"/>
    <n v="5"/>
    <n v="3599.96"/>
    <n v="0"/>
  </r>
  <r>
    <s v="ORD-101371"/>
    <x v="509"/>
    <x v="16"/>
    <x v="1"/>
    <n v="1"/>
    <n v="79.989999999999995"/>
    <x v="4"/>
    <n v="63.99"/>
    <n v="63.99"/>
    <x v="0"/>
    <x v="2"/>
    <x v="3"/>
    <x v="2"/>
    <s v="Navarra"/>
    <x v="1"/>
    <n v="1"/>
    <n v="79.989999999999995"/>
    <n v="15.999999999999993"/>
  </r>
  <r>
    <s v="ORD-101372"/>
    <x v="221"/>
    <x v="0"/>
    <x v="0"/>
    <n v="4"/>
    <n v="45.99"/>
    <x v="1"/>
    <n v="45.99"/>
    <n v="183.96"/>
    <x v="0"/>
    <x v="0"/>
    <x v="0"/>
    <x v="5"/>
    <s v="País Vasco"/>
    <x v="0"/>
    <n v="3"/>
    <n v="183.96"/>
    <n v="0"/>
  </r>
  <r>
    <s v="ORD-101373"/>
    <x v="558"/>
    <x v="6"/>
    <x v="0"/>
    <n v="1"/>
    <n v="89.99"/>
    <x v="1"/>
    <n v="89.99"/>
    <n v="89.99"/>
    <x v="1"/>
    <x v="0"/>
    <x v="3"/>
    <x v="12"/>
    <s v="Región de Murcia"/>
    <x v="1"/>
    <m/>
    <n v="89.99"/>
    <n v="0"/>
  </r>
  <r>
    <s v="ORD-101374"/>
    <x v="609"/>
    <x v="18"/>
    <x v="2"/>
    <n v="4"/>
    <n v="99.99"/>
    <x v="0"/>
    <n v="84.99"/>
    <n v="339.96"/>
    <x v="3"/>
    <x v="3"/>
    <x v="3"/>
    <x v="11"/>
    <s v="Cataluña"/>
    <x v="2"/>
    <m/>
    <n v="399.96"/>
    <n v="60"/>
  </r>
  <r>
    <s v="ORD-101375"/>
    <x v="482"/>
    <x v="4"/>
    <x v="4"/>
    <n v="3"/>
    <n v="349.99"/>
    <x v="2"/>
    <n v="332.49"/>
    <n v="997.47"/>
    <x v="0"/>
    <x v="2"/>
    <x v="0"/>
    <x v="1"/>
    <s v="Comunitat Valenciana"/>
    <x v="1"/>
    <n v="3"/>
    <n v="1049.97"/>
    <n v="52.5"/>
  </r>
  <r>
    <s v="ORD-101376"/>
    <x v="610"/>
    <x v="4"/>
    <x v="4"/>
    <n v="5"/>
    <n v="349.99"/>
    <x v="1"/>
    <n v="349.99"/>
    <n v="1749.95"/>
    <x v="0"/>
    <x v="0"/>
    <x v="3"/>
    <x v="9"/>
    <s v="Asturias"/>
    <x v="1"/>
    <n v="1"/>
    <n v="1749.95"/>
    <n v="0"/>
  </r>
  <r>
    <s v="ORD-101377"/>
    <x v="611"/>
    <x v="9"/>
    <x v="2"/>
    <n v="1"/>
    <n v="29.99"/>
    <x v="0"/>
    <n v="25.49"/>
    <n v="25.49"/>
    <x v="1"/>
    <x v="2"/>
    <x v="0"/>
    <x v="10"/>
    <s v="Cantabria"/>
    <x v="1"/>
    <m/>
    <n v="29.99"/>
    <n v="4.5"/>
  </r>
  <r>
    <s v="ORD-101378"/>
    <x v="349"/>
    <x v="13"/>
    <x v="3"/>
    <n v="4"/>
    <n v="49.99"/>
    <x v="1"/>
    <n v="49.99"/>
    <n v="199.96"/>
    <x v="0"/>
    <x v="0"/>
    <x v="3"/>
    <x v="8"/>
    <s v="La Rioja"/>
    <x v="1"/>
    <n v="4"/>
    <n v="199.96"/>
    <n v="0"/>
  </r>
  <r>
    <s v="ORD-101379"/>
    <x v="612"/>
    <x v="6"/>
    <x v="0"/>
    <n v="3"/>
    <n v="89.99"/>
    <x v="2"/>
    <n v="85.49"/>
    <n v="256.47000000000003"/>
    <x v="0"/>
    <x v="2"/>
    <x v="3"/>
    <x v="7"/>
    <s v="Castilla y León"/>
    <x v="1"/>
    <n v="1"/>
    <n v="269.96999999999997"/>
    <n v="13.499999999999943"/>
  </r>
  <r>
    <s v="ORD-101380"/>
    <x v="158"/>
    <x v="10"/>
    <x v="2"/>
    <n v="1"/>
    <n v="69.989999999999995"/>
    <x v="2"/>
    <n v="66.489999999999995"/>
    <n v="66.489999999999995"/>
    <x v="1"/>
    <x v="0"/>
    <x v="0"/>
    <x v="0"/>
    <s v="Andalucía"/>
    <x v="0"/>
    <m/>
    <n v="69.989999999999995"/>
    <n v="3.5"/>
  </r>
  <r>
    <s v="ORD-101381"/>
    <x v="613"/>
    <x v="27"/>
    <x v="1"/>
    <n v="4"/>
    <n v="49.99"/>
    <x v="1"/>
    <n v="49.99"/>
    <n v="199.96"/>
    <x v="1"/>
    <x v="0"/>
    <x v="3"/>
    <x v="12"/>
    <s v="Región de Murcia"/>
    <x v="1"/>
    <m/>
    <n v="199.96"/>
    <n v="0"/>
  </r>
  <r>
    <s v="ORD-101382"/>
    <x v="44"/>
    <x v="11"/>
    <x v="0"/>
    <n v="4"/>
    <n v="349.99"/>
    <x v="1"/>
    <n v="349.99"/>
    <n v="1399.96"/>
    <x v="1"/>
    <x v="1"/>
    <x v="4"/>
    <x v="14"/>
    <s v="Aragón"/>
    <x v="0"/>
    <m/>
    <n v="1399.96"/>
    <n v="0"/>
  </r>
  <r>
    <s v="ORD-101383"/>
    <x v="7"/>
    <x v="17"/>
    <x v="0"/>
    <n v="3"/>
    <n v="899.99"/>
    <x v="4"/>
    <n v="719.99"/>
    <n v="2159.9699999999998"/>
    <x v="0"/>
    <x v="0"/>
    <x v="0"/>
    <x v="12"/>
    <s v="Región de Murcia"/>
    <x v="1"/>
    <n v="1"/>
    <n v="2699.9700000000003"/>
    <n v="540.00000000000045"/>
  </r>
  <r>
    <s v="ORD-101384"/>
    <x v="388"/>
    <x v="3"/>
    <x v="3"/>
    <n v="3"/>
    <n v="34.99"/>
    <x v="1"/>
    <n v="34.99"/>
    <n v="104.97"/>
    <x v="1"/>
    <x v="0"/>
    <x v="0"/>
    <x v="11"/>
    <s v="Cataluña"/>
    <x v="2"/>
    <m/>
    <n v="104.97"/>
    <n v="0"/>
  </r>
  <r>
    <s v="ORD-101385"/>
    <x v="557"/>
    <x v="13"/>
    <x v="3"/>
    <n v="4"/>
    <n v="49.99"/>
    <x v="4"/>
    <n v="39.99"/>
    <n v="159.96"/>
    <x v="0"/>
    <x v="1"/>
    <x v="0"/>
    <x v="0"/>
    <s v="Andalucía"/>
    <x v="0"/>
    <n v="1"/>
    <n v="199.96"/>
    <n v="40"/>
  </r>
  <r>
    <s v="ORD-101386"/>
    <x v="255"/>
    <x v="23"/>
    <x v="4"/>
    <n v="4"/>
    <n v="24.99"/>
    <x v="1"/>
    <n v="24.99"/>
    <n v="99.96"/>
    <x v="4"/>
    <x v="0"/>
    <x v="0"/>
    <x v="5"/>
    <s v="País Vasco"/>
    <x v="0"/>
    <m/>
    <n v="99.96"/>
    <n v="0"/>
  </r>
  <r>
    <s v="ORD-101387"/>
    <x v="138"/>
    <x v="16"/>
    <x v="1"/>
    <n v="4"/>
    <n v="79.989999999999995"/>
    <x v="3"/>
    <n v="71.989999999999995"/>
    <n v="287.95999999999998"/>
    <x v="1"/>
    <x v="3"/>
    <x v="3"/>
    <x v="6"/>
    <s v="Comunitat Valenciana"/>
    <x v="0"/>
    <m/>
    <n v="319.95999999999998"/>
    <n v="32"/>
  </r>
  <r>
    <s v="ORD-101388"/>
    <x v="181"/>
    <x v="1"/>
    <x v="1"/>
    <n v="4"/>
    <n v="399.99"/>
    <x v="4"/>
    <n v="319.99"/>
    <n v="1279.96"/>
    <x v="0"/>
    <x v="2"/>
    <x v="0"/>
    <x v="2"/>
    <s v="Navarra"/>
    <x v="1"/>
    <n v="5"/>
    <n v="1599.96"/>
    <n v="320"/>
  </r>
  <r>
    <s v="ORD-101389"/>
    <x v="614"/>
    <x v="11"/>
    <x v="0"/>
    <n v="3"/>
    <n v="349.99"/>
    <x v="0"/>
    <n v="297.49"/>
    <n v="892.47"/>
    <x v="4"/>
    <x v="1"/>
    <x v="1"/>
    <x v="10"/>
    <s v="Cantabria"/>
    <x v="1"/>
    <m/>
    <n v="1049.97"/>
    <n v="157.5"/>
  </r>
  <r>
    <s v="ORD-101390"/>
    <x v="343"/>
    <x v="19"/>
    <x v="0"/>
    <n v="2"/>
    <n v="1199.99"/>
    <x v="2"/>
    <n v="1139.99"/>
    <n v="2279.98"/>
    <x v="3"/>
    <x v="2"/>
    <x v="0"/>
    <x v="12"/>
    <s v="Región de Murcia"/>
    <x v="1"/>
    <m/>
    <n v="2399.98"/>
    <n v="120"/>
  </r>
  <r>
    <s v="ORD-101391"/>
    <x v="120"/>
    <x v="3"/>
    <x v="3"/>
    <n v="3"/>
    <n v="34.99"/>
    <x v="3"/>
    <n v="31.49"/>
    <n v="94.47"/>
    <x v="1"/>
    <x v="2"/>
    <x v="2"/>
    <x v="12"/>
    <s v="Región de Murcia"/>
    <x v="1"/>
    <m/>
    <n v="104.97"/>
    <n v="10.5"/>
  </r>
  <r>
    <s v="ORD-101392"/>
    <x v="405"/>
    <x v="26"/>
    <x v="1"/>
    <n v="5"/>
    <n v="599.99"/>
    <x v="1"/>
    <n v="599.99"/>
    <n v="2999.95"/>
    <x v="0"/>
    <x v="3"/>
    <x v="3"/>
    <x v="10"/>
    <s v="Cantabria"/>
    <x v="1"/>
    <n v="5"/>
    <n v="2999.95"/>
    <n v="0"/>
  </r>
  <r>
    <s v="ORD-101393"/>
    <x v="296"/>
    <x v="27"/>
    <x v="1"/>
    <n v="4"/>
    <n v="49.99"/>
    <x v="1"/>
    <n v="49.99"/>
    <n v="199.96"/>
    <x v="0"/>
    <x v="3"/>
    <x v="3"/>
    <x v="0"/>
    <s v="Andalucía"/>
    <x v="0"/>
    <n v="1"/>
    <n v="199.96"/>
    <n v="0"/>
  </r>
  <r>
    <s v="ORD-101394"/>
    <x v="507"/>
    <x v="25"/>
    <x v="4"/>
    <n v="3"/>
    <n v="34.99"/>
    <x v="1"/>
    <n v="34.99"/>
    <n v="104.97"/>
    <x v="0"/>
    <x v="1"/>
    <x v="2"/>
    <x v="5"/>
    <s v="País Vasco"/>
    <x v="0"/>
    <n v="4"/>
    <n v="104.97"/>
    <n v="0"/>
  </r>
  <r>
    <s v="ORD-101395"/>
    <x v="436"/>
    <x v="26"/>
    <x v="1"/>
    <n v="4"/>
    <n v="599.99"/>
    <x v="2"/>
    <n v="569.99"/>
    <n v="2279.96"/>
    <x v="0"/>
    <x v="1"/>
    <x v="3"/>
    <x v="8"/>
    <s v="La Rioja"/>
    <x v="1"/>
    <n v="3"/>
    <n v="2399.96"/>
    <n v="120"/>
  </r>
  <r>
    <s v="ORD-101396"/>
    <x v="382"/>
    <x v="22"/>
    <x v="4"/>
    <n v="2"/>
    <n v="44.99"/>
    <x v="2"/>
    <n v="42.74"/>
    <n v="85.48"/>
    <x v="0"/>
    <x v="1"/>
    <x v="0"/>
    <x v="6"/>
    <s v="Comunitat Valenciana"/>
    <x v="0"/>
    <n v="4"/>
    <n v="89.98"/>
    <n v="4.5"/>
  </r>
  <r>
    <s v="ORD-101397"/>
    <x v="396"/>
    <x v="13"/>
    <x v="3"/>
    <n v="4"/>
    <n v="49.99"/>
    <x v="0"/>
    <n v="42.49"/>
    <n v="169.96"/>
    <x v="0"/>
    <x v="2"/>
    <x v="4"/>
    <x v="1"/>
    <s v="Comunitat Valenciana"/>
    <x v="1"/>
    <n v="1"/>
    <n v="199.96"/>
    <n v="30"/>
  </r>
  <r>
    <s v="ORD-101398"/>
    <x v="1"/>
    <x v="8"/>
    <x v="2"/>
    <n v="1"/>
    <n v="59.99"/>
    <x v="1"/>
    <n v="59.99"/>
    <n v="59.99"/>
    <x v="1"/>
    <x v="2"/>
    <x v="0"/>
    <x v="1"/>
    <s v="Comunitat Valenciana"/>
    <x v="1"/>
    <m/>
    <n v="59.99"/>
    <n v="0"/>
  </r>
  <r>
    <s v="ORD-101399"/>
    <x v="459"/>
    <x v="22"/>
    <x v="4"/>
    <n v="5"/>
    <n v="44.99"/>
    <x v="1"/>
    <n v="44.99"/>
    <n v="224.95"/>
    <x v="1"/>
    <x v="1"/>
    <x v="0"/>
    <x v="7"/>
    <s v="Castilla y León"/>
    <x v="1"/>
    <m/>
    <n v="224.95000000000002"/>
    <n v="0"/>
  </r>
  <r>
    <s v="ORD-101400"/>
    <x v="216"/>
    <x v="4"/>
    <x v="4"/>
    <n v="4"/>
    <n v="349.99"/>
    <x v="1"/>
    <n v="349.99"/>
    <n v="1399.96"/>
    <x v="0"/>
    <x v="1"/>
    <x v="0"/>
    <x v="12"/>
    <s v="Región de Murcia"/>
    <x v="1"/>
    <n v="4"/>
    <n v="1399.96"/>
    <n v="0"/>
  </r>
  <r>
    <s v="ORD-101401"/>
    <x v="100"/>
    <x v="15"/>
    <x v="3"/>
    <n v="4"/>
    <n v="69.989999999999995"/>
    <x v="2"/>
    <n v="66.489999999999995"/>
    <n v="265.95999999999998"/>
    <x v="3"/>
    <x v="1"/>
    <x v="1"/>
    <x v="9"/>
    <s v="Asturias"/>
    <x v="1"/>
    <m/>
    <n v="279.95999999999998"/>
    <n v="14"/>
  </r>
  <r>
    <s v="ORD-101402"/>
    <x v="615"/>
    <x v="15"/>
    <x v="3"/>
    <n v="2"/>
    <n v="69.989999999999995"/>
    <x v="3"/>
    <n v="62.99"/>
    <n v="125.98"/>
    <x v="0"/>
    <x v="1"/>
    <x v="0"/>
    <x v="4"/>
    <s v="Castilla y León"/>
    <x v="1"/>
    <n v="4"/>
    <n v="139.97999999999999"/>
    <n v="13.999999999999986"/>
  </r>
  <r>
    <s v="ORD-101403"/>
    <x v="284"/>
    <x v="28"/>
    <x v="0"/>
    <n v="1"/>
    <n v="499.99"/>
    <x v="2"/>
    <n v="474.99"/>
    <n v="474.99"/>
    <x v="0"/>
    <x v="0"/>
    <x v="3"/>
    <x v="3"/>
    <s v="Comunidad de Madrid"/>
    <x v="2"/>
    <n v="5"/>
    <n v="499.99"/>
    <n v="25"/>
  </r>
  <r>
    <s v="ORD-101404"/>
    <x v="569"/>
    <x v="24"/>
    <x v="3"/>
    <n v="3"/>
    <n v="89.99"/>
    <x v="1"/>
    <n v="89.99"/>
    <n v="269.97000000000003"/>
    <x v="3"/>
    <x v="0"/>
    <x v="4"/>
    <x v="13"/>
    <s v="Andalucía"/>
    <x v="0"/>
    <m/>
    <n v="269.96999999999997"/>
    <n v="0"/>
  </r>
  <r>
    <s v="ORD-101405"/>
    <x v="88"/>
    <x v="27"/>
    <x v="1"/>
    <n v="4"/>
    <n v="49.99"/>
    <x v="4"/>
    <n v="39.99"/>
    <n v="159.96"/>
    <x v="0"/>
    <x v="1"/>
    <x v="0"/>
    <x v="4"/>
    <s v="Castilla y León"/>
    <x v="1"/>
    <n v="4"/>
    <n v="199.96"/>
    <n v="40"/>
  </r>
  <r>
    <s v="ORD-101406"/>
    <x v="96"/>
    <x v="20"/>
    <x v="3"/>
    <n v="3"/>
    <n v="39.99"/>
    <x v="3"/>
    <n v="35.99"/>
    <n v="107.97"/>
    <x v="0"/>
    <x v="0"/>
    <x v="2"/>
    <x v="0"/>
    <s v="Andalucía"/>
    <x v="0"/>
    <n v="5"/>
    <n v="119.97"/>
    <n v="12"/>
  </r>
  <r>
    <s v="ORD-101407"/>
    <x v="404"/>
    <x v="9"/>
    <x v="2"/>
    <n v="5"/>
    <n v="29.99"/>
    <x v="4"/>
    <n v="23.99"/>
    <n v="119.95"/>
    <x v="0"/>
    <x v="1"/>
    <x v="0"/>
    <x v="2"/>
    <s v="Navarra"/>
    <x v="1"/>
    <n v="5"/>
    <n v="149.94999999999999"/>
    <n v="29.999999999999986"/>
  </r>
  <r>
    <s v="ORD-101408"/>
    <x v="616"/>
    <x v="24"/>
    <x v="3"/>
    <n v="2"/>
    <n v="89.99"/>
    <x v="1"/>
    <n v="89.99"/>
    <n v="179.98"/>
    <x v="0"/>
    <x v="0"/>
    <x v="1"/>
    <x v="13"/>
    <s v="Andalucía"/>
    <x v="0"/>
    <n v="2"/>
    <n v="179.98"/>
    <n v="0"/>
  </r>
  <r>
    <s v="ORD-101409"/>
    <x v="617"/>
    <x v="27"/>
    <x v="1"/>
    <n v="5"/>
    <n v="49.99"/>
    <x v="1"/>
    <n v="49.99"/>
    <n v="249.95"/>
    <x v="0"/>
    <x v="1"/>
    <x v="0"/>
    <x v="3"/>
    <s v="Comunidad de Madrid"/>
    <x v="2"/>
    <n v="4"/>
    <n v="249.95000000000002"/>
    <n v="0"/>
  </r>
  <r>
    <s v="ORD-101410"/>
    <x v="405"/>
    <x v="9"/>
    <x v="2"/>
    <n v="3"/>
    <n v="29.99"/>
    <x v="1"/>
    <n v="29.99"/>
    <n v="89.97"/>
    <x v="0"/>
    <x v="0"/>
    <x v="0"/>
    <x v="4"/>
    <s v="Castilla y León"/>
    <x v="1"/>
    <n v="2"/>
    <n v="89.97"/>
    <n v="0"/>
  </r>
  <r>
    <s v="ORD-101411"/>
    <x v="348"/>
    <x v="18"/>
    <x v="2"/>
    <n v="3"/>
    <n v="99.99"/>
    <x v="0"/>
    <n v="84.99"/>
    <n v="254.97"/>
    <x v="0"/>
    <x v="2"/>
    <x v="1"/>
    <x v="11"/>
    <s v="Cataluña"/>
    <x v="2"/>
    <n v="5"/>
    <n v="299.96999999999997"/>
    <n v="44.999999999999972"/>
  </r>
  <r>
    <s v="ORD-101412"/>
    <x v="323"/>
    <x v="0"/>
    <x v="0"/>
    <n v="4"/>
    <n v="45.99"/>
    <x v="3"/>
    <n v="41.39"/>
    <n v="165.56"/>
    <x v="0"/>
    <x v="0"/>
    <x v="2"/>
    <x v="6"/>
    <s v="Comunitat Valenciana"/>
    <x v="0"/>
    <n v="1"/>
    <n v="183.96"/>
    <n v="18.400000000000006"/>
  </r>
  <r>
    <s v="ORD-101413"/>
    <x v="244"/>
    <x v="16"/>
    <x v="1"/>
    <n v="3"/>
    <n v="79.989999999999995"/>
    <x v="4"/>
    <n v="63.99"/>
    <n v="191.97"/>
    <x v="0"/>
    <x v="1"/>
    <x v="0"/>
    <x v="11"/>
    <s v="Cataluña"/>
    <x v="2"/>
    <n v="1"/>
    <n v="239.96999999999997"/>
    <n v="47.999999999999972"/>
  </r>
  <r>
    <s v="ORD-101414"/>
    <x v="408"/>
    <x v="9"/>
    <x v="2"/>
    <n v="1"/>
    <n v="29.99"/>
    <x v="1"/>
    <n v="29.99"/>
    <n v="29.99"/>
    <x v="1"/>
    <x v="2"/>
    <x v="1"/>
    <x v="13"/>
    <s v="Andalucía"/>
    <x v="0"/>
    <m/>
    <n v="29.99"/>
    <n v="0"/>
  </r>
  <r>
    <s v="ORD-101415"/>
    <x v="174"/>
    <x v="8"/>
    <x v="2"/>
    <n v="2"/>
    <n v="59.99"/>
    <x v="1"/>
    <n v="59.99"/>
    <n v="119.98"/>
    <x v="0"/>
    <x v="0"/>
    <x v="3"/>
    <x v="4"/>
    <s v="Castilla y León"/>
    <x v="1"/>
    <n v="5"/>
    <n v="119.98"/>
    <n v="0"/>
  </r>
  <r>
    <s v="ORD-101416"/>
    <x v="10"/>
    <x v="0"/>
    <x v="0"/>
    <n v="3"/>
    <n v="45.99"/>
    <x v="1"/>
    <n v="45.99"/>
    <n v="137.97"/>
    <x v="0"/>
    <x v="1"/>
    <x v="0"/>
    <x v="1"/>
    <s v="Comunitat Valenciana"/>
    <x v="1"/>
    <n v="5"/>
    <n v="137.97"/>
    <n v="0"/>
  </r>
  <r>
    <s v="ORD-101417"/>
    <x v="618"/>
    <x v="22"/>
    <x v="4"/>
    <n v="1"/>
    <n v="44.99"/>
    <x v="1"/>
    <n v="44.99"/>
    <n v="44.99"/>
    <x v="1"/>
    <x v="0"/>
    <x v="3"/>
    <x v="7"/>
    <s v="Castilla y León"/>
    <x v="1"/>
    <m/>
    <n v="44.99"/>
    <n v="0"/>
  </r>
  <r>
    <s v="ORD-101418"/>
    <x v="18"/>
    <x v="21"/>
    <x v="0"/>
    <n v="3"/>
    <n v="799.99"/>
    <x v="1"/>
    <n v="799.99"/>
    <n v="2399.9699999999998"/>
    <x v="2"/>
    <x v="0"/>
    <x v="0"/>
    <x v="3"/>
    <s v="Comunidad de Madrid"/>
    <x v="2"/>
    <m/>
    <n v="2399.9700000000003"/>
    <n v="0"/>
  </r>
  <r>
    <s v="ORD-101419"/>
    <x v="619"/>
    <x v="11"/>
    <x v="0"/>
    <n v="3"/>
    <n v="349.99"/>
    <x v="1"/>
    <n v="349.99"/>
    <n v="1049.97"/>
    <x v="0"/>
    <x v="0"/>
    <x v="3"/>
    <x v="11"/>
    <s v="Cataluña"/>
    <x v="2"/>
    <n v="3"/>
    <n v="1049.97"/>
    <n v="0"/>
  </r>
  <r>
    <s v="ORD-101420"/>
    <x v="70"/>
    <x v="10"/>
    <x v="2"/>
    <n v="4"/>
    <n v="69.989999999999995"/>
    <x v="2"/>
    <n v="66.489999999999995"/>
    <n v="265.95999999999998"/>
    <x v="0"/>
    <x v="2"/>
    <x v="0"/>
    <x v="13"/>
    <s v="Andalucía"/>
    <x v="0"/>
    <n v="2"/>
    <n v="279.95999999999998"/>
    <n v="14"/>
  </r>
  <r>
    <s v="ORD-101421"/>
    <x v="53"/>
    <x v="4"/>
    <x v="4"/>
    <n v="3"/>
    <n v="349.99"/>
    <x v="2"/>
    <n v="332.49"/>
    <n v="997.47"/>
    <x v="0"/>
    <x v="2"/>
    <x v="0"/>
    <x v="2"/>
    <s v="Navarra"/>
    <x v="1"/>
    <n v="2"/>
    <n v="1049.97"/>
    <n v="52.5"/>
  </r>
  <r>
    <s v="ORD-101422"/>
    <x v="588"/>
    <x v="3"/>
    <x v="3"/>
    <n v="4"/>
    <n v="34.99"/>
    <x v="2"/>
    <n v="33.24"/>
    <n v="132.96"/>
    <x v="0"/>
    <x v="2"/>
    <x v="1"/>
    <x v="5"/>
    <s v="País Vasco"/>
    <x v="0"/>
    <n v="5"/>
    <n v="139.96"/>
    <n v="7"/>
  </r>
  <r>
    <s v="ORD-101423"/>
    <x v="620"/>
    <x v="3"/>
    <x v="3"/>
    <n v="2"/>
    <n v="34.99"/>
    <x v="3"/>
    <n v="31.49"/>
    <n v="62.98"/>
    <x v="0"/>
    <x v="1"/>
    <x v="0"/>
    <x v="4"/>
    <s v="Castilla y León"/>
    <x v="1"/>
    <n v="2"/>
    <n v="69.98"/>
    <n v="7.0000000000000071"/>
  </r>
  <r>
    <s v="ORD-101424"/>
    <x v="621"/>
    <x v="14"/>
    <x v="1"/>
    <n v="3"/>
    <n v="249.99"/>
    <x v="3"/>
    <n v="224.99"/>
    <n v="674.97"/>
    <x v="0"/>
    <x v="2"/>
    <x v="1"/>
    <x v="1"/>
    <s v="Comunitat Valenciana"/>
    <x v="1"/>
    <n v="5"/>
    <n v="749.97"/>
    <n v="75"/>
  </r>
  <r>
    <s v="ORD-101425"/>
    <x v="520"/>
    <x v="20"/>
    <x v="3"/>
    <n v="1"/>
    <n v="39.99"/>
    <x v="1"/>
    <n v="39.99"/>
    <n v="39.99"/>
    <x v="0"/>
    <x v="0"/>
    <x v="0"/>
    <x v="14"/>
    <s v="Aragón"/>
    <x v="0"/>
    <n v="2"/>
    <n v="39.99"/>
    <n v="0"/>
  </r>
  <r>
    <s v="ORD-101426"/>
    <x v="534"/>
    <x v="21"/>
    <x v="0"/>
    <n v="3"/>
    <n v="799.99"/>
    <x v="1"/>
    <n v="799.99"/>
    <n v="2399.9699999999998"/>
    <x v="0"/>
    <x v="0"/>
    <x v="0"/>
    <x v="14"/>
    <s v="Aragón"/>
    <x v="0"/>
    <n v="1"/>
    <n v="2399.9700000000003"/>
    <n v="0"/>
  </r>
  <r>
    <s v="ORD-101427"/>
    <x v="143"/>
    <x v="21"/>
    <x v="0"/>
    <n v="4"/>
    <n v="799.99"/>
    <x v="3"/>
    <n v="719.99"/>
    <n v="2879.96"/>
    <x v="1"/>
    <x v="0"/>
    <x v="0"/>
    <x v="4"/>
    <s v="Castilla y León"/>
    <x v="1"/>
    <m/>
    <n v="3199.96"/>
    <n v="320"/>
  </r>
  <r>
    <s v="ORD-101428"/>
    <x v="213"/>
    <x v="27"/>
    <x v="1"/>
    <n v="2"/>
    <n v="49.99"/>
    <x v="3"/>
    <n v="44.99"/>
    <n v="89.98"/>
    <x v="0"/>
    <x v="0"/>
    <x v="1"/>
    <x v="7"/>
    <s v="Castilla y León"/>
    <x v="1"/>
    <n v="1"/>
    <n v="99.98"/>
    <n v="10"/>
  </r>
  <r>
    <s v="ORD-101429"/>
    <x v="204"/>
    <x v="23"/>
    <x v="4"/>
    <n v="4"/>
    <n v="24.99"/>
    <x v="0"/>
    <n v="21.24"/>
    <n v="84.96"/>
    <x v="1"/>
    <x v="2"/>
    <x v="0"/>
    <x v="14"/>
    <s v="Aragón"/>
    <x v="0"/>
    <m/>
    <n v="99.96"/>
    <n v="15"/>
  </r>
  <r>
    <s v="ORD-101430"/>
    <x v="472"/>
    <x v="8"/>
    <x v="2"/>
    <n v="4"/>
    <n v="59.99"/>
    <x v="2"/>
    <n v="56.99"/>
    <n v="227.96"/>
    <x v="0"/>
    <x v="0"/>
    <x v="0"/>
    <x v="5"/>
    <s v="País Vasco"/>
    <x v="0"/>
    <n v="2"/>
    <n v="239.96"/>
    <n v="12"/>
  </r>
  <r>
    <s v="ORD-101431"/>
    <x v="587"/>
    <x v="24"/>
    <x v="3"/>
    <n v="5"/>
    <n v="89.99"/>
    <x v="2"/>
    <n v="85.49"/>
    <n v="427.45"/>
    <x v="0"/>
    <x v="0"/>
    <x v="1"/>
    <x v="3"/>
    <s v="Comunidad de Madrid"/>
    <x v="2"/>
    <n v="5"/>
    <n v="449.95"/>
    <n v="22.5"/>
  </r>
  <r>
    <s v="ORD-101432"/>
    <x v="522"/>
    <x v="22"/>
    <x v="4"/>
    <n v="4"/>
    <n v="44.99"/>
    <x v="1"/>
    <n v="44.99"/>
    <n v="179.96"/>
    <x v="0"/>
    <x v="0"/>
    <x v="3"/>
    <x v="13"/>
    <s v="Andalucía"/>
    <x v="0"/>
    <n v="5"/>
    <n v="179.96"/>
    <n v="0"/>
  </r>
  <r>
    <s v="ORD-101433"/>
    <x v="622"/>
    <x v="24"/>
    <x v="3"/>
    <n v="1"/>
    <n v="89.99"/>
    <x v="1"/>
    <n v="89.99"/>
    <n v="89.99"/>
    <x v="0"/>
    <x v="2"/>
    <x v="1"/>
    <x v="8"/>
    <s v="La Rioja"/>
    <x v="1"/>
    <n v="3"/>
    <n v="89.99"/>
    <n v="0"/>
  </r>
  <r>
    <s v="ORD-101434"/>
    <x v="343"/>
    <x v="18"/>
    <x v="2"/>
    <n v="3"/>
    <n v="99.99"/>
    <x v="2"/>
    <n v="94.99"/>
    <n v="284.97000000000003"/>
    <x v="0"/>
    <x v="0"/>
    <x v="1"/>
    <x v="2"/>
    <s v="Navarra"/>
    <x v="1"/>
    <n v="4"/>
    <n v="299.96999999999997"/>
    <n v="14.999999999999943"/>
  </r>
  <r>
    <s v="ORD-101435"/>
    <x v="113"/>
    <x v="2"/>
    <x v="2"/>
    <n v="4"/>
    <n v="299.99"/>
    <x v="2"/>
    <n v="284.99"/>
    <n v="1139.96"/>
    <x v="2"/>
    <x v="0"/>
    <x v="3"/>
    <x v="4"/>
    <s v="Castilla y León"/>
    <x v="1"/>
    <m/>
    <n v="1199.96"/>
    <n v="60"/>
  </r>
  <r>
    <s v="ORD-101436"/>
    <x v="294"/>
    <x v="0"/>
    <x v="0"/>
    <n v="1"/>
    <n v="45.99"/>
    <x v="1"/>
    <n v="45.99"/>
    <n v="45.99"/>
    <x v="0"/>
    <x v="0"/>
    <x v="4"/>
    <x v="3"/>
    <s v="Comunidad de Madrid"/>
    <x v="2"/>
    <n v="4"/>
    <n v="45.99"/>
    <n v="0"/>
  </r>
  <r>
    <s v="ORD-101437"/>
    <x v="524"/>
    <x v="29"/>
    <x v="0"/>
    <n v="1"/>
    <n v="129.99"/>
    <x v="1"/>
    <n v="129.99"/>
    <n v="129.99"/>
    <x v="1"/>
    <x v="0"/>
    <x v="4"/>
    <x v="2"/>
    <s v="Navarra"/>
    <x v="1"/>
    <m/>
    <n v="129.99"/>
    <n v="0"/>
  </r>
  <r>
    <s v="ORD-101438"/>
    <x v="506"/>
    <x v="22"/>
    <x v="4"/>
    <n v="1"/>
    <n v="44.99"/>
    <x v="1"/>
    <n v="44.99"/>
    <n v="44.99"/>
    <x v="2"/>
    <x v="0"/>
    <x v="4"/>
    <x v="3"/>
    <s v="Comunidad de Madrid"/>
    <x v="2"/>
    <m/>
    <n v="44.99"/>
    <n v="0"/>
  </r>
  <r>
    <s v="ORD-101439"/>
    <x v="119"/>
    <x v="7"/>
    <x v="3"/>
    <n v="3"/>
    <n v="19.989999999999998"/>
    <x v="0"/>
    <n v="16.989999999999998"/>
    <n v="50.97"/>
    <x v="1"/>
    <x v="0"/>
    <x v="1"/>
    <x v="2"/>
    <s v="Navarra"/>
    <x v="1"/>
    <m/>
    <n v="59.97"/>
    <n v="9"/>
  </r>
  <r>
    <s v="ORD-101440"/>
    <x v="623"/>
    <x v="1"/>
    <x v="1"/>
    <n v="4"/>
    <n v="399.99"/>
    <x v="1"/>
    <n v="399.99"/>
    <n v="1599.96"/>
    <x v="0"/>
    <x v="0"/>
    <x v="3"/>
    <x v="8"/>
    <s v="La Rioja"/>
    <x v="1"/>
    <n v="4"/>
    <n v="1599.96"/>
    <n v="0"/>
  </r>
  <r>
    <s v="ORD-101441"/>
    <x v="417"/>
    <x v="26"/>
    <x v="1"/>
    <n v="1"/>
    <n v="599.99"/>
    <x v="3"/>
    <n v="539.99"/>
    <n v="539.99"/>
    <x v="0"/>
    <x v="1"/>
    <x v="3"/>
    <x v="1"/>
    <s v="Comunitat Valenciana"/>
    <x v="1"/>
    <n v="3"/>
    <n v="599.99"/>
    <n v="60"/>
  </r>
  <r>
    <s v="ORD-101442"/>
    <x v="258"/>
    <x v="18"/>
    <x v="2"/>
    <n v="4"/>
    <n v="99.99"/>
    <x v="1"/>
    <n v="99.99"/>
    <n v="399.96"/>
    <x v="0"/>
    <x v="0"/>
    <x v="0"/>
    <x v="2"/>
    <s v="Navarra"/>
    <x v="1"/>
    <n v="5"/>
    <n v="399.96"/>
    <n v="0"/>
  </r>
  <r>
    <s v="ORD-101443"/>
    <x v="605"/>
    <x v="12"/>
    <x v="2"/>
    <n v="2"/>
    <n v="189.99"/>
    <x v="0"/>
    <n v="161.49"/>
    <n v="322.98"/>
    <x v="0"/>
    <x v="0"/>
    <x v="0"/>
    <x v="12"/>
    <s v="Región de Murcia"/>
    <x v="1"/>
    <n v="2"/>
    <n v="379.98"/>
    <n v="57"/>
  </r>
  <r>
    <s v="ORD-101444"/>
    <x v="624"/>
    <x v="25"/>
    <x v="4"/>
    <n v="4"/>
    <n v="34.99"/>
    <x v="1"/>
    <n v="34.99"/>
    <n v="139.96"/>
    <x v="0"/>
    <x v="0"/>
    <x v="3"/>
    <x v="14"/>
    <s v="Aragón"/>
    <x v="0"/>
    <n v="5"/>
    <n v="139.96"/>
    <n v="0"/>
  </r>
  <r>
    <s v="ORD-101445"/>
    <x v="106"/>
    <x v="4"/>
    <x v="4"/>
    <n v="3"/>
    <n v="349.99"/>
    <x v="4"/>
    <n v="279.99"/>
    <n v="839.97"/>
    <x v="3"/>
    <x v="1"/>
    <x v="0"/>
    <x v="10"/>
    <s v="Cantabria"/>
    <x v="1"/>
    <m/>
    <n v="1049.97"/>
    <n v="210"/>
  </r>
  <r>
    <s v="ORD-101446"/>
    <x v="224"/>
    <x v="0"/>
    <x v="0"/>
    <n v="2"/>
    <n v="45.99"/>
    <x v="1"/>
    <n v="45.99"/>
    <n v="91.98"/>
    <x v="3"/>
    <x v="3"/>
    <x v="2"/>
    <x v="13"/>
    <s v="Andalucía"/>
    <x v="0"/>
    <m/>
    <n v="91.98"/>
    <n v="0"/>
  </r>
  <r>
    <s v="ORD-101447"/>
    <x v="566"/>
    <x v="21"/>
    <x v="0"/>
    <n v="4"/>
    <n v="799.99"/>
    <x v="1"/>
    <n v="799.99"/>
    <n v="3199.96"/>
    <x v="0"/>
    <x v="0"/>
    <x v="0"/>
    <x v="13"/>
    <s v="Andalucía"/>
    <x v="0"/>
    <n v="5"/>
    <n v="3199.96"/>
    <n v="0"/>
  </r>
  <r>
    <s v="ORD-101448"/>
    <x v="80"/>
    <x v="0"/>
    <x v="0"/>
    <n v="2"/>
    <n v="45.99"/>
    <x v="2"/>
    <n v="43.69"/>
    <n v="87.38"/>
    <x v="2"/>
    <x v="0"/>
    <x v="0"/>
    <x v="10"/>
    <s v="Cantabria"/>
    <x v="1"/>
    <m/>
    <n v="91.98"/>
    <n v="4.6000000000000085"/>
  </r>
  <r>
    <s v="ORD-101449"/>
    <x v="166"/>
    <x v="29"/>
    <x v="0"/>
    <n v="3"/>
    <n v="129.99"/>
    <x v="1"/>
    <n v="129.99"/>
    <n v="389.97"/>
    <x v="0"/>
    <x v="1"/>
    <x v="0"/>
    <x v="7"/>
    <s v="Castilla y León"/>
    <x v="1"/>
    <n v="5"/>
    <n v="389.97"/>
    <n v="0"/>
  </r>
  <r>
    <s v="ORD-101450"/>
    <x v="591"/>
    <x v="15"/>
    <x v="3"/>
    <n v="4"/>
    <n v="69.989999999999995"/>
    <x v="1"/>
    <n v="69.989999999999995"/>
    <n v="279.95999999999998"/>
    <x v="0"/>
    <x v="0"/>
    <x v="0"/>
    <x v="7"/>
    <s v="Castilla y León"/>
    <x v="1"/>
    <n v="4"/>
    <n v="279.95999999999998"/>
    <n v="0"/>
  </r>
  <r>
    <s v="ORD-101451"/>
    <x v="625"/>
    <x v="15"/>
    <x v="3"/>
    <n v="1"/>
    <n v="69.989999999999995"/>
    <x v="1"/>
    <n v="69.989999999999995"/>
    <n v="69.989999999999995"/>
    <x v="1"/>
    <x v="2"/>
    <x v="0"/>
    <x v="10"/>
    <s v="Cantabria"/>
    <x v="1"/>
    <m/>
    <n v="69.989999999999995"/>
    <n v="0"/>
  </r>
  <r>
    <s v="ORD-101452"/>
    <x v="115"/>
    <x v="20"/>
    <x v="3"/>
    <n v="2"/>
    <n v="39.99"/>
    <x v="3"/>
    <n v="35.99"/>
    <n v="71.98"/>
    <x v="0"/>
    <x v="1"/>
    <x v="3"/>
    <x v="1"/>
    <s v="Comunitat Valenciana"/>
    <x v="1"/>
    <n v="1"/>
    <n v="79.98"/>
    <n v="8"/>
  </r>
  <r>
    <s v="ORD-101453"/>
    <x v="406"/>
    <x v="28"/>
    <x v="0"/>
    <n v="1"/>
    <n v="499.99"/>
    <x v="1"/>
    <n v="499.99"/>
    <n v="499.99"/>
    <x v="0"/>
    <x v="0"/>
    <x v="0"/>
    <x v="4"/>
    <s v="Castilla y León"/>
    <x v="1"/>
    <n v="1"/>
    <n v="499.99"/>
    <n v="0"/>
  </r>
  <r>
    <s v="ORD-101454"/>
    <x v="450"/>
    <x v="0"/>
    <x v="0"/>
    <n v="3"/>
    <n v="45.99"/>
    <x v="1"/>
    <n v="45.99"/>
    <n v="137.97"/>
    <x v="2"/>
    <x v="1"/>
    <x v="3"/>
    <x v="10"/>
    <s v="Cantabria"/>
    <x v="1"/>
    <m/>
    <n v="137.97"/>
    <n v="0"/>
  </r>
  <r>
    <s v="ORD-101455"/>
    <x v="626"/>
    <x v="28"/>
    <x v="0"/>
    <n v="3"/>
    <n v="499.99"/>
    <x v="2"/>
    <n v="474.99"/>
    <n v="1424.97"/>
    <x v="0"/>
    <x v="0"/>
    <x v="1"/>
    <x v="2"/>
    <s v="Navarra"/>
    <x v="1"/>
    <n v="5"/>
    <n v="1499.97"/>
    <n v="75"/>
  </r>
  <r>
    <s v="ORD-101456"/>
    <x v="460"/>
    <x v="10"/>
    <x v="2"/>
    <n v="1"/>
    <n v="69.989999999999995"/>
    <x v="1"/>
    <n v="69.989999999999995"/>
    <n v="69.989999999999995"/>
    <x v="0"/>
    <x v="1"/>
    <x v="3"/>
    <x v="4"/>
    <s v="Castilla y León"/>
    <x v="1"/>
    <n v="3"/>
    <n v="69.989999999999995"/>
    <n v="0"/>
  </r>
  <r>
    <s v="ORD-101457"/>
    <x v="517"/>
    <x v="28"/>
    <x v="0"/>
    <n v="2"/>
    <n v="499.99"/>
    <x v="1"/>
    <n v="499.99"/>
    <n v="999.98"/>
    <x v="1"/>
    <x v="0"/>
    <x v="2"/>
    <x v="6"/>
    <s v="Comunitat Valenciana"/>
    <x v="0"/>
    <m/>
    <n v="999.98"/>
    <n v="0"/>
  </r>
  <r>
    <s v="ORD-101458"/>
    <x v="306"/>
    <x v="19"/>
    <x v="0"/>
    <n v="4"/>
    <n v="1199.99"/>
    <x v="2"/>
    <n v="1139.99"/>
    <n v="4559.96"/>
    <x v="0"/>
    <x v="3"/>
    <x v="2"/>
    <x v="6"/>
    <s v="Comunitat Valenciana"/>
    <x v="0"/>
    <n v="2"/>
    <n v="4799.96"/>
    <n v="240"/>
  </r>
  <r>
    <s v="ORD-101459"/>
    <x v="50"/>
    <x v="18"/>
    <x v="2"/>
    <n v="1"/>
    <n v="99.99"/>
    <x v="3"/>
    <n v="89.99"/>
    <n v="89.99"/>
    <x v="0"/>
    <x v="1"/>
    <x v="3"/>
    <x v="12"/>
    <s v="Región de Murcia"/>
    <x v="1"/>
    <n v="2"/>
    <n v="99.99"/>
    <n v="10"/>
  </r>
  <r>
    <s v="ORD-101460"/>
    <x v="627"/>
    <x v="0"/>
    <x v="0"/>
    <n v="1"/>
    <n v="45.99"/>
    <x v="4"/>
    <n v="36.79"/>
    <n v="36.79"/>
    <x v="0"/>
    <x v="3"/>
    <x v="2"/>
    <x v="9"/>
    <s v="Asturias"/>
    <x v="1"/>
    <n v="5"/>
    <n v="45.99"/>
    <n v="9.2000000000000028"/>
  </r>
  <r>
    <s v="ORD-101461"/>
    <x v="429"/>
    <x v="29"/>
    <x v="0"/>
    <n v="2"/>
    <n v="129.99"/>
    <x v="4"/>
    <n v="103.99"/>
    <n v="207.98"/>
    <x v="0"/>
    <x v="2"/>
    <x v="0"/>
    <x v="5"/>
    <s v="País Vasco"/>
    <x v="0"/>
    <n v="4"/>
    <n v="259.98"/>
    <n v="52.000000000000028"/>
  </r>
  <r>
    <s v="ORD-101462"/>
    <x v="628"/>
    <x v="5"/>
    <x v="1"/>
    <n v="3"/>
    <n v="149.99"/>
    <x v="0"/>
    <n v="127.49"/>
    <n v="382.47"/>
    <x v="0"/>
    <x v="1"/>
    <x v="2"/>
    <x v="14"/>
    <s v="Aragón"/>
    <x v="0"/>
    <n v="3"/>
    <n v="449.97"/>
    <n v="67.5"/>
  </r>
  <r>
    <s v="ORD-101463"/>
    <x v="288"/>
    <x v="24"/>
    <x v="3"/>
    <n v="5"/>
    <n v="89.99"/>
    <x v="4"/>
    <n v="71.989999999999995"/>
    <n v="359.95"/>
    <x v="1"/>
    <x v="2"/>
    <x v="3"/>
    <x v="8"/>
    <s v="La Rioja"/>
    <x v="1"/>
    <m/>
    <n v="449.95"/>
    <n v="90"/>
  </r>
  <r>
    <s v="ORD-101464"/>
    <x v="238"/>
    <x v="7"/>
    <x v="3"/>
    <n v="5"/>
    <n v="19.989999999999998"/>
    <x v="0"/>
    <n v="16.989999999999998"/>
    <n v="84.95"/>
    <x v="1"/>
    <x v="3"/>
    <x v="2"/>
    <x v="6"/>
    <s v="Comunitat Valenciana"/>
    <x v="0"/>
    <m/>
    <n v="99.949999999999989"/>
    <n v="14.999999999999986"/>
  </r>
  <r>
    <s v="ORD-101465"/>
    <x v="264"/>
    <x v="11"/>
    <x v="0"/>
    <n v="3"/>
    <n v="349.99"/>
    <x v="2"/>
    <n v="332.49"/>
    <n v="997.47"/>
    <x v="0"/>
    <x v="1"/>
    <x v="4"/>
    <x v="1"/>
    <s v="Comunitat Valenciana"/>
    <x v="1"/>
    <n v="3"/>
    <n v="1049.97"/>
    <n v="52.5"/>
  </r>
  <r>
    <s v="ORD-101466"/>
    <x v="502"/>
    <x v="10"/>
    <x v="2"/>
    <n v="1"/>
    <n v="69.989999999999995"/>
    <x v="1"/>
    <n v="69.989999999999995"/>
    <n v="69.989999999999995"/>
    <x v="3"/>
    <x v="1"/>
    <x v="4"/>
    <x v="13"/>
    <s v="Andalucía"/>
    <x v="0"/>
    <m/>
    <n v="69.989999999999995"/>
    <n v="0"/>
  </r>
  <r>
    <s v="ORD-101467"/>
    <x v="65"/>
    <x v="12"/>
    <x v="2"/>
    <n v="5"/>
    <n v="189.99"/>
    <x v="2"/>
    <n v="180.49"/>
    <n v="902.45"/>
    <x v="4"/>
    <x v="1"/>
    <x v="0"/>
    <x v="4"/>
    <s v="Castilla y León"/>
    <x v="1"/>
    <m/>
    <n v="949.95"/>
    <n v="47.5"/>
  </r>
  <r>
    <s v="ORD-101468"/>
    <x v="50"/>
    <x v="15"/>
    <x v="3"/>
    <n v="3"/>
    <n v="69.989999999999995"/>
    <x v="2"/>
    <n v="66.489999999999995"/>
    <n v="199.47"/>
    <x v="0"/>
    <x v="0"/>
    <x v="0"/>
    <x v="5"/>
    <s v="País Vasco"/>
    <x v="0"/>
    <n v="5"/>
    <n v="209.96999999999997"/>
    <n v="10.499999999999972"/>
  </r>
  <r>
    <s v="ORD-101469"/>
    <x v="84"/>
    <x v="24"/>
    <x v="3"/>
    <n v="5"/>
    <n v="89.99"/>
    <x v="1"/>
    <n v="89.99"/>
    <n v="449.95"/>
    <x v="0"/>
    <x v="1"/>
    <x v="1"/>
    <x v="12"/>
    <s v="Región de Murcia"/>
    <x v="1"/>
    <n v="3"/>
    <n v="449.95"/>
    <n v="0"/>
  </r>
  <r>
    <s v="ORD-101470"/>
    <x v="231"/>
    <x v="0"/>
    <x v="0"/>
    <n v="1"/>
    <n v="45.99"/>
    <x v="2"/>
    <n v="43.69"/>
    <n v="43.69"/>
    <x v="3"/>
    <x v="1"/>
    <x v="0"/>
    <x v="6"/>
    <s v="Comunitat Valenciana"/>
    <x v="0"/>
    <m/>
    <n v="45.99"/>
    <n v="2.3000000000000043"/>
  </r>
  <r>
    <s v="ORD-101471"/>
    <x v="216"/>
    <x v="27"/>
    <x v="1"/>
    <n v="5"/>
    <n v="49.99"/>
    <x v="0"/>
    <n v="42.49"/>
    <n v="212.45"/>
    <x v="0"/>
    <x v="0"/>
    <x v="1"/>
    <x v="12"/>
    <s v="Región de Murcia"/>
    <x v="1"/>
    <n v="1"/>
    <n v="249.95000000000002"/>
    <n v="37.500000000000028"/>
  </r>
  <r>
    <s v="ORD-101472"/>
    <x v="483"/>
    <x v="17"/>
    <x v="0"/>
    <n v="2"/>
    <n v="899.99"/>
    <x v="1"/>
    <n v="899.99"/>
    <n v="1799.98"/>
    <x v="2"/>
    <x v="0"/>
    <x v="0"/>
    <x v="11"/>
    <s v="Cataluña"/>
    <x v="2"/>
    <m/>
    <n v="1799.98"/>
    <n v="0"/>
  </r>
  <r>
    <s v="ORD-101473"/>
    <x v="465"/>
    <x v="15"/>
    <x v="3"/>
    <n v="1"/>
    <n v="69.989999999999995"/>
    <x v="1"/>
    <n v="69.989999999999995"/>
    <n v="69.989999999999995"/>
    <x v="0"/>
    <x v="2"/>
    <x v="1"/>
    <x v="14"/>
    <s v="Aragón"/>
    <x v="0"/>
    <n v="5"/>
    <n v="69.989999999999995"/>
    <n v="0"/>
  </r>
  <r>
    <s v="ORD-101474"/>
    <x v="629"/>
    <x v="18"/>
    <x v="2"/>
    <n v="5"/>
    <n v="99.99"/>
    <x v="1"/>
    <n v="99.99"/>
    <n v="499.95"/>
    <x v="3"/>
    <x v="0"/>
    <x v="4"/>
    <x v="10"/>
    <s v="Cantabria"/>
    <x v="1"/>
    <m/>
    <n v="499.95"/>
    <n v="0"/>
  </r>
  <r>
    <s v="ORD-101475"/>
    <x v="563"/>
    <x v="3"/>
    <x v="3"/>
    <n v="5"/>
    <n v="34.99"/>
    <x v="1"/>
    <n v="34.99"/>
    <n v="174.95"/>
    <x v="0"/>
    <x v="1"/>
    <x v="3"/>
    <x v="3"/>
    <s v="Comunidad de Madrid"/>
    <x v="2"/>
    <n v="4"/>
    <n v="174.95000000000002"/>
    <n v="0"/>
  </r>
  <r>
    <s v="ORD-101476"/>
    <x v="314"/>
    <x v="20"/>
    <x v="3"/>
    <n v="1"/>
    <n v="39.99"/>
    <x v="1"/>
    <n v="39.99"/>
    <n v="39.99"/>
    <x v="3"/>
    <x v="0"/>
    <x v="3"/>
    <x v="1"/>
    <s v="Comunitat Valenciana"/>
    <x v="1"/>
    <m/>
    <n v="39.99"/>
    <n v="0"/>
  </r>
  <r>
    <s v="ORD-101477"/>
    <x v="50"/>
    <x v="23"/>
    <x v="4"/>
    <n v="3"/>
    <n v="24.99"/>
    <x v="4"/>
    <n v="19.989999999999998"/>
    <n v="59.97"/>
    <x v="0"/>
    <x v="2"/>
    <x v="0"/>
    <x v="9"/>
    <s v="Asturias"/>
    <x v="1"/>
    <n v="4"/>
    <n v="74.97"/>
    <n v="15"/>
  </r>
  <r>
    <s v="ORD-101478"/>
    <x v="186"/>
    <x v="21"/>
    <x v="0"/>
    <n v="3"/>
    <n v="799.99"/>
    <x v="1"/>
    <n v="799.99"/>
    <n v="2399.9699999999998"/>
    <x v="0"/>
    <x v="2"/>
    <x v="3"/>
    <x v="1"/>
    <s v="Comunitat Valenciana"/>
    <x v="1"/>
    <n v="2"/>
    <n v="2399.9700000000003"/>
    <n v="0"/>
  </r>
  <r>
    <s v="ORD-101479"/>
    <x v="630"/>
    <x v="8"/>
    <x v="2"/>
    <n v="4"/>
    <n v="59.99"/>
    <x v="1"/>
    <n v="59.99"/>
    <n v="239.96"/>
    <x v="0"/>
    <x v="1"/>
    <x v="3"/>
    <x v="12"/>
    <s v="Región de Murcia"/>
    <x v="1"/>
    <n v="3"/>
    <n v="239.96"/>
    <n v="0"/>
  </r>
  <r>
    <s v="ORD-101480"/>
    <x v="624"/>
    <x v="15"/>
    <x v="3"/>
    <n v="4"/>
    <n v="69.989999999999995"/>
    <x v="2"/>
    <n v="66.489999999999995"/>
    <n v="265.95999999999998"/>
    <x v="0"/>
    <x v="1"/>
    <x v="4"/>
    <x v="13"/>
    <s v="Andalucía"/>
    <x v="0"/>
    <n v="1"/>
    <n v="279.95999999999998"/>
    <n v="14"/>
  </r>
  <r>
    <s v="ORD-101481"/>
    <x v="73"/>
    <x v="6"/>
    <x v="0"/>
    <n v="2"/>
    <n v="89.99"/>
    <x v="3"/>
    <n v="80.989999999999995"/>
    <n v="161.97999999999999"/>
    <x v="3"/>
    <x v="0"/>
    <x v="3"/>
    <x v="2"/>
    <s v="Navarra"/>
    <x v="1"/>
    <m/>
    <n v="179.98"/>
    <n v="18"/>
  </r>
  <r>
    <s v="ORD-101482"/>
    <x v="178"/>
    <x v="27"/>
    <x v="1"/>
    <n v="5"/>
    <n v="49.99"/>
    <x v="3"/>
    <n v="44.99"/>
    <n v="224.95"/>
    <x v="2"/>
    <x v="2"/>
    <x v="3"/>
    <x v="3"/>
    <s v="Comunidad de Madrid"/>
    <x v="2"/>
    <m/>
    <n v="249.95000000000002"/>
    <n v="25.000000000000028"/>
  </r>
  <r>
    <s v="ORD-101483"/>
    <x v="307"/>
    <x v="12"/>
    <x v="2"/>
    <n v="1"/>
    <n v="189.99"/>
    <x v="2"/>
    <n v="180.49"/>
    <n v="180.49"/>
    <x v="2"/>
    <x v="1"/>
    <x v="2"/>
    <x v="8"/>
    <s v="La Rioja"/>
    <x v="1"/>
    <m/>
    <n v="189.99"/>
    <n v="9.5"/>
  </r>
  <r>
    <s v="ORD-101484"/>
    <x v="591"/>
    <x v="17"/>
    <x v="0"/>
    <n v="3"/>
    <n v="899.99"/>
    <x v="4"/>
    <n v="719.99"/>
    <n v="2159.9699999999998"/>
    <x v="4"/>
    <x v="0"/>
    <x v="0"/>
    <x v="11"/>
    <s v="Cataluña"/>
    <x v="2"/>
    <m/>
    <n v="2699.9700000000003"/>
    <n v="540.00000000000045"/>
  </r>
  <r>
    <s v="ORD-101485"/>
    <x v="412"/>
    <x v="1"/>
    <x v="1"/>
    <n v="4"/>
    <n v="399.99"/>
    <x v="0"/>
    <n v="339.99"/>
    <n v="1359.96"/>
    <x v="0"/>
    <x v="0"/>
    <x v="3"/>
    <x v="3"/>
    <s v="Comunidad de Madrid"/>
    <x v="2"/>
    <n v="5"/>
    <n v="1599.96"/>
    <n v="240"/>
  </r>
  <r>
    <s v="ORD-101486"/>
    <x v="516"/>
    <x v="2"/>
    <x v="2"/>
    <n v="2"/>
    <n v="299.99"/>
    <x v="3"/>
    <n v="269.99"/>
    <n v="539.98"/>
    <x v="0"/>
    <x v="3"/>
    <x v="0"/>
    <x v="10"/>
    <s v="Cantabria"/>
    <x v="1"/>
    <n v="2"/>
    <n v="599.98"/>
    <n v="60"/>
  </r>
  <r>
    <s v="ORD-101487"/>
    <x v="576"/>
    <x v="9"/>
    <x v="2"/>
    <n v="3"/>
    <n v="29.99"/>
    <x v="0"/>
    <n v="25.49"/>
    <n v="76.47"/>
    <x v="4"/>
    <x v="2"/>
    <x v="1"/>
    <x v="3"/>
    <s v="Comunidad de Madrid"/>
    <x v="2"/>
    <m/>
    <n v="89.97"/>
    <n v="13.5"/>
  </r>
  <r>
    <s v="ORD-101488"/>
    <x v="568"/>
    <x v="0"/>
    <x v="0"/>
    <n v="1"/>
    <n v="45.99"/>
    <x v="1"/>
    <n v="45.99"/>
    <n v="45.99"/>
    <x v="0"/>
    <x v="0"/>
    <x v="0"/>
    <x v="4"/>
    <s v="Castilla y León"/>
    <x v="1"/>
    <n v="2"/>
    <n v="45.99"/>
    <n v="0"/>
  </r>
  <r>
    <s v="ORD-101489"/>
    <x v="631"/>
    <x v="16"/>
    <x v="1"/>
    <n v="1"/>
    <n v="79.989999999999995"/>
    <x v="4"/>
    <n v="63.99"/>
    <n v="63.99"/>
    <x v="0"/>
    <x v="0"/>
    <x v="0"/>
    <x v="13"/>
    <s v="Andalucía"/>
    <x v="0"/>
    <n v="4"/>
    <n v="79.989999999999995"/>
    <n v="15.999999999999993"/>
  </r>
  <r>
    <s v="ORD-101490"/>
    <x v="114"/>
    <x v="29"/>
    <x v="0"/>
    <n v="2"/>
    <n v="129.99"/>
    <x v="4"/>
    <n v="103.99"/>
    <n v="207.98"/>
    <x v="2"/>
    <x v="2"/>
    <x v="1"/>
    <x v="5"/>
    <s v="País Vasco"/>
    <x v="0"/>
    <m/>
    <n v="259.98"/>
    <n v="52.000000000000028"/>
  </r>
  <r>
    <s v="ORD-101491"/>
    <x v="447"/>
    <x v="27"/>
    <x v="1"/>
    <n v="1"/>
    <n v="49.99"/>
    <x v="2"/>
    <n v="47.49"/>
    <n v="47.49"/>
    <x v="0"/>
    <x v="0"/>
    <x v="2"/>
    <x v="3"/>
    <s v="Comunidad de Madrid"/>
    <x v="2"/>
    <n v="2"/>
    <n v="49.99"/>
    <n v="2.5"/>
  </r>
  <r>
    <s v="ORD-101492"/>
    <x v="124"/>
    <x v="14"/>
    <x v="1"/>
    <n v="5"/>
    <n v="249.99"/>
    <x v="1"/>
    <n v="249.99"/>
    <n v="1249.95"/>
    <x v="0"/>
    <x v="0"/>
    <x v="0"/>
    <x v="5"/>
    <s v="País Vasco"/>
    <x v="0"/>
    <n v="5"/>
    <n v="1249.95"/>
    <n v="0"/>
  </r>
  <r>
    <s v="ORD-101493"/>
    <x v="474"/>
    <x v="15"/>
    <x v="3"/>
    <n v="3"/>
    <n v="69.989999999999995"/>
    <x v="2"/>
    <n v="66.489999999999995"/>
    <n v="199.47"/>
    <x v="0"/>
    <x v="0"/>
    <x v="3"/>
    <x v="2"/>
    <s v="Navarra"/>
    <x v="1"/>
    <n v="4"/>
    <n v="209.96999999999997"/>
    <n v="10.499999999999972"/>
  </r>
  <r>
    <s v="ORD-101494"/>
    <x v="228"/>
    <x v="19"/>
    <x v="0"/>
    <n v="3"/>
    <n v="1199.99"/>
    <x v="2"/>
    <n v="1139.99"/>
    <n v="3419.97"/>
    <x v="0"/>
    <x v="0"/>
    <x v="0"/>
    <x v="13"/>
    <s v="Andalucía"/>
    <x v="0"/>
    <n v="5"/>
    <n v="3599.9700000000003"/>
    <n v="180.00000000000045"/>
  </r>
  <r>
    <s v="ORD-101495"/>
    <x v="505"/>
    <x v="17"/>
    <x v="0"/>
    <n v="3"/>
    <n v="899.99"/>
    <x v="1"/>
    <n v="899.99"/>
    <n v="2699.97"/>
    <x v="0"/>
    <x v="1"/>
    <x v="0"/>
    <x v="10"/>
    <s v="Cantabria"/>
    <x v="1"/>
    <n v="2"/>
    <n v="2699.9700000000003"/>
    <n v="0"/>
  </r>
  <r>
    <s v="ORD-101496"/>
    <x v="45"/>
    <x v="14"/>
    <x v="1"/>
    <n v="5"/>
    <n v="249.99"/>
    <x v="1"/>
    <n v="249.99"/>
    <n v="1249.95"/>
    <x v="0"/>
    <x v="1"/>
    <x v="3"/>
    <x v="10"/>
    <s v="Cantabria"/>
    <x v="1"/>
    <n v="2"/>
    <n v="1249.95"/>
    <n v="0"/>
  </r>
  <r>
    <s v="ORD-101497"/>
    <x v="197"/>
    <x v="11"/>
    <x v="0"/>
    <n v="3"/>
    <n v="349.99"/>
    <x v="0"/>
    <n v="297.49"/>
    <n v="892.47"/>
    <x v="1"/>
    <x v="1"/>
    <x v="2"/>
    <x v="14"/>
    <s v="Aragón"/>
    <x v="0"/>
    <m/>
    <n v="1049.97"/>
    <n v="157.5"/>
  </r>
  <r>
    <s v="ORD-101498"/>
    <x v="29"/>
    <x v="7"/>
    <x v="3"/>
    <n v="3"/>
    <n v="19.989999999999998"/>
    <x v="2"/>
    <n v="18.989999999999998"/>
    <n v="56.97"/>
    <x v="0"/>
    <x v="1"/>
    <x v="3"/>
    <x v="8"/>
    <s v="La Rioja"/>
    <x v="1"/>
    <n v="4"/>
    <n v="59.97"/>
    <n v="3"/>
  </r>
  <r>
    <s v="ORD-101499"/>
    <x v="393"/>
    <x v="12"/>
    <x v="2"/>
    <n v="2"/>
    <n v="189.99"/>
    <x v="3"/>
    <n v="170.99"/>
    <n v="341.98"/>
    <x v="1"/>
    <x v="2"/>
    <x v="3"/>
    <x v="7"/>
    <s v="Castilla y León"/>
    <x v="1"/>
    <m/>
    <n v="379.98"/>
    <n v="38"/>
  </r>
  <r>
    <s v="ORD-101500"/>
    <x v="632"/>
    <x v="2"/>
    <x v="2"/>
    <n v="3"/>
    <n v="299.99"/>
    <x v="3"/>
    <n v="269.99"/>
    <n v="809.97"/>
    <x v="3"/>
    <x v="1"/>
    <x v="2"/>
    <x v="14"/>
    <s v="Aragón"/>
    <x v="0"/>
    <m/>
    <n v="899.97"/>
    <n v="90"/>
  </r>
  <r>
    <s v="ORD-101501"/>
    <x v="526"/>
    <x v="17"/>
    <x v="0"/>
    <n v="1"/>
    <n v="899.99"/>
    <x v="4"/>
    <n v="719.99"/>
    <n v="719.99"/>
    <x v="1"/>
    <x v="0"/>
    <x v="0"/>
    <x v="0"/>
    <s v="Andalucía"/>
    <x v="0"/>
    <m/>
    <n v="899.99"/>
    <n v="180"/>
  </r>
  <r>
    <s v="ORD-101502"/>
    <x v="50"/>
    <x v="16"/>
    <x v="1"/>
    <n v="3"/>
    <n v="79.989999999999995"/>
    <x v="4"/>
    <n v="63.99"/>
    <n v="191.97"/>
    <x v="0"/>
    <x v="2"/>
    <x v="1"/>
    <x v="2"/>
    <s v="Navarra"/>
    <x v="1"/>
    <n v="2"/>
    <n v="239.96999999999997"/>
    <n v="47.999999999999972"/>
  </r>
  <r>
    <s v="ORD-101503"/>
    <x v="349"/>
    <x v="23"/>
    <x v="4"/>
    <n v="2"/>
    <n v="24.99"/>
    <x v="0"/>
    <n v="21.24"/>
    <n v="42.48"/>
    <x v="2"/>
    <x v="3"/>
    <x v="4"/>
    <x v="2"/>
    <s v="Navarra"/>
    <x v="1"/>
    <m/>
    <n v="49.98"/>
    <n v="7.5"/>
  </r>
  <r>
    <s v="ORD-101504"/>
    <x v="633"/>
    <x v="27"/>
    <x v="1"/>
    <n v="3"/>
    <n v="49.99"/>
    <x v="1"/>
    <n v="49.99"/>
    <n v="149.97"/>
    <x v="0"/>
    <x v="0"/>
    <x v="1"/>
    <x v="10"/>
    <s v="Cantabria"/>
    <x v="1"/>
    <n v="5"/>
    <n v="149.97"/>
    <n v="0"/>
  </r>
  <r>
    <s v="ORD-101505"/>
    <x v="374"/>
    <x v="25"/>
    <x v="4"/>
    <n v="1"/>
    <n v="34.99"/>
    <x v="1"/>
    <n v="34.99"/>
    <n v="34.99"/>
    <x v="0"/>
    <x v="0"/>
    <x v="0"/>
    <x v="10"/>
    <s v="Cantabria"/>
    <x v="1"/>
    <n v="5"/>
    <n v="34.99"/>
    <n v="0"/>
  </r>
  <r>
    <s v="ORD-101506"/>
    <x v="485"/>
    <x v="21"/>
    <x v="0"/>
    <n v="2"/>
    <n v="799.99"/>
    <x v="1"/>
    <n v="799.99"/>
    <n v="1599.98"/>
    <x v="0"/>
    <x v="0"/>
    <x v="0"/>
    <x v="9"/>
    <s v="Asturias"/>
    <x v="1"/>
    <n v="2"/>
    <n v="1599.98"/>
    <n v="0"/>
  </r>
  <r>
    <s v="ORD-101507"/>
    <x v="122"/>
    <x v="25"/>
    <x v="4"/>
    <n v="5"/>
    <n v="34.99"/>
    <x v="4"/>
    <n v="27.99"/>
    <n v="139.94999999999999"/>
    <x v="1"/>
    <x v="1"/>
    <x v="1"/>
    <x v="11"/>
    <s v="Cataluña"/>
    <x v="2"/>
    <m/>
    <n v="174.95000000000002"/>
    <n v="35.000000000000028"/>
  </r>
  <r>
    <s v="ORD-101508"/>
    <x v="262"/>
    <x v="0"/>
    <x v="0"/>
    <n v="2"/>
    <n v="45.99"/>
    <x v="1"/>
    <n v="45.99"/>
    <n v="91.98"/>
    <x v="2"/>
    <x v="0"/>
    <x v="1"/>
    <x v="4"/>
    <s v="Castilla y León"/>
    <x v="1"/>
    <m/>
    <n v="91.98"/>
    <n v="0"/>
  </r>
  <r>
    <s v="ORD-101509"/>
    <x v="491"/>
    <x v="5"/>
    <x v="1"/>
    <n v="1"/>
    <n v="149.99"/>
    <x v="1"/>
    <n v="149.99"/>
    <n v="149.99"/>
    <x v="0"/>
    <x v="3"/>
    <x v="1"/>
    <x v="10"/>
    <s v="Cantabria"/>
    <x v="1"/>
    <n v="5"/>
    <n v="149.99"/>
    <n v="0"/>
  </r>
  <r>
    <s v="ORD-101510"/>
    <x v="128"/>
    <x v="21"/>
    <x v="0"/>
    <n v="2"/>
    <n v="799.99"/>
    <x v="3"/>
    <n v="719.99"/>
    <n v="1439.98"/>
    <x v="2"/>
    <x v="0"/>
    <x v="1"/>
    <x v="7"/>
    <s v="Castilla y León"/>
    <x v="1"/>
    <m/>
    <n v="1599.98"/>
    <n v="160"/>
  </r>
  <r>
    <s v="ORD-101511"/>
    <x v="427"/>
    <x v="4"/>
    <x v="4"/>
    <n v="2"/>
    <n v="349.99"/>
    <x v="4"/>
    <n v="279.99"/>
    <n v="559.98"/>
    <x v="0"/>
    <x v="1"/>
    <x v="2"/>
    <x v="13"/>
    <s v="Andalucía"/>
    <x v="0"/>
    <n v="5"/>
    <n v="699.98"/>
    <n v="140"/>
  </r>
  <r>
    <s v="ORD-101512"/>
    <x v="5"/>
    <x v="11"/>
    <x v="0"/>
    <n v="5"/>
    <n v="349.99"/>
    <x v="1"/>
    <n v="349.99"/>
    <n v="1749.95"/>
    <x v="0"/>
    <x v="0"/>
    <x v="1"/>
    <x v="12"/>
    <s v="Región de Murcia"/>
    <x v="1"/>
    <n v="3"/>
    <n v="1749.95"/>
    <n v="0"/>
  </r>
  <r>
    <s v="ORD-101513"/>
    <x v="550"/>
    <x v="28"/>
    <x v="0"/>
    <n v="3"/>
    <n v="499.99"/>
    <x v="4"/>
    <n v="399.99"/>
    <n v="1199.97"/>
    <x v="0"/>
    <x v="0"/>
    <x v="2"/>
    <x v="10"/>
    <s v="Cantabria"/>
    <x v="1"/>
    <n v="2"/>
    <n v="1499.97"/>
    <n v="300"/>
  </r>
  <r>
    <s v="ORD-101514"/>
    <x v="460"/>
    <x v="6"/>
    <x v="0"/>
    <n v="5"/>
    <n v="89.99"/>
    <x v="3"/>
    <n v="80.989999999999995"/>
    <n v="404.95"/>
    <x v="0"/>
    <x v="2"/>
    <x v="3"/>
    <x v="7"/>
    <s v="Castilla y León"/>
    <x v="1"/>
    <n v="4"/>
    <n v="449.95"/>
    <n v="45"/>
  </r>
  <r>
    <s v="ORD-101515"/>
    <x v="400"/>
    <x v="17"/>
    <x v="0"/>
    <n v="5"/>
    <n v="899.99"/>
    <x v="0"/>
    <n v="764.99"/>
    <n v="3824.95"/>
    <x v="2"/>
    <x v="1"/>
    <x v="4"/>
    <x v="1"/>
    <s v="Comunitat Valenciana"/>
    <x v="1"/>
    <m/>
    <n v="4499.95"/>
    <n v="675"/>
  </r>
  <r>
    <s v="ORD-101516"/>
    <x v="634"/>
    <x v="9"/>
    <x v="2"/>
    <n v="1"/>
    <n v="29.99"/>
    <x v="1"/>
    <n v="29.99"/>
    <n v="29.99"/>
    <x v="0"/>
    <x v="0"/>
    <x v="2"/>
    <x v="5"/>
    <s v="País Vasco"/>
    <x v="0"/>
    <n v="1"/>
    <n v="29.99"/>
    <n v="0"/>
  </r>
  <r>
    <s v="ORD-101517"/>
    <x v="304"/>
    <x v="21"/>
    <x v="0"/>
    <n v="5"/>
    <n v="799.99"/>
    <x v="4"/>
    <n v="639.99"/>
    <n v="3199.95"/>
    <x v="1"/>
    <x v="2"/>
    <x v="4"/>
    <x v="4"/>
    <s v="Castilla y León"/>
    <x v="1"/>
    <m/>
    <n v="3999.95"/>
    <n v="800"/>
  </r>
  <r>
    <s v="ORD-101518"/>
    <x v="633"/>
    <x v="28"/>
    <x v="0"/>
    <n v="4"/>
    <n v="499.99"/>
    <x v="1"/>
    <n v="499.99"/>
    <n v="1999.96"/>
    <x v="2"/>
    <x v="2"/>
    <x v="1"/>
    <x v="1"/>
    <s v="Comunitat Valenciana"/>
    <x v="1"/>
    <m/>
    <n v="1999.96"/>
    <n v="0"/>
  </r>
  <r>
    <s v="ORD-101519"/>
    <x v="635"/>
    <x v="15"/>
    <x v="3"/>
    <n v="1"/>
    <n v="69.989999999999995"/>
    <x v="2"/>
    <n v="66.489999999999995"/>
    <n v="66.489999999999995"/>
    <x v="0"/>
    <x v="2"/>
    <x v="2"/>
    <x v="1"/>
    <s v="Comunitat Valenciana"/>
    <x v="1"/>
    <n v="4"/>
    <n v="69.989999999999995"/>
    <n v="3.5"/>
  </r>
  <r>
    <s v="ORD-101520"/>
    <x v="632"/>
    <x v="7"/>
    <x v="3"/>
    <n v="1"/>
    <n v="19.989999999999998"/>
    <x v="1"/>
    <n v="19.989999999999998"/>
    <n v="19.989999999999998"/>
    <x v="0"/>
    <x v="0"/>
    <x v="3"/>
    <x v="7"/>
    <s v="Castilla y León"/>
    <x v="1"/>
    <n v="4"/>
    <n v="19.989999999999998"/>
    <n v="0"/>
  </r>
  <r>
    <s v="ORD-101521"/>
    <x v="581"/>
    <x v="8"/>
    <x v="2"/>
    <n v="2"/>
    <n v="59.99"/>
    <x v="1"/>
    <n v="59.99"/>
    <n v="119.98"/>
    <x v="3"/>
    <x v="2"/>
    <x v="2"/>
    <x v="3"/>
    <s v="Comunidad de Madrid"/>
    <x v="2"/>
    <m/>
    <n v="119.98"/>
    <n v="0"/>
  </r>
  <r>
    <s v="ORD-101522"/>
    <x v="379"/>
    <x v="27"/>
    <x v="1"/>
    <n v="4"/>
    <n v="49.99"/>
    <x v="0"/>
    <n v="42.49"/>
    <n v="169.96"/>
    <x v="1"/>
    <x v="1"/>
    <x v="0"/>
    <x v="3"/>
    <s v="Comunidad de Madrid"/>
    <x v="2"/>
    <m/>
    <n v="199.96"/>
    <n v="30"/>
  </r>
  <r>
    <s v="ORD-101523"/>
    <x v="570"/>
    <x v="2"/>
    <x v="2"/>
    <n v="2"/>
    <n v="299.99"/>
    <x v="2"/>
    <n v="284.99"/>
    <n v="569.98"/>
    <x v="1"/>
    <x v="0"/>
    <x v="3"/>
    <x v="7"/>
    <s v="Castilla y León"/>
    <x v="1"/>
    <m/>
    <n v="599.98"/>
    <n v="30"/>
  </r>
  <r>
    <s v="ORD-101524"/>
    <x v="235"/>
    <x v="23"/>
    <x v="4"/>
    <n v="3"/>
    <n v="24.99"/>
    <x v="1"/>
    <n v="24.99"/>
    <n v="74.97"/>
    <x v="0"/>
    <x v="2"/>
    <x v="0"/>
    <x v="13"/>
    <s v="Andalucía"/>
    <x v="0"/>
    <n v="1"/>
    <n v="74.97"/>
    <n v="0"/>
  </r>
  <r>
    <s v="ORD-101525"/>
    <x v="361"/>
    <x v="19"/>
    <x v="0"/>
    <n v="2"/>
    <n v="1199.99"/>
    <x v="2"/>
    <n v="1139.99"/>
    <n v="2279.98"/>
    <x v="1"/>
    <x v="2"/>
    <x v="3"/>
    <x v="4"/>
    <s v="Castilla y León"/>
    <x v="1"/>
    <m/>
    <n v="2399.98"/>
    <n v="120"/>
  </r>
  <r>
    <s v="ORD-101526"/>
    <x v="376"/>
    <x v="8"/>
    <x v="2"/>
    <n v="1"/>
    <n v="59.99"/>
    <x v="4"/>
    <n v="47.99"/>
    <n v="47.99"/>
    <x v="1"/>
    <x v="0"/>
    <x v="0"/>
    <x v="8"/>
    <s v="La Rioja"/>
    <x v="1"/>
    <m/>
    <n v="59.99"/>
    <n v="12"/>
  </r>
  <r>
    <s v="ORD-101527"/>
    <x v="175"/>
    <x v="29"/>
    <x v="0"/>
    <n v="3"/>
    <n v="129.99"/>
    <x v="1"/>
    <n v="129.99"/>
    <n v="389.97"/>
    <x v="0"/>
    <x v="1"/>
    <x v="0"/>
    <x v="1"/>
    <s v="Comunitat Valenciana"/>
    <x v="1"/>
    <n v="3"/>
    <n v="389.97"/>
    <n v="0"/>
  </r>
  <r>
    <s v="ORD-101528"/>
    <x v="632"/>
    <x v="27"/>
    <x v="1"/>
    <n v="4"/>
    <n v="49.99"/>
    <x v="2"/>
    <n v="47.49"/>
    <n v="189.96"/>
    <x v="1"/>
    <x v="0"/>
    <x v="0"/>
    <x v="9"/>
    <s v="Asturias"/>
    <x v="1"/>
    <m/>
    <n v="199.96"/>
    <n v="10"/>
  </r>
  <r>
    <s v="ORD-101529"/>
    <x v="285"/>
    <x v="21"/>
    <x v="0"/>
    <n v="4"/>
    <n v="799.99"/>
    <x v="0"/>
    <n v="679.99"/>
    <n v="2719.96"/>
    <x v="1"/>
    <x v="2"/>
    <x v="2"/>
    <x v="14"/>
    <s v="Aragón"/>
    <x v="0"/>
    <m/>
    <n v="3199.96"/>
    <n v="480"/>
  </r>
  <r>
    <s v="ORD-101530"/>
    <x v="478"/>
    <x v="2"/>
    <x v="2"/>
    <n v="3"/>
    <n v="299.99"/>
    <x v="1"/>
    <n v="299.99"/>
    <n v="899.97"/>
    <x v="1"/>
    <x v="2"/>
    <x v="0"/>
    <x v="5"/>
    <s v="País Vasco"/>
    <x v="0"/>
    <m/>
    <n v="899.97"/>
    <n v="0"/>
  </r>
  <r>
    <s v="ORD-101531"/>
    <x v="8"/>
    <x v="24"/>
    <x v="3"/>
    <n v="5"/>
    <n v="89.99"/>
    <x v="3"/>
    <n v="80.989999999999995"/>
    <n v="404.95"/>
    <x v="0"/>
    <x v="2"/>
    <x v="1"/>
    <x v="14"/>
    <s v="Aragón"/>
    <x v="0"/>
    <n v="5"/>
    <n v="449.95"/>
    <n v="45"/>
  </r>
  <r>
    <s v="ORD-101532"/>
    <x v="69"/>
    <x v="7"/>
    <x v="3"/>
    <n v="1"/>
    <n v="19.989999999999998"/>
    <x v="1"/>
    <n v="19.989999999999998"/>
    <n v="19.989999999999998"/>
    <x v="3"/>
    <x v="3"/>
    <x v="0"/>
    <x v="8"/>
    <s v="La Rioja"/>
    <x v="1"/>
    <m/>
    <n v="19.989999999999998"/>
    <n v="0"/>
  </r>
  <r>
    <s v="ORD-101533"/>
    <x v="90"/>
    <x v="21"/>
    <x v="0"/>
    <n v="1"/>
    <n v="799.99"/>
    <x v="1"/>
    <n v="799.99"/>
    <n v="799.99"/>
    <x v="1"/>
    <x v="0"/>
    <x v="4"/>
    <x v="2"/>
    <s v="Navarra"/>
    <x v="1"/>
    <m/>
    <n v="799.99"/>
    <n v="0"/>
  </r>
  <r>
    <s v="ORD-101534"/>
    <x v="177"/>
    <x v="26"/>
    <x v="1"/>
    <n v="4"/>
    <n v="599.99"/>
    <x v="1"/>
    <n v="599.99"/>
    <n v="2399.96"/>
    <x v="0"/>
    <x v="0"/>
    <x v="0"/>
    <x v="8"/>
    <s v="La Rioja"/>
    <x v="1"/>
    <n v="4"/>
    <n v="2399.96"/>
    <n v="0"/>
  </r>
  <r>
    <s v="ORD-101535"/>
    <x v="54"/>
    <x v="25"/>
    <x v="4"/>
    <n v="1"/>
    <n v="34.99"/>
    <x v="1"/>
    <n v="34.99"/>
    <n v="34.99"/>
    <x v="0"/>
    <x v="0"/>
    <x v="0"/>
    <x v="1"/>
    <s v="Comunitat Valenciana"/>
    <x v="1"/>
    <n v="4"/>
    <n v="34.99"/>
    <n v="0"/>
  </r>
  <r>
    <s v="ORD-101536"/>
    <x v="424"/>
    <x v="26"/>
    <x v="1"/>
    <n v="1"/>
    <n v="599.99"/>
    <x v="1"/>
    <n v="599.99"/>
    <n v="599.99"/>
    <x v="0"/>
    <x v="1"/>
    <x v="3"/>
    <x v="6"/>
    <s v="Comunitat Valenciana"/>
    <x v="0"/>
    <n v="3"/>
    <n v="599.99"/>
    <n v="0"/>
  </r>
  <r>
    <s v="ORD-101537"/>
    <x v="10"/>
    <x v="5"/>
    <x v="1"/>
    <n v="3"/>
    <n v="149.99"/>
    <x v="1"/>
    <n v="149.99"/>
    <n v="449.97"/>
    <x v="3"/>
    <x v="2"/>
    <x v="4"/>
    <x v="2"/>
    <s v="Navarra"/>
    <x v="1"/>
    <m/>
    <n v="449.97"/>
    <n v="0"/>
  </r>
  <r>
    <s v="ORD-101538"/>
    <x v="636"/>
    <x v="8"/>
    <x v="2"/>
    <n v="5"/>
    <n v="59.99"/>
    <x v="1"/>
    <n v="59.99"/>
    <n v="299.95"/>
    <x v="1"/>
    <x v="1"/>
    <x v="1"/>
    <x v="14"/>
    <s v="Aragón"/>
    <x v="0"/>
    <m/>
    <n v="299.95"/>
    <n v="0"/>
  </r>
  <r>
    <s v="ORD-101539"/>
    <x v="452"/>
    <x v="8"/>
    <x v="2"/>
    <n v="1"/>
    <n v="59.99"/>
    <x v="4"/>
    <n v="47.99"/>
    <n v="47.99"/>
    <x v="0"/>
    <x v="3"/>
    <x v="4"/>
    <x v="13"/>
    <s v="Andalucía"/>
    <x v="0"/>
    <n v="3"/>
    <n v="59.99"/>
    <n v="12"/>
  </r>
  <r>
    <s v="ORD-101540"/>
    <x v="379"/>
    <x v="26"/>
    <x v="1"/>
    <n v="4"/>
    <n v="599.99"/>
    <x v="3"/>
    <n v="539.99"/>
    <n v="2159.96"/>
    <x v="1"/>
    <x v="1"/>
    <x v="0"/>
    <x v="2"/>
    <s v="Navarra"/>
    <x v="1"/>
    <m/>
    <n v="2399.96"/>
    <n v="240"/>
  </r>
  <r>
    <s v="ORD-101541"/>
    <x v="396"/>
    <x v="26"/>
    <x v="1"/>
    <n v="2"/>
    <n v="599.99"/>
    <x v="1"/>
    <n v="599.99"/>
    <n v="1199.98"/>
    <x v="3"/>
    <x v="2"/>
    <x v="4"/>
    <x v="5"/>
    <s v="País Vasco"/>
    <x v="0"/>
    <m/>
    <n v="1199.98"/>
    <n v="0"/>
  </r>
  <r>
    <s v="ORD-101542"/>
    <x v="153"/>
    <x v="28"/>
    <x v="0"/>
    <n v="5"/>
    <n v="499.99"/>
    <x v="1"/>
    <n v="499.99"/>
    <n v="2499.9499999999998"/>
    <x v="0"/>
    <x v="0"/>
    <x v="0"/>
    <x v="13"/>
    <s v="Andalucía"/>
    <x v="0"/>
    <n v="3"/>
    <n v="2499.9499999999998"/>
    <n v="0"/>
  </r>
  <r>
    <s v="ORD-101543"/>
    <x v="264"/>
    <x v="7"/>
    <x v="3"/>
    <n v="5"/>
    <n v="19.989999999999998"/>
    <x v="1"/>
    <n v="19.989999999999998"/>
    <n v="99.95"/>
    <x v="0"/>
    <x v="1"/>
    <x v="2"/>
    <x v="1"/>
    <s v="Comunitat Valenciana"/>
    <x v="1"/>
    <n v="2"/>
    <n v="99.949999999999989"/>
    <n v="0"/>
  </r>
  <r>
    <s v="ORD-101544"/>
    <x v="478"/>
    <x v="26"/>
    <x v="1"/>
    <n v="1"/>
    <n v="599.99"/>
    <x v="2"/>
    <n v="569.99"/>
    <n v="569.99"/>
    <x v="0"/>
    <x v="3"/>
    <x v="3"/>
    <x v="3"/>
    <s v="Comunidad de Madrid"/>
    <x v="2"/>
    <n v="5"/>
    <n v="599.99"/>
    <n v="30"/>
  </r>
  <r>
    <s v="ORD-101545"/>
    <x v="263"/>
    <x v="3"/>
    <x v="3"/>
    <n v="1"/>
    <n v="34.99"/>
    <x v="3"/>
    <n v="31.49"/>
    <n v="31.49"/>
    <x v="3"/>
    <x v="2"/>
    <x v="3"/>
    <x v="5"/>
    <s v="País Vasco"/>
    <x v="0"/>
    <m/>
    <n v="34.99"/>
    <n v="3.5000000000000036"/>
  </r>
  <r>
    <s v="ORD-101546"/>
    <x v="146"/>
    <x v="26"/>
    <x v="1"/>
    <n v="2"/>
    <n v="599.99"/>
    <x v="1"/>
    <n v="599.99"/>
    <n v="1199.98"/>
    <x v="1"/>
    <x v="0"/>
    <x v="3"/>
    <x v="5"/>
    <s v="País Vasco"/>
    <x v="0"/>
    <m/>
    <n v="1199.98"/>
    <n v="0"/>
  </r>
  <r>
    <s v="ORD-101547"/>
    <x v="89"/>
    <x v="9"/>
    <x v="2"/>
    <n v="2"/>
    <n v="29.99"/>
    <x v="1"/>
    <n v="29.99"/>
    <n v="59.98"/>
    <x v="2"/>
    <x v="0"/>
    <x v="0"/>
    <x v="9"/>
    <s v="Asturias"/>
    <x v="1"/>
    <m/>
    <n v="59.98"/>
    <n v="0"/>
  </r>
  <r>
    <s v="ORD-101548"/>
    <x v="637"/>
    <x v="29"/>
    <x v="0"/>
    <n v="5"/>
    <n v="129.99"/>
    <x v="4"/>
    <n v="103.99"/>
    <n v="519.95000000000005"/>
    <x v="0"/>
    <x v="0"/>
    <x v="1"/>
    <x v="14"/>
    <s v="Aragón"/>
    <x v="0"/>
    <n v="1"/>
    <n v="649.95000000000005"/>
    <n v="130"/>
  </r>
  <r>
    <s v="ORD-101549"/>
    <x v="473"/>
    <x v="7"/>
    <x v="3"/>
    <n v="1"/>
    <n v="19.989999999999998"/>
    <x v="0"/>
    <n v="16.989999999999998"/>
    <n v="16.989999999999998"/>
    <x v="2"/>
    <x v="0"/>
    <x v="1"/>
    <x v="8"/>
    <s v="La Rioja"/>
    <x v="1"/>
    <m/>
    <n v="19.989999999999998"/>
    <n v="3"/>
  </r>
  <r>
    <s v="ORD-101550"/>
    <x v="569"/>
    <x v="28"/>
    <x v="0"/>
    <n v="3"/>
    <n v="499.99"/>
    <x v="1"/>
    <n v="499.99"/>
    <n v="1499.97"/>
    <x v="0"/>
    <x v="0"/>
    <x v="0"/>
    <x v="12"/>
    <s v="Región de Murcia"/>
    <x v="1"/>
    <n v="2"/>
    <n v="1499.97"/>
    <n v="0"/>
  </r>
  <r>
    <s v="ORD-101551"/>
    <x v="281"/>
    <x v="1"/>
    <x v="1"/>
    <n v="3"/>
    <n v="399.99"/>
    <x v="4"/>
    <n v="319.99"/>
    <n v="959.97"/>
    <x v="2"/>
    <x v="0"/>
    <x v="3"/>
    <x v="13"/>
    <s v="Andalucía"/>
    <x v="0"/>
    <m/>
    <n v="1199.97"/>
    <n v="240"/>
  </r>
  <r>
    <s v="ORD-101552"/>
    <x v="638"/>
    <x v="11"/>
    <x v="0"/>
    <n v="1"/>
    <n v="349.99"/>
    <x v="1"/>
    <n v="349.99"/>
    <n v="349.99"/>
    <x v="1"/>
    <x v="0"/>
    <x v="3"/>
    <x v="14"/>
    <s v="Aragón"/>
    <x v="0"/>
    <m/>
    <n v="349.99"/>
    <n v="0"/>
  </r>
  <r>
    <s v="ORD-101553"/>
    <x v="369"/>
    <x v="15"/>
    <x v="3"/>
    <n v="4"/>
    <n v="69.989999999999995"/>
    <x v="1"/>
    <n v="69.989999999999995"/>
    <n v="279.95999999999998"/>
    <x v="1"/>
    <x v="0"/>
    <x v="0"/>
    <x v="6"/>
    <s v="Comunitat Valenciana"/>
    <x v="0"/>
    <m/>
    <n v="279.95999999999998"/>
    <n v="0"/>
  </r>
  <r>
    <s v="ORD-101554"/>
    <x v="176"/>
    <x v="22"/>
    <x v="4"/>
    <n v="5"/>
    <n v="44.99"/>
    <x v="1"/>
    <n v="44.99"/>
    <n v="224.95"/>
    <x v="0"/>
    <x v="2"/>
    <x v="3"/>
    <x v="0"/>
    <s v="Andalucía"/>
    <x v="0"/>
    <n v="5"/>
    <n v="224.95000000000002"/>
    <n v="0"/>
  </r>
  <r>
    <s v="ORD-101555"/>
    <x v="308"/>
    <x v="2"/>
    <x v="2"/>
    <n v="3"/>
    <n v="299.99"/>
    <x v="1"/>
    <n v="299.99"/>
    <n v="899.97"/>
    <x v="0"/>
    <x v="0"/>
    <x v="1"/>
    <x v="1"/>
    <s v="Comunitat Valenciana"/>
    <x v="1"/>
    <n v="4"/>
    <n v="899.97"/>
    <n v="0"/>
  </r>
  <r>
    <s v="ORD-101556"/>
    <x v="436"/>
    <x v="6"/>
    <x v="0"/>
    <n v="1"/>
    <n v="89.99"/>
    <x v="1"/>
    <n v="89.99"/>
    <n v="89.99"/>
    <x v="0"/>
    <x v="1"/>
    <x v="1"/>
    <x v="1"/>
    <s v="Comunitat Valenciana"/>
    <x v="1"/>
    <n v="5"/>
    <n v="89.99"/>
    <n v="0"/>
  </r>
  <r>
    <s v="ORD-101557"/>
    <x v="63"/>
    <x v="4"/>
    <x v="4"/>
    <n v="5"/>
    <n v="349.99"/>
    <x v="4"/>
    <n v="279.99"/>
    <n v="1399.95"/>
    <x v="0"/>
    <x v="1"/>
    <x v="3"/>
    <x v="12"/>
    <s v="Región de Murcia"/>
    <x v="1"/>
    <n v="3"/>
    <n v="1749.95"/>
    <n v="350"/>
  </r>
  <r>
    <s v="ORD-101558"/>
    <x v="356"/>
    <x v="21"/>
    <x v="0"/>
    <n v="5"/>
    <n v="799.99"/>
    <x v="1"/>
    <n v="799.99"/>
    <n v="3999.95"/>
    <x v="3"/>
    <x v="0"/>
    <x v="1"/>
    <x v="14"/>
    <s v="Aragón"/>
    <x v="0"/>
    <m/>
    <n v="3999.95"/>
    <n v="0"/>
  </r>
  <r>
    <s v="ORD-101559"/>
    <x v="107"/>
    <x v="28"/>
    <x v="0"/>
    <n v="4"/>
    <n v="499.99"/>
    <x v="1"/>
    <n v="499.99"/>
    <n v="1999.96"/>
    <x v="1"/>
    <x v="1"/>
    <x v="3"/>
    <x v="11"/>
    <s v="Cataluña"/>
    <x v="2"/>
    <m/>
    <n v="1999.96"/>
    <n v="0"/>
  </r>
  <r>
    <s v="ORD-101560"/>
    <x v="373"/>
    <x v="15"/>
    <x v="3"/>
    <n v="1"/>
    <n v="69.989999999999995"/>
    <x v="1"/>
    <n v="69.989999999999995"/>
    <n v="69.989999999999995"/>
    <x v="0"/>
    <x v="2"/>
    <x v="1"/>
    <x v="11"/>
    <s v="Cataluña"/>
    <x v="2"/>
    <n v="5"/>
    <n v="69.989999999999995"/>
    <n v="0"/>
  </r>
  <r>
    <s v="ORD-101561"/>
    <x v="163"/>
    <x v="26"/>
    <x v="1"/>
    <n v="4"/>
    <n v="599.99"/>
    <x v="1"/>
    <n v="599.99"/>
    <n v="2399.96"/>
    <x v="0"/>
    <x v="3"/>
    <x v="4"/>
    <x v="8"/>
    <s v="La Rioja"/>
    <x v="1"/>
    <n v="2"/>
    <n v="2399.96"/>
    <n v="0"/>
  </r>
  <r>
    <s v="ORD-101562"/>
    <x v="639"/>
    <x v="12"/>
    <x v="2"/>
    <n v="5"/>
    <n v="189.99"/>
    <x v="0"/>
    <n v="161.49"/>
    <n v="807.45"/>
    <x v="0"/>
    <x v="2"/>
    <x v="0"/>
    <x v="5"/>
    <s v="País Vasco"/>
    <x v="0"/>
    <n v="1"/>
    <n v="949.95"/>
    <n v="142.5"/>
  </r>
  <r>
    <s v="ORD-101563"/>
    <x v="557"/>
    <x v="3"/>
    <x v="3"/>
    <n v="4"/>
    <n v="34.99"/>
    <x v="3"/>
    <n v="31.49"/>
    <n v="125.96"/>
    <x v="4"/>
    <x v="1"/>
    <x v="2"/>
    <x v="1"/>
    <s v="Comunitat Valenciana"/>
    <x v="1"/>
    <m/>
    <n v="139.96"/>
    <n v="14.000000000000014"/>
  </r>
  <r>
    <s v="ORD-101564"/>
    <x v="291"/>
    <x v="23"/>
    <x v="4"/>
    <n v="2"/>
    <n v="24.99"/>
    <x v="2"/>
    <n v="23.74"/>
    <n v="47.48"/>
    <x v="0"/>
    <x v="0"/>
    <x v="1"/>
    <x v="11"/>
    <s v="Cataluña"/>
    <x v="2"/>
    <n v="4"/>
    <n v="49.98"/>
    <n v="2.5"/>
  </r>
  <r>
    <s v="ORD-101565"/>
    <x v="626"/>
    <x v="11"/>
    <x v="0"/>
    <n v="1"/>
    <n v="349.99"/>
    <x v="4"/>
    <n v="279.99"/>
    <n v="279.99"/>
    <x v="0"/>
    <x v="0"/>
    <x v="0"/>
    <x v="10"/>
    <s v="Cantabria"/>
    <x v="1"/>
    <n v="5"/>
    <n v="349.99"/>
    <n v="70"/>
  </r>
  <r>
    <s v="ORD-101566"/>
    <x v="254"/>
    <x v="22"/>
    <x v="4"/>
    <n v="4"/>
    <n v="44.99"/>
    <x v="2"/>
    <n v="42.74"/>
    <n v="170.96"/>
    <x v="0"/>
    <x v="1"/>
    <x v="0"/>
    <x v="13"/>
    <s v="Andalucía"/>
    <x v="0"/>
    <n v="3"/>
    <n v="179.96"/>
    <n v="9"/>
  </r>
  <r>
    <s v="ORD-101567"/>
    <x v="404"/>
    <x v="24"/>
    <x v="3"/>
    <n v="3"/>
    <n v="89.99"/>
    <x v="3"/>
    <n v="80.989999999999995"/>
    <n v="242.97"/>
    <x v="1"/>
    <x v="3"/>
    <x v="0"/>
    <x v="11"/>
    <s v="Cataluña"/>
    <x v="2"/>
    <m/>
    <n v="269.96999999999997"/>
    <n v="26.999999999999972"/>
  </r>
  <r>
    <s v="ORD-101568"/>
    <x v="490"/>
    <x v="26"/>
    <x v="1"/>
    <n v="4"/>
    <n v="599.99"/>
    <x v="0"/>
    <n v="509.99"/>
    <n v="2039.96"/>
    <x v="0"/>
    <x v="0"/>
    <x v="1"/>
    <x v="8"/>
    <s v="La Rioja"/>
    <x v="1"/>
    <n v="2"/>
    <n v="2399.96"/>
    <n v="360"/>
  </r>
  <r>
    <s v="ORD-101569"/>
    <x v="593"/>
    <x v="10"/>
    <x v="2"/>
    <n v="5"/>
    <n v="69.989999999999995"/>
    <x v="4"/>
    <n v="55.99"/>
    <n v="279.95"/>
    <x v="3"/>
    <x v="0"/>
    <x v="0"/>
    <x v="11"/>
    <s v="Cataluña"/>
    <x v="2"/>
    <m/>
    <n v="349.95"/>
    <n v="70"/>
  </r>
  <r>
    <s v="ORD-101570"/>
    <x v="565"/>
    <x v="15"/>
    <x v="3"/>
    <n v="4"/>
    <n v="69.989999999999995"/>
    <x v="2"/>
    <n v="66.489999999999995"/>
    <n v="265.95999999999998"/>
    <x v="0"/>
    <x v="1"/>
    <x v="3"/>
    <x v="6"/>
    <s v="Comunitat Valenciana"/>
    <x v="0"/>
    <n v="1"/>
    <n v="279.95999999999998"/>
    <n v="14"/>
  </r>
  <r>
    <s v="ORD-101571"/>
    <x v="97"/>
    <x v="13"/>
    <x v="3"/>
    <n v="4"/>
    <n v="49.99"/>
    <x v="1"/>
    <n v="49.99"/>
    <n v="199.96"/>
    <x v="0"/>
    <x v="2"/>
    <x v="3"/>
    <x v="7"/>
    <s v="Castilla y León"/>
    <x v="1"/>
    <n v="4"/>
    <n v="199.96"/>
    <n v="0"/>
  </r>
  <r>
    <s v="ORD-101572"/>
    <x v="223"/>
    <x v="24"/>
    <x v="3"/>
    <n v="4"/>
    <n v="89.99"/>
    <x v="1"/>
    <n v="89.99"/>
    <n v="359.96"/>
    <x v="1"/>
    <x v="0"/>
    <x v="4"/>
    <x v="6"/>
    <s v="Comunitat Valenciana"/>
    <x v="0"/>
    <m/>
    <n v="359.96"/>
    <n v="0"/>
  </r>
  <r>
    <s v="ORD-101573"/>
    <x v="431"/>
    <x v="3"/>
    <x v="3"/>
    <n v="5"/>
    <n v="34.99"/>
    <x v="1"/>
    <n v="34.99"/>
    <n v="174.95"/>
    <x v="0"/>
    <x v="0"/>
    <x v="0"/>
    <x v="1"/>
    <s v="Comunitat Valenciana"/>
    <x v="1"/>
    <n v="2"/>
    <n v="174.95000000000002"/>
    <n v="0"/>
  </r>
  <r>
    <s v="ORD-101574"/>
    <x v="404"/>
    <x v="13"/>
    <x v="3"/>
    <n v="3"/>
    <n v="49.99"/>
    <x v="2"/>
    <n v="47.49"/>
    <n v="142.47"/>
    <x v="0"/>
    <x v="0"/>
    <x v="4"/>
    <x v="4"/>
    <s v="Castilla y León"/>
    <x v="1"/>
    <n v="3"/>
    <n v="149.97"/>
    <n v="7.5"/>
  </r>
  <r>
    <s v="ORD-101575"/>
    <x v="393"/>
    <x v="18"/>
    <x v="2"/>
    <n v="1"/>
    <n v="99.99"/>
    <x v="1"/>
    <n v="99.99"/>
    <n v="99.99"/>
    <x v="1"/>
    <x v="0"/>
    <x v="3"/>
    <x v="6"/>
    <s v="Comunitat Valenciana"/>
    <x v="0"/>
    <m/>
    <n v="99.99"/>
    <n v="0"/>
  </r>
  <r>
    <s v="ORD-101576"/>
    <x v="401"/>
    <x v="18"/>
    <x v="2"/>
    <n v="2"/>
    <n v="99.99"/>
    <x v="1"/>
    <n v="99.99"/>
    <n v="199.98"/>
    <x v="0"/>
    <x v="3"/>
    <x v="3"/>
    <x v="3"/>
    <s v="Comunidad de Madrid"/>
    <x v="2"/>
    <n v="2"/>
    <n v="199.98"/>
    <n v="0"/>
  </r>
  <r>
    <s v="ORD-101577"/>
    <x v="455"/>
    <x v="16"/>
    <x v="1"/>
    <n v="1"/>
    <n v="79.989999999999995"/>
    <x v="1"/>
    <n v="79.989999999999995"/>
    <n v="79.989999999999995"/>
    <x v="0"/>
    <x v="0"/>
    <x v="3"/>
    <x v="1"/>
    <s v="Comunitat Valenciana"/>
    <x v="1"/>
    <n v="2"/>
    <n v="79.989999999999995"/>
    <n v="0"/>
  </r>
  <r>
    <s v="ORD-101578"/>
    <x v="483"/>
    <x v="13"/>
    <x v="3"/>
    <n v="1"/>
    <n v="49.99"/>
    <x v="0"/>
    <n v="42.49"/>
    <n v="42.49"/>
    <x v="1"/>
    <x v="0"/>
    <x v="2"/>
    <x v="8"/>
    <s v="La Rioja"/>
    <x v="1"/>
    <m/>
    <n v="49.99"/>
    <n v="7.5"/>
  </r>
  <r>
    <s v="ORD-101579"/>
    <x v="383"/>
    <x v="7"/>
    <x v="3"/>
    <n v="1"/>
    <n v="19.989999999999998"/>
    <x v="4"/>
    <n v="15.99"/>
    <n v="15.99"/>
    <x v="0"/>
    <x v="1"/>
    <x v="0"/>
    <x v="5"/>
    <s v="País Vasco"/>
    <x v="0"/>
    <n v="3"/>
    <n v="19.989999999999998"/>
    <n v="3.9999999999999982"/>
  </r>
  <r>
    <s v="ORD-101580"/>
    <x v="5"/>
    <x v="10"/>
    <x v="2"/>
    <n v="2"/>
    <n v="69.989999999999995"/>
    <x v="0"/>
    <n v="59.49"/>
    <n v="118.98"/>
    <x v="0"/>
    <x v="1"/>
    <x v="0"/>
    <x v="6"/>
    <s v="Comunitat Valenciana"/>
    <x v="0"/>
    <n v="5"/>
    <n v="139.97999999999999"/>
    <n v="20.999999999999986"/>
  </r>
  <r>
    <s v="ORD-101581"/>
    <x v="252"/>
    <x v="18"/>
    <x v="2"/>
    <n v="1"/>
    <n v="99.99"/>
    <x v="0"/>
    <n v="84.99"/>
    <n v="84.99"/>
    <x v="1"/>
    <x v="2"/>
    <x v="3"/>
    <x v="4"/>
    <s v="Castilla y León"/>
    <x v="1"/>
    <m/>
    <n v="99.99"/>
    <n v="15"/>
  </r>
  <r>
    <s v="ORD-101582"/>
    <x v="116"/>
    <x v="8"/>
    <x v="2"/>
    <n v="5"/>
    <n v="59.99"/>
    <x v="1"/>
    <n v="59.99"/>
    <n v="299.95"/>
    <x v="0"/>
    <x v="1"/>
    <x v="2"/>
    <x v="7"/>
    <s v="Castilla y León"/>
    <x v="1"/>
    <n v="1"/>
    <n v="299.95"/>
    <n v="0"/>
  </r>
  <r>
    <s v="ORD-101583"/>
    <x v="405"/>
    <x v="9"/>
    <x v="2"/>
    <n v="1"/>
    <n v="29.99"/>
    <x v="1"/>
    <n v="29.99"/>
    <n v="29.99"/>
    <x v="0"/>
    <x v="2"/>
    <x v="0"/>
    <x v="13"/>
    <s v="Andalucía"/>
    <x v="0"/>
    <n v="2"/>
    <n v="29.99"/>
    <n v="0"/>
  </r>
  <r>
    <s v="ORD-101584"/>
    <x v="640"/>
    <x v="16"/>
    <x v="1"/>
    <n v="2"/>
    <n v="79.989999999999995"/>
    <x v="2"/>
    <n v="75.989999999999995"/>
    <n v="151.97999999999999"/>
    <x v="2"/>
    <x v="1"/>
    <x v="0"/>
    <x v="10"/>
    <s v="Cantabria"/>
    <x v="1"/>
    <m/>
    <n v="159.97999999999999"/>
    <n v="8"/>
  </r>
  <r>
    <s v="ORD-101585"/>
    <x v="531"/>
    <x v="23"/>
    <x v="4"/>
    <n v="1"/>
    <n v="24.99"/>
    <x v="3"/>
    <n v="22.49"/>
    <n v="22.49"/>
    <x v="2"/>
    <x v="0"/>
    <x v="3"/>
    <x v="10"/>
    <s v="Cantabria"/>
    <x v="1"/>
    <m/>
    <n v="24.99"/>
    <n v="2.5"/>
  </r>
  <r>
    <s v="ORD-101586"/>
    <x v="528"/>
    <x v="5"/>
    <x v="1"/>
    <n v="5"/>
    <n v="149.99"/>
    <x v="1"/>
    <n v="149.99"/>
    <n v="749.95"/>
    <x v="1"/>
    <x v="0"/>
    <x v="0"/>
    <x v="3"/>
    <s v="Comunidad de Madrid"/>
    <x v="2"/>
    <m/>
    <n v="749.95"/>
    <n v="0"/>
  </r>
  <r>
    <s v="ORD-101587"/>
    <x v="7"/>
    <x v="9"/>
    <x v="2"/>
    <n v="5"/>
    <n v="29.99"/>
    <x v="1"/>
    <n v="29.99"/>
    <n v="149.94999999999999"/>
    <x v="1"/>
    <x v="1"/>
    <x v="4"/>
    <x v="12"/>
    <s v="Región de Murcia"/>
    <x v="1"/>
    <m/>
    <n v="149.94999999999999"/>
    <n v="0"/>
  </r>
  <r>
    <s v="ORD-101588"/>
    <x v="54"/>
    <x v="25"/>
    <x v="4"/>
    <n v="2"/>
    <n v="34.99"/>
    <x v="1"/>
    <n v="34.99"/>
    <n v="69.98"/>
    <x v="1"/>
    <x v="2"/>
    <x v="3"/>
    <x v="12"/>
    <s v="Región de Murcia"/>
    <x v="1"/>
    <m/>
    <n v="69.98"/>
    <n v="0"/>
  </r>
  <r>
    <s v="ORD-101589"/>
    <x v="641"/>
    <x v="5"/>
    <x v="1"/>
    <n v="4"/>
    <n v="149.99"/>
    <x v="1"/>
    <n v="149.99"/>
    <n v="599.96"/>
    <x v="0"/>
    <x v="3"/>
    <x v="2"/>
    <x v="11"/>
    <s v="Cataluña"/>
    <x v="2"/>
    <n v="3"/>
    <n v="599.96"/>
    <n v="0"/>
  </r>
  <r>
    <s v="ORD-101590"/>
    <x v="138"/>
    <x v="26"/>
    <x v="1"/>
    <n v="3"/>
    <n v="599.99"/>
    <x v="1"/>
    <n v="599.99"/>
    <n v="1799.97"/>
    <x v="1"/>
    <x v="0"/>
    <x v="4"/>
    <x v="11"/>
    <s v="Cataluña"/>
    <x v="2"/>
    <m/>
    <n v="1799.97"/>
    <n v="0"/>
  </r>
  <r>
    <s v="ORD-101591"/>
    <x v="586"/>
    <x v="0"/>
    <x v="0"/>
    <n v="3"/>
    <n v="45.99"/>
    <x v="0"/>
    <n v="39.090000000000003"/>
    <n v="117.27"/>
    <x v="0"/>
    <x v="2"/>
    <x v="3"/>
    <x v="6"/>
    <s v="Comunitat Valenciana"/>
    <x v="0"/>
    <n v="4"/>
    <n v="137.97"/>
    <n v="20.700000000000003"/>
  </r>
  <r>
    <s v="ORD-101592"/>
    <x v="587"/>
    <x v="3"/>
    <x v="3"/>
    <n v="2"/>
    <n v="34.99"/>
    <x v="1"/>
    <n v="34.99"/>
    <n v="69.98"/>
    <x v="0"/>
    <x v="0"/>
    <x v="2"/>
    <x v="7"/>
    <s v="Castilla y León"/>
    <x v="1"/>
    <n v="4"/>
    <n v="69.98"/>
    <n v="0"/>
  </r>
  <r>
    <s v="ORD-101593"/>
    <x v="28"/>
    <x v="5"/>
    <x v="1"/>
    <n v="3"/>
    <n v="149.99"/>
    <x v="1"/>
    <n v="149.99"/>
    <n v="449.97"/>
    <x v="1"/>
    <x v="0"/>
    <x v="3"/>
    <x v="13"/>
    <s v="Andalucía"/>
    <x v="0"/>
    <m/>
    <n v="449.97"/>
    <n v="0"/>
  </r>
  <r>
    <s v="ORD-101594"/>
    <x v="49"/>
    <x v="7"/>
    <x v="3"/>
    <n v="1"/>
    <n v="19.989999999999998"/>
    <x v="1"/>
    <n v="19.989999999999998"/>
    <n v="19.989999999999998"/>
    <x v="0"/>
    <x v="0"/>
    <x v="2"/>
    <x v="0"/>
    <s v="Andalucía"/>
    <x v="0"/>
    <n v="3"/>
    <n v="19.989999999999998"/>
    <n v="0"/>
  </r>
  <r>
    <s v="ORD-101595"/>
    <x v="454"/>
    <x v="3"/>
    <x v="3"/>
    <n v="2"/>
    <n v="34.99"/>
    <x v="3"/>
    <n v="31.49"/>
    <n v="62.98"/>
    <x v="2"/>
    <x v="0"/>
    <x v="1"/>
    <x v="7"/>
    <s v="Castilla y León"/>
    <x v="1"/>
    <m/>
    <n v="69.98"/>
    <n v="7.0000000000000071"/>
  </r>
  <r>
    <s v="ORD-101596"/>
    <x v="413"/>
    <x v="27"/>
    <x v="1"/>
    <n v="3"/>
    <n v="49.99"/>
    <x v="1"/>
    <n v="49.99"/>
    <n v="149.97"/>
    <x v="1"/>
    <x v="3"/>
    <x v="0"/>
    <x v="3"/>
    <s v="Comunidad de Madrid"/>
    <x v="2"/>
    <m/>
    <n v="149.97"/>
    <n v="0"/>
  </r>
  <r>
    <s v="ORD-101597"/>
    <x v="9"/>
    <x v="6"/>
    <x v="0"/>
    <n v="3"/>
    <n v="89.99"/>
    <x v="1"/>
    <n v="89.99"/>
    <n v="269.97000000000003"/>
    <x v="1"/>
    <x v="0"/>
    <x v="0"/>
    <x v="7"/>
    <s v="Castilla y León"/>
    <x v="1"/>
    <m/>
    <n v="269.96999999999997"/>
    <n v="0"/>
  </r>
  <r>
    <s v="ORD-101598"/>
    <x v="431"/>
    <x v="15"/>
    <x v="3"/>
    <n v="5"/>
    <n v="69.989999999999995"/>
    <x v="1"/>
    <n v="69.989999999999995"/>
    <n v="349.95"/>
    <x v="4"/>
    <x v="1"/>
    <x v="2"/>
    <x v="8"/>
    <s v="La Rioja"/>
    <x v="1"/>
    <m/>
    <n v="349.95"/>
    <n v="0"/>
  </r>
  <r>
    <s v="ORD-101599"/>
    <x v="25"/>
    <x v="13"/>
    <x v="3"/>
    <n v="2"/>
    <n v="49.99"/>
    <x v="1"/>
    <n v="49.99"/>
    <n v="99.98"/>
    <x v="0"/>
    <x v="1"/>
    <x v="0"/>
    <x v="0"/>
    <s v="Andalucía"/>
    <x v="0"/>
    <n v="1"/>
    <n v="99.98"/>
    <n v="0"/>
  </r>
  <r>
    <s v="ORD-101600"/>
    <x v="635"/>
    <x v="4"/>
    <x v="4"/>
    <n v="1"/>
    <n v="349.99"/>
    <x v="4"/>
    <n v="279.99"/>
    <n v="279.99"/>
    <x v="3"/>
    <x v="1"/>
    <x v="1"/>
    <x v="11"/>
    <s v="Cataluña"/>
    <x v="2"/>
    <m/>
    <n v="349.99"/>
    <n v="70"/>
  </r>
  <r>
    <s v="ORD-101601"/>
    <x v="164"/>
    <x v="29"/>
    <x v="0"/>
    <n v="3"/>
    <n v="129.99"/>
    <x v="1"/>
    <n v="129.99"/>
    <n v="389.97"/>
    <x v="0"/>
    <x v="2"/>
    <x v="0"/>
    <x v="9"/>
    <s v="Asturias"/>
    <x v="1"/>
    <n v="3"/>
    <n v="389.97"/>
    <n v="0"/>
  </r>
  <r>
    <s v="ORD-101602"/>
    <x v="470"/>
    <x v="25"/>
    <x v="4"/>
    <n v="4"/>
    <n v="34.99"/>
    <x v="0"/>
    <n v="29.74"/>
    <n v="118.96"/>
    <x v="0"/>
    <x v="1"/>
    <x v="0"/>
    <x v="8"/>
    <s v="La Rioja"/>
    <x v="1"/>
    <n v="1"/>
    <n v="139.96"/>
    <n v="21.000000000000014"/>
  </r>
  <r>
    <s v="ORD-101603"/>
    <x v="642"/>
    <x v="6"/>
    <x v="0"/>
    <n v="5"/>
    <n v="89.99"/>
    <x v="0"/>
    <n v="76.489999999999995"/>
    <n v="382.45"/>
    <x v="1"/>
    <x v="0"/>
    <x v="0"/>
    <x v="10"/>
    <s v="Cantabria"/>
    <x v="1"/>
    <m/>
    <n v="449.95"/>
    <n v="67.5"/>
  </r>
  <r>
    <s v="ORD-101604"/>
    <x v="121"/>
    <x v="27"/>
    <x v="1"/>
    <n v="2"/>
    <n v="49.99"/>
    <x v="1"/>
    <n v="49.99"/>
    <n v="99.98"/>
    <x v="1"/>
    <x v="0"/>
    <x v="2"/>
    <x v="2"/>
    <s v="Navarra"/>
    <x v="1"/>
    <m/>
    <n v="99.98"/>
    <n v="0"/>
  </r>
  <r>
    <s v="ORD-101605"/>
    <x v="442"/>
    <x v="8"/>
    <x v="2"/>
    <n v="3"/>
    <n v="59.99"/>
    <x v="2"/>
    <n v="56.99"/>
    <n v="170.97"/>
    <x v="0"/>
    <x v="0"/>
    <x v="3"/>
    <x v="3"/>
    <s v="Comunidad de Madrid"/>
    <x v="2"/>
    <n v="1"/>
    <n v="179.97"/>
    <n v="9"/>
  </r>
  <r>
    <s v="ORD-101606"/>
    <x v="418"/>
    <x v="9"/>
    <x v="2"/>
    <n v="5"/>
    <n v="29.99"/>
    <x v="2"/>
    <n v="28.49"/>
    <n v="142.44999999999999"/>
    <x v="0"/>
    <x v="0"/>
    <x v="4"/>
    <x v="13"/>
    <s v="Andalucía"/>
    <x v="0"/>
    <n v="5"/>
    <n v="149.94999999999999"/>
    <n v="7.5"/>
  </r>
  <r>
    <s v="ORD-101607"/>
    <x v="156"/>
    <x v="16"/>
    <x v="1"/>
    <n v="3"/>
    <n v="79.989999999999995"/>
    <x v="0"/>
    <n v="67.989999999999995"/>
    <n v="203.97"/>
    <x v="0"/>
    <x v="0"/>
    <x v="4"/>
    <x v="0"/>
    <s v="Andalucía"/>
    <x v="0"/>
    <n v="4"/>
    <n v="239.96999999999997"/>
    <n v="35.999999999999972"/>
  </r>
  <r>
    <s v="ORD-101608"/>
    <x v="331"/>
    <x v="18"/>
    <x v="2"/>
    <n v="5"/>
    <n v="99.99"/>
    <x v="0"/>
    <n v="84.99"/>
    <n v="424.95"/>
    <x v="0"/>
    <x v="1"/>
    <x v="0"/>
    <x v="0"/>
    <s v="Andalucía"/>
    <x v="0"/>
    <n v="2"/>
    <n v="499.95"/>
    <n v="75"/>
  </r>
  <r>
    <s v="ORD-101609"/>
    <x v="201"/>
    <x v="15"/>
    <x v="3"/>
    <n v="4"/>
    <n v="69.989999999999995"/>
    <x v="3"/>
    <n v="62.99"/>
    <n v="251.96"/>
    <x v="0"/>
    <x v="0"/>
    <x v="2"/>
    <x v="5"/>
    <s v="País Vasco"/>
    <x v="0"/>
    <n v="1"/>
    <n v="279.95999999999998"/>
    <n v="27.999999999999972"/>
  </r>
  <r>
    <s v="ORD-101610"/>
    <x v="643"/>
    <x v="5"/>
    <x v="1"/>
    <n v="2"/>
    <n v="149.99"/>
    <x v="1"/>
    <n v="149.99"/>
    <n v="299.98"/>
    <x v="2"/>
    <x v="1"/>
    <x v="0"/>
    <x v="12"/>
    <s v="Región de Murcia"/>
    <x v="1"/>
    <m/>
    <n v="299.98"/>
    <n v="0"/>
  </r>
  <r>
    <s v="ORD-101611"/>
    <x v="307"/>
    <x v="27"/>
    <x v="1"/>
    <n v="4"/>
    <n v="49.99"/>
    <x v="3"/>
    <n v="44.99"/>
    <n v="179.96"/>
    <x v="1"/>
    <x v="2"/>
    <x v="0"/>
    <x v="1"/>
    <s v="Comunitat Valenciana"/>
    <x v="1"/>
    <m/>
    <n v="199.96"/>
    <n v="20"/>
  </r>
  <r>
    <s v="ORD-101612"/>
    <x v="383"/>
    <x v="7"/>
    <x v="3"/>
    <n v="4"/>
    <n v="19.989999999999998"/>
    <x v="1"/>
    <n v="19.989999999999998"/>
    <n v="79.959999999999994"/>
    <x v="1"/>
    <x v="0"/>
    <x v="0"/>
    <x v="8"/>
    <s v="La Rioja"/>
    <x v="1"/>
    <m/>
    <n v="79.959999999999994"/>
    <n v="0"/>
  </r>
  <r>
    <s v="ORD-101613"/>
    <x v="170"/>
    <x v="27"/>
    <x v="1"/>
    <n v="4"/>
    <n v="49.99"/>
    <x v="4"/>
    <n v="39.99"/>
    <n v="159.96"/>
    <x v="0"/>
    <x v="0"/>
    <x v="3"/>
    <x v="10"/>
    <s v="Cantabria"/>
    <x v="1"/>
    <n v="4"/>
    <n v="199.96"/>
    <n v="40"/>
  </r>
  <r>
    <s v="ORD-101614"/>
    <x v="44"/>
    <x v="16"/>
    <x v="1"/>
    <n v="3"/>
    <n v="79.989999999999995"/>
    <x v="0"/>
    <n v="67.989999999999995"/>
    <n v="203.97"/>
    <x v="0"/>
    <x v="1"/>
    <x v="3"/>
    <x v="12"/>
    <s v="Región de Murcia"/>
    <x v="1"/>
    <n v="1"/>
    <n v="239.96999999999997"/>
    <n v="35.999999999999972"/>
  </r>
  <r>
    <s v="ORD-101615"/>
    <x v="349"/>
    <x v="3"/>
    <x v="3"/>
    <n v="1"/>
    <n v="34.99"/>
    <x v="2"/>
    <n v="33.24"/>
    <n v="33.24"/>
    <x v="0"/>
    <x v="0"/>
    <x v="1"/>
    <x v="3"/>
    <s v="Comunidad de Madrid"/>
    <x v="2"/>
    <n v="2"/>
    <n v="34.99"/>
    <n v="1.75"/>
  </r>
  <r>
    <s v="ORD-101616"/>
    <x v="291"/>
    <x v="26"/>
    <x v="1"/>
    <n v="1"/>
    <n v="599.99"/>
    <x v="1"/>
    <n v="599.99"/>
    <n v="599.99"/>
    <x v="2"/>
    <x v="0"/>
    <x v="2"/>
    <x v="12"/>
    <s v="Región de Murcia"/>
    <x v="1"/>
    <m/>
    <n v="599.99"/>
    <n v="0"/>
  </r>
  <r>
    <s v="ORD-101617"/>
    <x v="408"/>
    <x v="11"/>
    <x v="0"/>
    <n v="5"/>
    <n v="349.99"/>
    <x v="2"/>
    <n v="332.49"/>
    <n v="1662.45"/>
    <x v="0"/>
    <x v="0"/>
    <x v="4"/>
    <x v="5"/>
    <s v="País Vasco"/>
    <x v="0"/>
    <n v="3"/>
    <n v="1749.95"/>
    <n v="87.5"/>
  </r>
  <r>
    <s v="ORD-101618"/>
    <x v="94"/>
    <x v="24"/>
    <x v="3"/>
    <n v="5"/>
    <n v="89.99"/>
    <x v="1"/>
    <n v="89.99"/>
    <n v="449.95"/>
    <x v="0"/>
    <x v="0"/>
    <x v="3"/>
    <x v="6"/>
    <s v="Comunitat Valenciana"/>
    <x v="0"/>
    <n v="2"/>
    <n v="449.95"/>
    <n v="0"/>
  </r>
  <r>
    <s v="ORD-101619"/>
    <x v="413"/>
    <x v="2"/>
    <x v="2"/>
    <n v="3"/>
    <n v="299.99"/>
    <x v="3"/>
    <n v="269.99"/>
    <n v="809.97"/>
    <x v="1"/>
    <x v="1"/>
    <x v="4"/>
    <x v="12"/>
    <s v="Región de Murcia"/>
    <x v="1"/>
    <m/>
    <n v="899.97"/>
    <n v="90"/>
  </r>
  <r>
    <s v="ORD-101620"/>
    <x v="305"/>
    <x v="29"/>
    <x v="0"/>
    <n v="5"/>
    <n v="129.99"/>
    <x v="0"/>
    <n v="110.49"/>
    <n v="552.45000000000005"/>
    <x v="2"/>
    <x v="0"/>
    <x v="0"/>
    <x v="3"/>
    <s v="Comunidad de Madrid"/>
    <x v="2"/>
    <m/>
    <n v="649.95000000000005"/>
    <n v="97.5"/>
  </r>
  <r>
    <s v="ORD-101621"/>
    <x v="644"/>
    <x v="6"/>
    <x v="0"/>
    <n v="1"/>
    <n v="89.99"/>
    <x v="1"/>
    <n v="89.99"/>
    <n v="89.99"/>
    <x v="1"/>
    <x v="1"/>
    <x v="3"/>
    <x v="0"/>
    <s v="Andalucía"/>
    <x v="0"/>
    <m/>
    <n v="89.99"/>
    <n v="0"/>
  </r>
  <r>
    <s v="ORD-101622"/>
    <x v="66"/>
    <x v="0"/>
    <x v="0"/>
    <n v="1"/>
    <n v="45.99"/>
    <x v="3"/>
    <n v="41.39"/>
    <n v="41.39"/>
    <x v="0"/>
    <x v="0"/>
    <x v="1"/>
    <x v="6"/>
    <s v="Comunitat Valenciana"/>
    <x v="0"/>
    <n v="2"/>
    <n v="45.99"/>
    <n v="4.6000000000000014"/>
  </r>
  <r>
    <s v="ORD-101623"/>
    <x v="233"/>
    <x v="9"/>
    <x v="2"/>
    <n v="1"/>
    <n v="29.99"/>
    <x v="1"/>
    <n v="29.99"/>
    <n v="29.99"/>
    <x v="0"/>
    <x v="2"/>
    <x v="3"/>
    <x v="8"/>
    <s v="La Rioja"/>
    <x v="1"/>
    <n v="3"/>
    <n v="29.99"/>
    <n v="0"/>
  </r>
  <r>
    <s v="ORD-101624"/>
    <x v="533"/>
    <x v="27"/>
    <x v="1"/>
    <n v="4"/>
    <n v="49.99"/>
    <x v="1"/>
    <n v="49.99"/>
    <n v="199.96"/>
    <x v="0"/>
    <x v="1"/>
    <x v="0"/>
    <x v="9"/>
    <s v="Asturias"/>
    <x v="1"/>
    <n v="2"/>
    <n v="199.96"/>
    <n v="0"/>
  </r>
  <r>
    <s v="ORD-101625"/>
    <x v="323"/>
    <x v="10"/>
    <x v="2"/>
    <n v="2"/>
    <n v="69.989999999999995"/>
    <x v="1"/>
    <n v="69.989999999999995"/>
    <n v="139.97999999999999"/>
    <x v="0"/>
    <x v="0"/>
    <x v="1"/>
    <x v="1"/>
    <s v="Comunitat Valenciana"/>
    <x v="1"/>
    <n v="5"/>
    <n v="139.97999999999999"/>
    <n v="0"/>
  </r>
  <r>
    <s v="ORD-101626"/>
    <x v="266"/>
    <x v="18"/>
    <x v="2"/>
    <n v="4"/>
    <n v="99.99"/>
    <x v="1"/>
    <n v="99.99"/>
    <n v="399.96"/>
    <x v="0"/>
    <x v="1"/>
    <x v="0"/>
    <x v="8"/>
    <s v="La Rioja"/>
    <x v="1"/>
    <n v="5"/>
    <n v="399.96"/>
    <n v="0"/>
  </r>
  <r>
    <s v="ORD-101627"/>
    <x v="262"/>
    <x v="22"/>
    <x v="4"/>
    <n v="4"/>
    <n v="44.99"/>
    <x v="1"/>
    <n v="44.99"/>
    <n v="179.96"/>
    <x v="0"/>
    <x v="0"/>
    <x v="0"/>
    <x v="2"/>
    <s v="Navarra"/>
    <x v="1"/>
    <n v="5"/>
    <n v="179.96"/>
    <n v="0"/>
  </r>
  <r>
    <s v="ORD-101628"/>
    <x v="489"/>
    <x v="11"/>
    <x v="0"/>
    <n v="2"/>
    <n v="349.99"/>
    <x v="2"/>
    <n v="332.49"/>
    <n v="664.98"/>
    <x v="2"/>
    <x v="0"/>
    <x v="4"/>
    <x v="14"/>
    <s v="Aragón"/>
    <x v="0"/>
    <m/>
    <n v="699.98"/>
    <n v="35"/>
  </r>
  <r>
    <s v="ORD-101629"/>
    <x v="600"/>
    <x v="14"/>
    <x v="1"/>
    <n v="4"/>
    <n v="249.99"/>
    <x v="2"/>
    <n v="237.49"/>
    <n v="949.96"/>
    <x v="1"/>
    <x v="0"/>
    <x v="1"/>
    <x v="14"/>
    <s v="Aragón"/>
    <x v="0"/>
    <m/>
    <n v="999.96"/>
    <n v="50"/>
  </r>
  <r>
    <s v="ORD-101630"/>
    <x v="192"/>
    <x v="5"/>
    <x v="1"/>
    <n v="4"/>
    <n v="149.99"/>
    <x v="2"/>
    <n v="142.49"/>
    <n v="569.96"/>
    <x v="1"/>
    <x v="1"/>
    <x v="0"/>
    <x v="10"/>
    <s v="Cantabria"/>
    <x v="1"/>
    <m/>
    <n v="599.96"/>
    <n v="30"/>
  </r>
  <r>
    <s v="ORD-101631"/>
    <x v="420"/>
    <x v="24"/>
    <x v="3"/>
    <n v="5"/>
    <n v="89.99"/>
    <x v="1"/>
    <n v="89.99"/>
    <n v="449.95"/>
    <x v="2"/>
    <x v="0"/>
    <x v="0"/>
    <x v="8"/>
    <s v="La Rioja"/>
    <x v="1"/>
    <m/>
    <n v="449.95"/>
    <n v="0"/>
  </r>
  <r>
    <s v="ORD-101632"/>
    <x v="375"/>
    <x v="25"/>
    <x v="4"/>
    <n v="3"/>
    <n v="34.99"/>
    <x v="0"/>
    <n v="29.74"/>
    <n v="89.22"/>
    <x v="0"/>
    <x v="1"/>
    <x v="3"/>
    <x v="13"/>
    <s v="Andalucía"/>
    <x v="0"/>
    <n v="3"/>
    <n v="104.97"/>
    <n v="15.75"/>
  </r>
  <r>
    <s v="ORD-101633"/>
    <x v="298"/>
    <x v="0"/>
    <x v="0"/>
    <n v="5"/>
    <n v="45.99"/>
    <x v="2"/>
    <n v="43.69"/>
    <n v="218.45"/>
    <x v="1"/>
    <x v="0"/>
    <x v="3"/>
    <x v="6"/>
    <s v="Comunitat Valenciana"/>
    <x v="0"/>
    <m/>
    <n v="229.95000000000002"/>
    <n v="11.500000000000028"/>
  </r>
  <r>
    <s v="ORD-101634"/>
    <x v="219"/>
    <x v="18"/>
    <x v="2"/>
    <n v="3"/>
    <n v="99.99"/>
    <x v="0"/>
    <n v="84.99"/>
    <n v="254.97"/>
    <x v="0"/>
    <x v="1"/>
    <x v="4"/>
    <x v="1"/>
    <s v="Comunitat Valenciana"/>
    <x v="1"/>
    <n v="2"/>
    <n v="299.96999999999997"/>
    <n v="44.999999999999972"/>
  </r>
  <r>
    <s v="ORD-101635"/>
    <x v="495"/>
    <x v="15"/>
    <x v="3"/>
    <n v="2"/>
    <n v="69.989999999999995"/>
    <x v="0"/>
    <n v="59.49"/>
    <n v="118.98"/>
    <x v="4"/>
    <x v="0"/>
    <x v="3"/>
    <x v="0"/>
    <s v="Andalucía"/>
    <x v="0"/>
    <m/>
    <n v="139.97999999999999"/>
    <n v="20.999999999999986"/>
  </r>
  <r>
    <s v="ORD-101636"/>
    <x v="506"/>
    <x v="1"/>
    <x v="1"/>
    <n v="3"/>
    <n v="399.99"/>
    <x v="1"/>
    <n v="399.99"/>
    <n v="1199.97"/>
    <x v="0"/>
    <x v="2"/>
    <x v="3"/>
    <x v="14"/>
    <s v="Aragón"/>
    <x v="0"/>
    <n v="1"/>
    <n v="1199.97"/>
    <n v="0"/>
  </r>
  <r>
    <s v="ORD-101637"/>
    <x v="22"/>
    <x v="7"/>
    <x v="3"/>
    <n v="1"/>
    <n v="19.989999999999998"/>
    <x v="0"/>
    <n v="16.989999999999998"/>
    <n v="16.989999999999998"/>
    <x v="0"/>
    <x v="0"/>
    <x v="4"/>
    <x v="12"/>
    <s v="Región de Murcia"/>
    <x v="1"/>
    <n v="3"/>
    <n v="19.989999999999998"/>
    <n v="3"/>
  </r>
  <r>
    <s v="ORD-101638"/>
    <x v="232"/>
    <x v="9"/>
    <x v="2"/>
    <n v="1"/>
    <n v="29.99"/>
    <x v="3"/>
    <n v="26.99"/>
    <n v="26.99"/>
    <x v="2"/>
    <x v="1"/>
    <x v="3"/>
    <x v="8"/>
    <s v="La Rioja"/>
    <x v="1"/>
    <m/>
    <n v="29.99"/>
    <n v="3"/>
  </r>
  <r>
    <s v="ORD-101639"/>
    <x v="149"/>
    <x v="9"/>
    <x v="2"/>
    <n v="4"/>
    <n v="29.99"/>
    <x v="2"/>
    <n v="28.49"/>
    <n v="113.96"/>
    <x v="0"/>
    <x v="2"/>
    <x v="1"/>
    <x v="10"/>
    <s v="Cantabria"/>
    <x v="1"/>
    <n v="1"/>
    <n v="119.96"/>
    <n v="6"/>
  </r>
  <r>
    <s v="ORD-101640"/>
    <x v="637"/>
    <x v="15"/>
    <x v="3"/>
    <n v="1"/>
    <n v="69.989999999999995"/>
    <x v="3"/>
    <n v="62.99"/>
    <n v="62.99"/>
    <x v="2"/>
    <x v="1"/>
    <x v="0"/>
    <x v="6"/>
    <s v="Comunitat Valenciana"/>
    <x v="0"/>
    <m/>
    <n v="69.989999999999995"/>
    <n v="6.9999999999999929"/>
  </r>
  <r>
    <s v="ORD-101641"/>
    <x v="541"/>
    <x v="6"/>
    <x v="0"/>
    <n v="4"/>
    <n v="89.99"/>
    <x v="4"/>
    <n v="71.989999999999995"/>
    <n v="287.95999999999998"/>
    <x v="2"/>
    <x v="0"/>
    <x v="1"/>
    <x v="3"/>
    <s v="Comunidad de Madrid"/>
    <x v="2"/>
    <m/>
    <n v="359.96"/>
    <n v="72"/>
  </r>
  <r>
    <s v="ORD-101642"/>
    <x v="34"/>
    <x v="0"/>
    <x v="0"/>
    <n v="5"/>
    <n v="45.99"/>
    <x v="1"/>
    <n v="45.99"/>
    <n v="229.95"/>
    <x v="4"/>
    <x v="1"/>
    <x v="1"/>
    <x v="0"/>
    <s v="Andalucía"/>
    <x v="0"/>
    <m/>
    <n v="229.95000000000002"/>
    <n v="0"/>
  </r>
  <r>
    <s v="ORD-101643"/>
    <x v="257"/>
    <x v="25"/>
    <x v="4"/>
    <n v="3"/>
    <n v="34.99"/>
    <x v="0"/>
    <n v="29.74"/>
    <n v="89.22"/>
    <x v="0"/>
    <x v="1"/>
    <x v="3"/>
    <x v="1"/>
    <s v="Comunitat Valenciana"/>
    <x v="1"/>
    <n v="1"/>
    <n v="104.97"/>
    <n v="15.75"/>
  </r>
  <r>
    <s v="ORD-101644"/>
    <x v="645"/>
    <x v="20"/>
    <x v="3"/>
    <n v="4"/>
    <n v="39.99"/>
    <x v="4"/>
    <n v="31.99"/>
    <n v="127.96"/>
    <x v="1"/>
    <x v="0"/>
    <x v="2"/>
    <x v="3"/>
    <s v="Comunidad de Madrid"/>
    <x v="2"/>
    <m/>
    <n v="159.96"/>
    <n v="32.000000000000014"/>
  </r>
  <r>
    <s v="ORD-101645"/>
    <x v="458"/>
    <x v="11"/>
    <x v="0"/>
    <n v="3"/>
    <n v="349.99"/>
    <x v="1"/>
    <n v="349.99"/>
    <n v="1049.97"/>
    <x v="0"/>
    <x v="0"/>
    <x v="0"/>
    <x v="3"/>
    <s v="Comunidad de Madrid"/>
    <x v="2"/>
    <n v="5"/>
    <n v="1049.97"/>
    <n v="0"/>
  </r>
  <r>
    <s v="ORD-101646"/>
    <x v="373"/>
    <x v="29"/>
    <x v="0"/>
    <n v="1"/>
    <n v="129.99"/>
    <x v="1"/>
    <n v="129.99"/>
    <n v="129.99"/>
    <x v="0"/>
    <x v="0"/>
    <x v="3"/>
    <x v="14"/>
    <s v="Aragón"/>
    <x v="0"/>
    <n v="1"/>
    <n v="129.99"/>
    <n v="0"/>
  </r>
  <r>
    <s v="ORD-101647"/>
    <x v="552"/>
    <x v="22"/>
    <x v="4"/>
    <n v="4"/>
    <n v="44.99"/>
    <x v="1"/>
    <n v="44.99"/>
    <n v="179.96"/>
    <x v="0"/>
    <x v="0"/>
    <x v="0"/>
    <x v="11"/>
    <s v="Cataluña"/>
    <x v="2"/>
    <n v="3"/>
    <n v="179.96"/>
    <n v="0"/>
  </r>
  <r>
    <s v="ORD-101648"/>
    <x v="437"/>
    <x v="9"/>
    <x v="2"/>
    <n v="1"/>
    <n v="29.99"/>
    <x v="4"/>
    <n v="23.99"/>
    <n v="23.99"/>
    <x v="0"/>
    <x v="0"/>
    <x v="3"/>
    <x v="3"/>
    <s v="Comunidad de Madrid"/>
    <x v="2"/>
    <n v="1"/>
    <n v="29.99"/>
    <n v="6"/>
  </r>
  <r>
    <s v="ORD-101649"/>
    <x v="12"/>
    <x v="13"/>
    <x v="3"/>
    <n v="2"/>
    <n v="49.99"/>
    <x v="0"/>
    <n v="42.49"/>
    <n v="84.98"/>
    <x v="1"/>
    <x v="0"/>
    <x v="3"/>
    <x v="6"/>
    <s v="Comunitat Valenciana"/>
    <x v="0"/>
    <m/>
    <n v="99.98"/>
    <n v="15"/>
  </r>
  <r>
    <s v="ORD-101650"/>
    <x v="439"/>
    <x v="29"/>
    <x v="0"/>
    <n v="3"/>
    <n v="129.99"/>
    <x v="1"/>
    <n v="129.99"/>
    <n v="389.97"/>
    <x v="0"/>
    <x v="0"/>
    <x v="0"/>
    <x v="13"/>
    <s v="Andalucía"/>
    <x v="0"/>
    <n v="2"/>
    <n v="389.97"/>
    <n v="0"/>
  </r>
  <r>
    <s v="ORD-101651"/>
    <x v="169"/>
    <x v="13"/>
    <x v="3"/>
    <n v="3"/>
    <n v="49.99"/>
    <x v="0"/>
    <n v="42.49"/>
    <n v="127.47"/>
    <x v="0"/>
    <x v="1"/>
    <x v="3"/>
    <x v="11"/>
    <s v="Cataluña"/>
    <x v="2"/>
    <n v="3"/>
    <n v="149.97"/>
    <n v="22.5"/>
  </r>
  <r>
    <s v="ORD-101652"/>
    <x v="260"/>
    <x v="14"/>
    <x v="1"/>
    <n v="4"/>
    <n v="249.99"/>
    <x v="4"/>
    <n v="199.99"/>
    <n v="799.96"/>
    <x v="1"/>
    <x v="0"/>
    <x v="4"/>
    <x v="8"/>
    <s v="La Rioja"/>
    <x v="1"/>
    <m/>
    <n v="999.96"/>
    <n v="200"/>
  </r>
  <r>
    <s v="ORD-101653"/>
    <x v="577"/>
    <x v="20"/>
    <x v="3"/>
    <n v="2"/>
    <n v="39.99"/>
    <x v="3"/>
    <n v="35.99"/>
    <n v="71.98"/>
    <x v="0"/>
    <x v="0"/>
    <x v="1"/>
    <x v="10"/>
    <s v="Cantabria"/>
    <x v="1"/>
    <n v="3"/>
    <n v="79.98"/>
    <n v="8"/>
  </r>
  <r>
    <s v="ORD-101654"/>
    <x v="590"/>
    <x v="24"/>
    <x v="3"/>
    <n v="5"/>
    <n v="89.99"/>
    <x v="3"/>
    <n v="80.989999999999995"/>
    <n v="404.95"/>
    <x v="2"/>
    <x v="0"/>
    <x v="3"/>
    <x v="2"/>
    <s v="Navarra"/>
    <x v="1"/>
    <m/>
    <n v="449.95"/>
    <n v="45"/>
  </r>
  <r>
    <s v="ORD-101655"/>
    <x v="431"/>
    <x v="7"/>
    <x v="3"/>
    <n v="2"/>
    <n v="19.989999999999998"/>
    <x v="2"/>
    <n v="18.989999999999998"/>
    <n v="37.979999999999997"/>
    <x v="0"/>
    <x v="0"/>
    <x v="1"/>
    <x v="4"/>
    <s v="Castilla y León"/>
    <x v="1"/>
    <n v="2"/>
    <n v="39.979999999999997"/>
    <n v="2"/>
  </r>
  <r>
    <s v="ORD-101656"/>
    <x v="60"/>
    <x v="11"/>
    <x v="0"/>
    <n v="4"/>
    <n v="349.99"/>
    <x v="3"/>
    <n v="314.99"/>
    <n v="1259.96"/>
    <x v="0"/>
    <x v="0"/>
    <x v="3"/>
    <x v="1"/>
    <s v="Comunitat Valenciana"/>
    <x v="1"/>
    <n v="1"/>
    <n v="1399.96"/>
    <n v="140"/>
  </r>
  <r>
    <s v="ORD-101657"/>
    <x v="342"/>
    <x v="2"/>
    <x v="2"/>
    <n v="1"/>
    <n v="299.99"/>
    <x v="0"/>
    <n v="254.99"/>
    <n v="254.99"/>
    <x v="0"/>
    <x v="0"/>
    <x v="3"/>
    <x v="4"/>
    <s v="Castilla y León"/>
    <x v="1"/>
    <n v="3"/>
    <n v="299.99"/>
    <n v="45"/>
  </r>
  <r>
    <s v="ORD-101658"/>
    <x v="646"/>
    <x v="9"/>
    <x v="2"/>
    <n v="1"/>
    <n v="29.99"/>
    <x v="1"/>
    <n v="29.99"/>
    <n v="29.99"/>
    <x v="3"/>
    <x v="0"/>
    <x v="3"/>
    <x v="5"/>
    <s v="País Vasco"/>
    <x v="0"/>
    <m/>
    <n v="29.99"/>
    <n v="0"/>
  </r>
  <r>
    <s v="ORD-101659"/>
    <x v="589"/>
    <x v="26"/>
    <x v="1"/>
    <n v="5"/>
    <n v="599.99"/>
    <x v="2"/>
    <n v="569.99"/>
    <n v="2849.95"/>
    <x v="0"/>
    <x v="0"/>
    <x v="3"/>
    <x v="10"/>
    <s v="Cantabria"/>
    <x v="1"/>
    <n v="2"/>
    <n v="2999.95"/>
    <n v="150"/>
  </r>
  <r>
    <s v="ORD-101660"/>
    <x v="584"/>
    <x v="10"/>
    <x v="2"/>
    <n v="3"/>
    <n v="69.989999999999995"/>
    <x v="3"/>
    <n v="62.99"/>
    <n v="188.97"/>
    <x v="0"/>
    <x v="0"/>
    <x v="0"/>
    <x v="9"/>
    <s v="Asturias"/>
    <x v="1"/>
    <n v="2"/>
    <n v="209.96999999999997"/>
    <n v="20.999999999999972"/>
  </r>
  <r>
    <s v="ORD-101661"/>
    <x v="410"/>
    <x v="0"/>
    <x v="0"/>
    <n v="4"/>
    <n v="45.99"/>
    <x v="2"/>
    <n v="43.69"/>
    <n v="174.76"/>
    <x v="1"/>
    <x v="0"/>
    <x v="0"/>
    <x v="1"/>
    <s v="Comunitat Valenciana"/>
    <x v="1"/>
    <m/>
    <n v="183.96"/>
    <n v="9.2000000000000171"/>
  </r>
  <r>
    <s v="ORD-101662"/>
    <x v="610"/>
    <x v="29"/>
    <x v="0"/>
    <n v="3"/>
    <n v="129.99"/>
    <x v="3"/>
    <n v="116.99"/>
    <n v="350.97"/>
    <x v="4"/>
    <x v="0"/>
    <x v="4"/>
    <x v="7"/>
    <s v="Castilla y León"/>
    <x v="1"/>
    <m/>
    <n v="389.97"/>
    <n v="39"/>
  </r>
  <r>
    <s v="ORD-101663"/>
    <x v="304"/>
    <x v="11"/>
    <x v="0"/>
    <n v="3"/>
    <n v="349.99"/>
    <x v="4"/>
    <n v="279.99"/>
    <n v="839.97"/>
    <x v="3"/>
    <x v="0"/>
    <x v="1"/>
    <x v="11"/>
    <s v="Cataluña"/>
    <x v="2"/>
    <m/>
    <n v="1049.97"/>
    <n v="210"/>
  </r>
  <r>
    <s v="ORD-101664"/>
    <x v="647"/>
    <x v="26"/>
    <x v="1"/>
    <n v="4"/>
    <n v="599.99"/>
    <x v="1"/>
    <n v="599.99"/>
    <n v="2399.96"/>
    <x v="0"/>
    <x v="0"/>
    <x v="2"/>
    <x v="9"/>
    <s v="Asturias"/>
    <x v="1"/>
    <n v="3"/>
    <n v="2399.96"/>
    <n v="0"/>
  </r>
  <r>
    <s v="ORD-101665"/>
    <x v="500"/>
    <x v="6"/>
    <x v="0"/>
    <n v="2"/>
    <n v="89.99"/>
    <x v="1"/>
    <n v="89.99"/>
    <n v="179.98"/>
    <x v="2"/>
    <x v="0"/>
    <x v="0"/>
    <x v="13"/>
    <s v="Andalucía"/>
    <x v="0"/>
    <m/>
    <n v="179.98"/>
    <n v="0"/>
  </r>
  <r>
    <s v="ORD-101666"/>
    <x v="298"/>
    <x v="5"/>
    <x v="1"/>
    <n v="3"/>
    <n v="149.99"/>
    <x v="1"/>
    <n v="149.99"/>
    <n v="449.97"/>
    <x v="0"/>
    <x v="0"/>
    <x v="3"/>
    <x v="14"/>
    <s v="Aragón"/>
    <x v="0"/>
    <n v="4"/>
    <n v="449.97"/>
    <n v="0"/>
  </r>
  <r>
    <s v="ORD-101667"/>
    <x v="177"/>
    <x v="21"/>
    <x v="0"/>
    <n v="4"/>
    <n v="799.99"/>
    <x v="0"/>
    <n v="679.99"/>
    <n v="2719.96"/>
    <x v="0"/>
    <x v="1"/>
    <x v="1"/>
    <x v="12"/>
    <s v="Región de Murcia"/>
    <x v="1"/>
    <n v="1"/>
    <n v="3199.96"/>
    <n v="480"/>
  </r>
  <r>
    <s v="ORD-101668"/>
    <x v="648"/>
    <x v="11"/>
    <x v="0"/>
    <n v="3"/>
    <n v="349.99"/>
    <x v="4"/>
    <n v="279.99"/>
    <n v="839.97"/>
    <x v="3"/>
    <x v="2"/>
    <x v="2"/>
    <x v="13"/>
    <s v="Andalucía"/>
    <x v="0"/>
    <m/>
    <n v="1049.97"/>
    <n v="210"/>
  </r>
  <r>
    <s v="ORD-101669"/>
    <x v="120"/>
    <x v="10"/>
    <x v="2"/>
    <n v="4"/>
    <n v="69.989999999999995"/>
    <x v="3"/>
    <n v="62.99"/>
    <n v="251.96"/>
    <x v="0"/>
    <x v="0"/>
    <x v="1"/>
    <x v="11"/>
    <s v="Cataluña"/>
    <x v="2"/>
    <n v="5"/>
    <n v="279.95999999999998"/>
    <n v="27.999999999999972"/>
  </r>
  <r>
    <s v="ORD-101670"/>
    <x v="493"/>
    <x v="28"/>
    <x v="0"/>
    <n v="5"/>
    <n v="499.99"/>
    <x v="1"/>
    <n v="499.99"/>
    <n v="2499.9499999999998"/>
    <x v="1"/>
    <x v="0"/>
    <x v="3"/>
    <x v="14"/>
    <s v="Aragón"/>
    <x v="0"/>
    <m/>
    <n v="2499.9499999999998"/>
    <n v="0"/>
  </r>
  <r>
    <s v="ORD-101671"/>
    <x v="347"/>
    <x v="27"/>
    <x v="1"/>
    <n v="5"/>
    <n v="49.99"/>
    <x v="4"/>
    <n v="39.99"/>
    <n v="199.95"/>
    <x v="0"/>
    <x v="1"/>
    <x v="0"/>
    <x v="11"/>
    <s v="Cataluña"/>
    <x v="2"/>
    <n v="2"/>
    <n v="249.95000000000002"/>
    <n v="50.000000000000028"/>
  </r>
  <r>
    <s v="ORD-101672"/>
    <x v="649"/>
    <x v="21"/>
    <x v="0"/>
    <n v="3"/>
    <n v="799.99"/>
    <x v="2"/>
    <n v="759.99"/>
    <n v="2279.9699999999998"/>
    <x v="0"/>
    <x v="1"/>
    <x v="3"/>
    <x v="13"/>
    <s v="Andalucía"/>
    <x v="0"/>
    <n v="3"/>
    <n v="2399.9700000000003"/>
    <n v="120.00000000000045"/>
  </r>
  <r>
    <s v="ORD-101673"/>
    <x v="109"/>
    <x v="20"/>
    <x v="3"/>
    <n v="4"/>
    <n v="39.99"/>
    <x v="1"/>
    <n v="39.99"/>
    <n v="159.96"/>
    <x v="0"/>
    <x v="0"/>
    <x v="3"/>
    <x v="13"/>
    <s v="Andalucía"/>
    <x v="0"/>
    <n v="5"/>
    <n v="159.96"/>
    <n v="0"/>
  </r>
  <r>
    <s v="ORD-101674"/>
    <x v="501"/>
    <x v="26"/>
    <x v="1"/>
    <n v="1"/>
    <n v="599.99"/>
    <x v="1"/>
    <n v="599.99"/>
    <n v="599.99"/>
    <x v="1"/>
    <x v="1"/>
    <x v="3"/>
    <x v="11"/>
    <s v="Cataluña"/>
    <x v="2"/>
    <m/>
    <n v="599.99"/>
    <n v="0"/>
  </r>
  <r>
    <s v="ORD-101675"/>
    <x v="324"/>
    <x v="29"/>
    <x v="0"/>
    <n v="3"/>
    <n v="129.99"/>
    <x v="1"/>
    <n v="129.99"/>
    <n v="389.97"/>
    <x v="0"/>
    <x v="1"/>
    <x v="0"/>
    <x v="13"/>
    <s v="Andalucía"/>
    <x v="0"/>
    <n v="4"/>
    <n v="389.97"/>
    <n v="0"/>
  </r>
  <r>
    <s v="ORD-101676"/>
    <x v="314"/>
    <x v="18"/>
    <x v="2"/>
    <n v="1"/>
    <n v="99.99"/>
    <x v="1"/>
    <n v="99.99"/>
    <n v="99.99"/>
    <x v="0"/>
    <x v="1"/>
    <x v="1"/>
    <x v="10"/>
    <s v="Cantabria"/>
    <x v="1"/>
    <n v="4"/>
    <n v="99.99"/>
    <n v="0"/>
  </r>
  <r>
    <s v="ORD-101677"/>
    <x v="650"/>
    <x v="15"/>
    <x v="3"/>
    <n v="4"/>
    <n v="69.989999999999995"/>
    <x v="0"/>
    <n v="59.49"/>
    <n v="237.96"/>
    <x v="0"/>
    <x v="3"/>
    <x v="0"/>
    <x v="7"/>
    <s v="Castilla y León"/>
    <x v="1"/>
    <n v="2"/>
    <n v="279.95999999999998"/>
    <n v="41.999999999999972"/>
  </r>
  <r>
    <s v="ORD-101678"/>
    <x v="523"/>
    <x v="5"/>
    <x v="1"/>
    <n v="4"/>
    <n v="149.99"/>
    <x v="4"/>
    <n v="119.99"/>
    <n v="479.96"/>
    <x v="1"/>
    <x v="0"/>
    <x v="4"/>
    <x v="6"/>
    <s v="Comunitat Valenciana"/>
    <x v="0"/>
    <m/>
    <n v="599.96"/>
    <n v="120.00000000000006"/>
  </r>
  <r>
    <s v="ORD-101679"/>
    <x v="81"/>
    <x v="1"/>
    <x v="1"/>
    <n v="3"/>
    <n v="399.99"/>
    <x v="1"/>
    <n v="399.99"/>
    <n v="1199.97"/>
    <x v="0"/>
    <x v="1"/>
    <x v="3"/>
    <x v="1"/>
    <s v="Comunitat Valenciana"/>
    <x v="1"/>
    <n v="1"/>
    <n v="1199.97"/>
    <n v="0"/>
  </r>
  <r>
    <s v="ORD-101680"/>
    <x v="326"/>
    <x v="13"/>
    <x v="3"/>
    <n v="1"/>
    <n v="49.99"/>
    <x v="1"/>
    <n v="49.99"/>
    <n v="49.99"/>
    <x v="2"/>
    <x v="0"/>
    <x v="2"/>
    <x v="12"/>
    <s v="Región de Murcia"/>
    <x v="1"/>
    <m/>
    <n v="49.99"/>
    <n v="0"/>
  </r>
  <r>
    <s v="ORD-101681"/>
    <x v="651"/>
    <x v="15"/>
    <x v="3"/>
    <n v="3"/>
    <n v="69.989999999999995"/>
    <x v="2"/>
    <n v="66.489999999999995"/>
    <n v="199.47"/>
    <x v="0"/>
    <x v="2"/>
    <x v="0"/>
    <x v="5"/>
    <s v="País Vasco"/>
    <x v="0"/>
    <n v="3"/>
    <n v="209.96999999999997"/>
    <n v="10.499999999999972"/>
  </r>
  <r>
    <s v="ORD-101682"/>
    <x v="46"/>
    <x v="13"/>
    <x v="3"/>
    <n v="3"/>
    <n v="49.99"/>
    <x v="2"/>
    <n v="47.49"/>
    <n v="142.47"/>
    <x v="0"/>
    <x v="0"/>
    <x v="0"/>
    <x v="14"/>
    <s v="Aragón"/>
    <x v="0"/>
    <n v="1"/>
    <n v="149.97"/>
    <n v="7.5"/>
  </r>
  <r>
    <s v="ORD-101683"/>
    <x v="641"/>
    <x v="10"/>
    <x v="2"/>
    <n v="1"/>
    <n v="69.989999999999995"/>
    <x v="3"/>
    <n v="62.99"/>
    <n v="62.99"/>
    <x v="1"/>
    <x v="0"/>
    <x v="3"/>
    <x v="0"/>
    <s v="Andalucía"/>
    <x v="0"/>
    <m/>
    <n v="69.989999999999995"/>
    <n v="6.9999999999999929"/>
  </r>
  <r>
    <s v="ORD-101684"/>
    <x v="549"/>
    <x v="10"/>
    <x v="2"/>
    <n v="2"/>
    <n v="69.989999999999995"/>
    <x v="0"/>
    <n v="59.49"/>
    <n v="118.98"/>
    <x v="0"/>
    <x v="0"/>
    <x v="4"/>
    <x v="4"/>
    <s v="Castilla y León"/>
    <x v="1"/>
    <n v="5"/>
    <n v="139.97999999999999"/>
    <n v="20.999999999999986"/>
  </r>
  <r>
    <s v="ORD-101685"/>
    <x v="486"/>
    <x v="22"/>
    <x v="4"/>
    <n v="5"/>
    <n v="44.99"/>
    <x v="3"/>
    <n v="40.49"/>
    <n v="202.45"/>
    <x v="0"/>
    <x v="0"/>
    <x v="0"/>
    <x v="11"/>
    <s v="Cataluña"/>
    <x v="2"/>
    <n v="5"/>
    <n v="224.95000000000002"/>
    <n v="22.500000000000028"/>
  </r>
  <r>
    <s v="ORD-101686"/>
    <x v="652"/>
    <x v="8"/>
    <x v="2"/>
    <n v="1"/>
    <n v="59.99"/>
    <x v="2"/>
    <n v="56.99"/>
    <n v="56.99"/>
    <x v="0"/>
    <x v="0"/>
    <x v="4"/>
    <x v="10"/>
    <s v="Cantabria"/>
    <x v="1"/>
    <n v="3"/>
    <n v="59.99"/>
    <n v="3"/>
  </r>
  <r>
    <s v="ORD-101687"/>
    <x v="314"/>
    <x v="20"/>
    <x v="3"/>
    <n v="1"/>
    <n v="39.99"/>
    <x v="1"/>
    <n v="39.99"/>
    <n v="39.99"/>
    <x v="3"/>
    <x v="1"/>
    <x v="1"/>
    <x v="5"/>
    <s v="País Vasco"/>
    <x v="0"/>
    <m/>
    <n v="39.99"/>
    <n v="0"/>
  </r>
  <r>
    <s v="ORD-101688"/>
    <x v="200"/>
    <x v="25"/>
    <x v="4"/>
    <n v="4"/>
    <n v="34.99"/>
    <x v="1"/>
    <n v="34.99"/>
    <n v="139.96"/>
    <x v="1"/>
    <x v="0"/>
    <x v="0"/>
    <x v="1"/>
    <s v="Comunitat Valenciana"/>
    <x v="1"/>
    <m/>
    <n v="139.96"/>
    <n v="0"/>
  </r>
  <r>
    <s v="ORD-101689"/>
    <x v="106"/>
    <x v="5"/>
    <x v="1"/>
    <n v="2"/>
    <n v="149.99"/>
    <x v="0"/>
    <n v="127.49"/>
    <n v="254.98"/>
    <x v="1"/>
    <x v="1"/>
    <x v="0"/>
    <x v="14"/>
    <s v="Aragón"/>
    <x v="0"/>
    <m/>
    <n v="299.98"/>
    <n v="45.000000000000028"/>
  </r>
  <r>
    <s v="ORD-101690"/>
    <x v="653"/>
    <x v="7"/>
    <x v="3"/>
    <n v="2"/>
    <n v="19.989999999999998"/>
    <x v="1"/>
    <n v="19.989999999999998"/>
    <n v="39.979999999999997"/>
    <x v="0"/>
    <x v="1"/>
    <x v="4"/>
    <x v="3"/>
    <s v="Comunidad de Madrid"/>
    <x v="2"/>
    <n v="3"/>
    <n v="39.979999999999997"/>
    <n v="0"/>
  </r>
  <r>
    <s v="ORD-101691"/>
    <x v="625"/>
    <x v="19"/>
    <x v="0"/>
    <n v="4"/>
    <n v="1199.99"/>
    <x v="1"/>
    <n v="1199.99"/>
    <n v="4799.96"/>
    <x v="0"/>
    <x v="1"/>
    <x v="0"/>
    <x v="13"/>
    <s v="Andalucía"/>
    <x v="0"/>
    <n v="4"/>
    <n v="4799.96"/>
    <n v="0"/>
  </r>
  <r>
    <s v="ORD-101692"/>
    <x v="444"/>
    <x v="8"/>
    <x v="2"/>
    <n v="3"/>
    <n v="59.99"/>
    <x v="1"/>
    <n v="59.99"/>
    <n v="179.97"/>
    <x v="0"/>
    <x v="1"/>
    <x v="0"/>
    <x v="3"/>
    <s v="Comunidad de Madrid"/>
    <x v="2"/>
    <n v="5"/>
    <n v="179.97"/>
    <n v="0"/>
  </r>
  <r>
    <s v="ORD-101693"/>
    <x v="460"/>
    <x v="10"/>
    <x v="2"/>
    <n v="5"/>
    <n v="69.989999999999995"/>
    <x v="4"/>
    <n v="55.99"/>
    <n v="279.95"/>
    <x v="0"/>
    <x v="1"/>
    <x v="0"/>
    <x v="13"/>
    <s v="Andalucía"/>
    <x v="0"/>
    <n v="4"/>
    <n v="349.95"/>
    <n v="70"/>
  </r>
  <r>
    <s v="ORD-101694"/>
    <x v="287"/>
    <x v="22"/>
    <x v="4"/>
    <n v="5"/>
    <n v="44.99"/>
    <x v="1"/>
    <n v="44.99"/>
    <n v="224.95"/>
    <x v="0"/>
    <x v="0"/>
    <x v="3"/>
    <x v="14"/>
    <s v="Aragón"/>
    <x v="0"/>
    <n v="4"/>
    <n v="224.95000000000002"/>
    <n v="0"/>
  </r>
  <r>
    <s v="ORD-101695"/>
    <x v="221"/>
    <x v="21"/>
    <x v="0"/>
    <n v="5"/>
    <n v="799.99"/>
    <x v="0"/>
    <n v="679.99"/>
    <n v="3399.95"/>
    <x v="0"/>
    <x v="0"/>
    <x v="0"/>
    <x v="13"/>
    <s v="Andalucía"/>
    <x v="0"/>
    <n v="5"/>
    <n v="3999.95"/>
    <n v="600"/>
  </r>
  <r>
    <s v="ORD-101696"/>
    <x v="5"/>
    <x v="9"/>
    <x v="2"/>
    <n v="4"/>
    <n v="29.99"/>
    <x v="3"/>
    <n v="26.99"/>
    <n v="107.96"/>
    <x v="4"/>
    <x v="0"/>
    <x v="4"/>
    <x v="11"/>
    <s v="Cataluña"/>
    <x v="2"/>
    <m/>
    <n v="119.96"/>
    <n v="12"/>
  </r>
  <r>
    <s v="ORD-101697"/>
    <x v="654"/>
    <x v="13"/>
    <x v="3"/>
    <n v="3"/>
    <n v="49.99"/>
    <x v="4"/>
    <n v="39.99"/>
    <n v="119.97"/>
    <x v="0"/>
    <x v="1"/>
    <x v="0"/>
    <x v="9"/>
    <s v="Asturias"/>
    <x v="1"/>
    <n v="5"/>
    <n v="149.97"/>
    <n v="30"/>
  </r>
  <r>
    <s v="ORD-101698"/>
    <x v="296"/>
    <x v="27"/>
    <x v="1"/>
    <n v="3"/>
    <n v="49.99"/>
    <x v="3"/>
    <n v="44.99"/>
    <n v="134.97"/>
    <x v="0"/>
    <x v="0"/>
    <x v="4"/>
    <x v="2"/>
    <s v="Navarra"/>
    <x v="1"/>
    <n v="5"/>
    <n v="149.97"/>
    <n v="15"/>
  </r>
  <r>
    <s v="ORD-101699"/>
    <x v="528"/>
    <x v="28"/>
    <x v="0"/>
    <n v="4"/>
    <n v="499.99"/>
    <x v="3"/>
    <n v="449.99"/>
    <n v="1799.96"/>
    <x v="0"/>
    <x v="2"/>
    <x v="0"/>
    <x v="1"/>
    <s v="Comunitat Valenciana"/>
    <x v="1"/>
    <n v="4"/>
    <n v="1999.96"/>
    <n v="200"/>
  </r>
  <r>
    <s v="ORD-101700"/>
    <x v="263"/>
    <x v="21"/>
    <x v="0"/>
    <n v="1"/>
    <n v="799.99"/>
    <x v="3"/>
    <n v="719.99"/>
    <n v="719.99"/>
    <x v="0"/>
    <x v="0"/>
    <x v="1"/>
    <x v="8"/>
    <s v="La Rioja"/>
    <x v="1"/>
    <n v="4"/>
    <n v="799.99"/>
    <n v="80"/>
  </r>
  <r>
    <s v="ORD-101701"/>
    <x v="237"/>
    <x v="3"/>
    <x v="3"/>
    <n v="3"/>
    <n v="34.99"/>
    <x v="4"/>
    <n v="27.99"/>
    <n v="83.97"/>
    <x v="0"/>
    <x v="1"/>
    <x v="0"/>
    <x v="4"/>
    <s v="Castilla y León"/>
    <x v="1"/>
    <n v="3"/>
    <n v="104.97"/>
    <n v="21"/>
  </r>
  <r>
    <s v="ORD-101702"/>
    <x v="333"/>
    <x v="0"/>
    <x v="0"/>
    <n v="3"/>
    <n v="45.99"/>
    <x v="3"/>
    <n v="41.39"/>
    <n v="124.17"/>
    <x v="0"/>
    <x v="0"/>
    <x v="3"/>
    <x v="13"/>
    <s v="Andalucía"/>
    <x v="0"/>
    <n v="4"/>
    <n v="137.97"/>
    <n v="13.799999999999997"/>
  </r>
  <r>
    <s v="ORD-101703"/>
    <x v="439"/>
    <x v="25"/>
    <x v="4"/>
    <n v="4"/>
    <n v="34.99"/>
    <x v="1"/>
    <n v="34.99"/>
    <n v="139.96"/>
    <x v="3"/>
    <x v="0"/>
    <x v="0"/>
    <x v="6"/>
    <s v="Comunitat Valenciana"/>
    <x v="0"/>
    <m/>
    <n v="139.96"/>
    <n v="0"/>
  </r>
  <r>
    <s v="ORD-101704"/>
    <x v="456"/>
    <x v="18"/>
    <x v="2"/>
    <n v="4"/>
    <n v="99.99"/>
    <x v="0"/>
    <n v="84.99"/>
    <n v="339.96"/>
    <x v="0"/>
    <x v="0"/>
    <x v="3"/>
    <x v="4"/>
    <s v="Castilla y León"/>
    <x v="1"/>
    <n v="4"/>
    <n v="399.96"/>
    <n v="60"/>
  </r>
  <r>
    <s v="ORD-101705"/>
    <x v="220"/>
    <x v="3"/>
    <x v="3"/>
    <n v="2"/>
    <n v="34.99"/>
    <x v="0"/>
    <n v="29.74"/>
    <n v="59.48"/>
    <x v="0"/>
    <x v="0"/>
    <x v="1"/>
    <x v="0"/>
    <s v="Andalucía"/>
    <x v="0"/>
    <n v="1"/>
    <n v="69.98"/>
    <n v="10.500000000000007"/>
  </r>
  <r>
    <s v="ORD-101706"/>
    <x v="444"/>
    <x v="1"/>
    <x v="1"/>
    <n v="4"/>
    <n v="399.99"/>
    <x v="1"/>
    <n v="399.99"/>
    <n v="1599.96"/>
    <x v="0"/>
    <x v="0"/>
    <x v="1"/>
    <x v="0"/>
    <s v="Andalucía"/>
    <x v="0"/>
    <n v="1"/>
    <n v="1599.96"/>
    <n v="0"/>
  </r>
  <r>
    <s v="ORD-101707"/>
    <x v="507"/>
    <x v="19"/>
    <x v="0"/>
    <n v="5"/>
    <n v="1199.99"/>
    <x v="4"/>
    <n v="959.99"/>
    <n v="4799.95"/>
    <x v="1"/>
    <x v="1"/>
    <x v="0"/>
    <x v="7"/>
    <s v="Castilla y León"/>
    <x v="1"/>
    <m/>
    <n v="5999.95"/>
    <n v="1200"/>
  </r>
  <r>
    <s v="ORD-101708"/>
    <x v="510"/>
    <x v="26"/>
    <x v="1"/>
    <n v="3"/>
    <n v="599.99"/>
    <x v="0"/>
    <n v="509.99"/>
    <n v="1529.97"/>
    <x v="2"/>
    <x v="1"/>
    <x v="1"/>
    <x v="6"/>
    <s v="Comunitat Valenciana"/>
    <x v="0"/>
    <m/>
    <n v="1799.97"/>
    <n v="270"/>
  </r>
  <r>
    <s v="ORD-101709"/>
    <x v="185"/>
    <x v="24"/>
    <x v="3"/>
    <n v="2"/>
    <n v="89.99"/>
    <x v="1"/>
    <n v="89.99"/>
    <n v="179.98"/>
    <x v="0"/>
    <x v="0"/>
    <x v="3"/>
    <x v="3"/>
    <s v="Comunidad de Madrid"/>
    <x v="2"/>
    <n v="2"/>
    <n v="179.98"/>
    <n v="0"/>
  </r>
  <r>
    <s v="ORD-101710"/>
    <x v="388"/>
    <x v="27"/>
    <x v="1"/>
    <n v="4"/>
    <n v="49.99"/>
    <x v="1"/>
    <n v="49.99"/>
    <n v="199.96"/>
    <x v="1"/>
    <x v="1"/>
    <x v="0"/>
    <x v="12"/>
    <s v="Región de Murcia"/>
    <x v="1"/>
    <m/>
    <n v="199.96"/>
    <n v="0"/>
  </r>
  <r>
    <s v="ORD-101711"/>
    <x v="416"/>
    <x v="25"/>
    <x v="4"/>
    <n v="3"/>
    <n v="34.99"/>
    <x v="4"/>
    <n v="27.99"/>
    <n v="83.97"/>
    <x v="3"/>
    <x v="0"/>
    <x v="1"/>
    <x v="6"/>
    <s v="Comunitat Valenciana"/>
    <x v="0"/>
    <m/>
    <n v="104.97"/>
    <n v="21"/>
  </r>
  <r>
    <s v="ORD-101712"/>
    <x v="112"/>
    <x v="19"/>
    <x v="0"/>
    <n v="1"/>
    <n v="1199.99"/>
    <x v="0"/>
    <n v="1019.99"/>
    <n v="1019.99"/>
    <x v="1"/>
    <x v="1"/>
    <x v="3"/>
    <x v="8"/>
    <s v="La Rioja"/>
    <x v="1"/>
    <m/>
    <n v="1199.99"/>
    <n v="180"/>
  </r>
  <r>
    <s v="ORD-101713"/>
    <x v="655"/>
    <x v="6"/>
    <x v="0"/>
    <n v="4"/>
    <n v="89.99"/>
    <x v="1"/>
    <n v="89.99"/>
    <n v="359.96"/>
    <x v="2"/>
    <x v="0"/>
    <x v="1"/>
    <x v="7"/>
    <s v="Castilla y León"/>
    <x v="1"/>
    <m/>
    <n v="359.96"/>
    <n v="0"/>
  </r>
  <r>
    <s v="ORD-101714"/>
    <x v="402"/>
    <x v="5"/>
    <x v="1"/>
    <n v="1"/>
    <n v="149.99"/>
    <x v="2"/>
    <n v="142.49"/>
    <n v="142.49"/>
    <x v="0"/>
    <x v="0"/>
    <x v="2"/>
    <x v="10"/>
    <s v="Cantabria"/>
    <x v="1"/>
    <n v="1"/>
    <n v="149.99"/>
    <n v="7.5"/>
  </r>
  <r>
    <s v="ORD-101715"/>
    <x v="482"/>
    <x v="20"/>
    <x v="3"/>
    <n v="5"/>
    <n v="39.99"/>
    <x v="0"/>
    <n v="33.99"/>
    <n v="169.95"/>
    <x v="1"/>
    <x v="2"/>
    <x v="0"/>
    <x v="13"/>
    <s v="Andalucía"/>
    <x v="0"/>
    <m/>
    <n v="199.95000000000002"/>
    <n v="30.000000000000028"/>
  </r>
  <r>
    <s v="ORD-101716"/>
    <x v="636"/>
    <x v="18"/>
    <x v="2"/>
    <n v="5"/>
    <n v="99.99"/>
    <x v="4"/>
    <n v="79.989999999999995"/>
    <n v="399.95"/>
    <x v="1"/>
    <x v="0"/>
    <x v="3"/>
    <x v="10"/>
    <s v="Cantabria"/>
    <x v="1"/>
    <m/>
    <n v="499.95"/>
    <n v="100"/>
  </r>
  <r>
    <s v="ORD-101717"/>
    <x v="656"/>
    <x v="11"/>
    <x v="0"/>
    <n v="2"/>
    <n v="349.99"/>
    <x v="4"/>
    <n v="279.99"/>
    <n v="559.98"/>
    <x v="0"/>
    <x v="0"/>
    <x v="1"/>
    <x v="5"/>
    <s v="País Vasco"/>
    <x v="0"/>
    <n v="1"/>
    <n v="699.98"/>
    <n v="140"/>
  </r>
  <r>
    <s v="ORD-101718"/>
    <x v="512"/>
    <x v="23"/>
    <x v="4"/>
    <n v="4"/>
    <n v="24.99"/>
    <x v="4"/>
    <n v="19.989999999999998"/>
    <n v="79.959999999999994"/>
    <x v="0"/>
    <x v="0"/>
    <x v="1"/>
    <x v="5"/>
    <s v="País Vasco"/>
    <x v="0"/>
    <n v="3"/>
    <n v="99.96"/>
    <n v="20"/>
  </r>
  <r>
    <s v="ORD-101719"/>
    <x v="174"/>
    <x v="2"/>
    <x v="2"/>
    <n v="3"/>
    <n v="299.99"/>
    <x v="3"/>
    <n v="269.99"/>
    <n v="809.97"/>
    <x v="0"/>
    <x v="2"/>
    <x v="0"/>
    <x v="3"/>
    <s v="Comunidad de Madrid"/>
    <x v="2"/>
    <n v="3"/>
    <n v="899.97"/>
    <n v="90"/>
  </r>
  <r>
    <s v="ORD-101720"/>
    <x v="209"/>
    <x v="28"/>
    <x v="0"/>
    <n v="3"/>
    <n v="499.99"/>
    <x v="3"/>
    <n v="449.99"/>
    <n v="1349.97"/>
    <x v="0"/>
    <x v="0"/>
    <x v="1"/>
    <x v="5"/>
    <s v="País Vasco"/>
    <x v="0"/>
    <n v="5"/>
    <n v="1499.97"/>
    <n v="150"/>
  </r>
  <r>
    <s v="ORD-101721"/>
    <x v="405"/>
    <x v="13"/>
    <x v="3"/>
    <n v="4"/>
    <n v="49.99"/>
    <x v="0"/>
    <n v="42.49"/>
    <n v="169.96"/>
    <x v="0"/>
    <x v="0"/>
    <x v="2"/>
    <x v="5"/>
    <s v="País Vasco"/>
    <x v="0"/>
    <n v="2"/>
    <n v="199.96"/>
    <n v="30"/>
  </r>
  <r>
    <s v="ORD-101722"/>
    <x v="489"/>
    <x v="27"/>
    <x v="1"/>
    <n v="3"/>
    <n v="49.99"/>
    <x v="4"/>
    <n v="39.99"/>
    <n v="119.97"/>
    <x v="0"/>
    <x v="0"/>
    <x v="2"/>
    <x v="9"/>
    <s v="Asturias"/>
    <x v="1"/>
    <n v="5"/>
    <n v="149.97"/>
    <n v="30"/>
  </r>
  <r>
    <s v="ORD-101723"/>
    <x v="581"/>
    <x v="11"/>
    <x v="0"/>
    <n v="5"/>
    <n v="349.99"/>
    <x v="1"/>
    <n v="349.99"/>
    <n v="1749.95"/>
    <x v="0"/>
    <x v="1"/>
    <x v="2"/>
    <x v="10"/>
    <s v="Cantabria"/>
    <x v="1"/>
    <n v="5"/>
    <n v="1749.95"/>
    <n v="0"/>
  </r>
  <r>
    <s v="ORD-101724"/>
    <x v="426"/>
    <x v="16"/>
    <x v="1"/>
    <n v="5"/>
    <n v="79.989999999999995"/>
    <x v="1"/>
    <n v="79.989999999999995"/>
    <n v="399.95"/>
    <x v="4"/>
    <x v="0"/>
    <x v="2"/>
    <x v="9"/>
    <s v="Asturias"/>
    <x v="1"/>
    <m/>
    <n v="399.95"/>
    <n v="0"/>
  </r>
  <r>
    <s v="ORD-101725"/>
    <x v="34"/>
    <x v="14"/>
    <x v="1"/>
    <n v="3"/>
    <n v="249.99"/>
    <x v="2"/>
    <n v="237.49"/>
    <n v="712.47"/>
    <x v="2"/>
    <x v="1"/>
    <x v="2"/>
    <x v="12"/>
    <s v="Región de Murcia"/>
    <x v="1"/>
    <m/>
    <n v="749.97"/>
    <n v="37.5"/>
  </r>
  <r>
    <s v="ORD-101726"/>
    <x v="368"/>
    <x v="29"/>
    <x v="0"/>
    <n v="4"/>
    <n v="129.99"/>
    <x v="2"/>
    <n v="123.49"/>
    <n v="493.96"/>
    <x v="0"/>
    <x v="0"/>
    <x v="0"/>
    <x v="11"/>
    <s v="Cataluña"/>
    <x v="2"/>
    <n v="2"/>
    <n v="519.96"/>
    <n v="26.000000000000057"/>
  </r>
  <r>
    <s v="ORD-101727"/>
    <x v="176"/>
    <x v="7"/>
    <x v="3"/>
    <n v="5"/>
    <n v="19.989999999999998"/>
    <x v="4"/>
    <n v="15.99"/>
    <n v="79.95"/>
    <x v="1"/>
    <x v="1"/>
    <x v="3"/>
    <x v="11"/>
    <s v="Cataluña"/>
    <x v="2"/>
    <m/>
    <n v="99.949999999999989"/>
    <n v="19.999999999999986"/>
  </r>
  <r>
    <s v="ORD-101728"/>
    <x v="229"/>
    <x v="1"/>
    <x v="1"/>
    <n v="1"/>
    <n v="399.99"/>
    <x v="4"/>
    <n v="319.99"/>
    <n v="319.99"/>
    <x v="1"/>
    <x v="2"/>
    <x v="3"/>
    <x v="8"/>
    <s v="La Rioja"/>
    <x v="1"/>
    <m/>
    <n v="399.99"/>
    <n v="80"/>
  </r>
  <r>
    <s v="ORD-101729"/>
    <x v="227"/>
    <x v="10"/>
    <x v="2"/>
    <n v="2"/>
    <n v="69.989999999999995"/>
    <x v="1"/>
    <n v="69.989999999999995"/>
    <n v="139.97999999999999"/>
    <x v="1"/>
    <x v="1"/>
    <x v="4"/>
    <x v="13"/>
    <s v="Andalucía"/>
    <x v="0"/>
    <m/>
    <n v="139.97999999999999"/>
    <n v="0"/>
  </r>
  <r>
    <s v="ORD-101730"/>
    <x v="410"/>
    <x v="6"/>
    <x v="0"/>
    <n v="3"/>
    <n v="89.99"/>
    <x v="3"/>
    <n v="80.989999999999995"/>
    <n v="242.97"/>
    <x v="4"/>
    <x v="1"/>
    <x v="2"/>
    <x v="8"/>
    <s v="La Rioja"/>
    <x v="1"/>
    <m/>
    <n v="269.96999999999997"/>
    <n v="26.999999999999972"/>
  </r>
  <r>
    <s v="ORD-101731"/>
    <x v="336"/>
    <x v="26"/>
    <x v="1"/>
    <n v="5"/>
    <n v="599.99"/>
    <x v="3"/>
    <n v="539.99"/>
    <n v="2699.95"/>
    <x v="0"/>
    <x v="2"/>
    <x v="0"/>
    <x v="5"/>
    <s v="País Vasco"/>
    <x v="0"/>
    <n v="2"/>
    <n v="2999.95"/>
    <n v="300"/>
  </r>
  <r>
    <s v="ORD-101732"/>
    <x v="227"/>
    <x v="2"/>
    <x v="2"/>
    <n v="4"/>
    <n v="299.99"/>
    <x v="1"/>
    <n v="299.99"/>
    <n v="1199.96"/>
    <x v="0"/>
    <x v="0"/>
    <x v="0"/>
    <x v="1"/>
    <s v="Comunitat Valenciana"/>
    <x v="1"/>
    <n v="2"/>
    <n v="1199.96"/>
    <n v="0"/>
  </r>
  <r>
    <s v="ORD-101733"/>
    <x v="146"/>
    <x v="23"/>
    <x v="4"/>
    <n v="2"/>
    <n v="24.99"/>
    <x v="3"/>
    <n v="22.49"/>
    <n v="44.98"/>
    <x v="0"/>
    <x v="0"/>
    <x v="3"/>
    <x v="0"/>
    <s v="Andalucía"/>
    <x v="0"/>
    <n v="5"/>
    <n v="49.98"/>
    <n v="5"/>
  </r>
  <r>
    <s v="ORD-101734"/>
    <x v="657"/>
    <x v="26"/>
    <x v="1"/>
    <n v="1"/>
    <n v="599.99"/>
    <x v="3"/>
    <n v="539.99"/>
    <n v="539.99"/>
    <x v="2"/>
    <x v="0"/>
    <x v="1"/>
    <x v="3"/>
    <s v="Comunidad de Madrid"/>
    <x v="2"/>
    <m/>
    <n v="599.99"/>
    <n v="60"/>
  </r>
  <r>
    <s v="ORD-101735"/>
    <x v="563"/>
    <x v="16"/>
    <x v="1"/>
    <n v="1"/>
    <n v="79.989999999999995"/>
    <x v="2"/>
    <n v="75.989999999999995"/>
    <n v="75.989999999999995"/>
    <x v="0"/>
    <x v="0"/>
    <x v="3"/>
    <x v="0"/>
    <s v="Andalucía"/>
    <x v="0"/>
    <n v="5"/>
    <n v="79.989999999999995"/>
    <n v="4"/>
  </r>
  <r>
    <s v="ORD-101736"/>
    <x v="408"/>
    <x v="13"/>
    <x v="3"/>
    <n v="5"/>
    <n v="49.99"/>
    <x v="1"/>
    <n v="49.99"/>
    <n v="249.95"/>
    <x v="0"/>
    <x v="2"/>
    <x v="1"/>
    <x v="8"/>
    <s v="La Rioja"/>
    <x v="1"/>
    <n v="4"/>
    <n v="249.95000000000002"/>
    <n v="0"/>
  </r>
  <r>
    <s v="ORD-101737"/>
    <x v="658"/>
    <x v="21"/>
    <x v="0"/>
    <n v="5"/>
    <n v="799.99"/>
    <x v="4"/>
    <n v="639.99"/>
    <n v="3199.95"/>
    <x v="1"/>
    <x v="1"/>
    <x v="0"/>
    <x v="2"/>
    <s v="Navarra"/>
    <x v="1"/>
    <m/>
    <n v="3999.95"/>
    <n v="800"/>
  </r>
  <r>
    <s v="ORD-101738"/>
    <x v="31"/>
    <x v="27"/>
    <x v="1"/>
    <n v="3"/>
    <n v="49.99"/>
    <x v="2"/>
    <n v="47.49"/>
    <n v="142.47"/>
    <x v="1"/>
    <x v="1"/>
    <x v="3"/>
    <x v="14"/>
    <s v="Aragón"/>
    <x v="0"/>
    <m/>
    <n v="149.97"/>
    <n v="7.5"/>
  </r>
  <r>
    <s v="ORD-101739"/>
    <x v="266"/>
    <x v="13"/>
    <x v="3"/>
    <n v="3"/>
    <n v="49.99"/>
    <x v="4"/>
    <n v="39.99"/>
    <n v="119.97"/>
    <x v="0"/>
    <x v="0"/>
    <x v="3"/>
    <x v="14"/>
    <s v="Aragón"/>
    <x v="0"/>
    <n v="3"/>
    <n v="149.97"/>
    <n v="30"/>
  </r>
  <r>
    <s v="ORD-101740"/>
    <x v="98"/>
    <x v="26"/>
    <x v="1"/>
    <n v="1"/>
    <n v="599.99"/>
    <x v="4"/>
    <n v="479.99"/>
    <n v="479.99"/>
    <x v="3"/>
    <x v="0"/>
    <x v="2"/>
    <x v="12"/>
    <s v="Región de Murcia"/>
    <x v="1"/>
    <m/>
    <n v="599.99"/>
    <n v="120"/>
  </r>
  <r>
    <s v="ORD-101741"/>
    <x v="582"/>
    <x v="16"/>
    <x v="1"/>
    <n v="4"/>
    <n v="79.989999999999995"/>
    <x v="1"/>
    <n v="79.989999999999995"/>
    <n v="319.95999999999998"/>
    <x v="0"/>
    <x v="0"/>
    <x v="0"/>
    <x v="2"/>
    <s v="Navarra"/>
    <x v="1"/>
    <n v="4"/>
    <n v="319.95999999999998"/>
    <n v="0"/>
  </r>
  <r>
    <s v="ORD-101742"/>
    <x v="613"/>
    <x v="9"/>
    <x v="2"/>
    <n v="5"/>
    <n v="29.99"/>
    <x v="4"/>
    <n v="23.99"/>
    <n v="119.95"/>
    <x v="0"/>
    <x v="0"/>
    <x v="0"/>
    <x v="2"/>
    <s v="Navarra"/>
    <x v="1"/>
    <n v="3"/>
    <n v="149.94999999999999"/>
    <n v="29.999999999999986"/>
  </r>
  <r>
    <s v="ORD-101743"/>
    <x v="458"/>
    <x v="13"/>
    <x v="3"/>
    <n v="3"/>
    <n v="49.99"/>
    <x v="4"/>
    <n v="39.99"/>
    <n v="119.97"/>
    <x v="0"/>
    <x v="1"/>
    <x v="4"/>
    <x v="11"/>
    <s v="Cataluña"/>
    <x v="2"/>
    <n v="2"/>
    <n v="149.97"/>
    <n v="30"/>
  </r>
  <r>
    <s v="ORD-101744"/>
    <x v="184"/>
    <x v="12"/>
    <x v="2"/>
    <n v="2"/>
    <n v="189.99"/>
    <x v="1"/>
    <n v="189.99"/>
    <n v="379.98"/>
    <x v="0"/>
    <x v="0"/>
    <x v="0"/>
    <x v="2"/>
    <s v="Navarra"/>
    <x v="1"/>
    <n v="2"/>
    <n v="379.98"/>
    <n v="0"/>
  </r>
  <r>
    <s v="ORD-101745"/>
    <x v="230"/>
    <x v="12"/>
    <x v="2"/>
    <n v="2"/>
    <n v="189.99"/>
    <x v="1"/>
    <n v="189.99"/>
    <n v="379.98"/>
    <x v="3"/>
    <x v="1"/>
    <x v="1"/>
    <x v="12"/>
    <s v="Región de Murcia"/>
    <x v="1"/>
    <m/>
    <n v="379.98"/>
    <n v="0"/>
  </r>
  <r>
    <s v="ORD-101746"/>
    <x v="356"/>
    <x v="28"/>
    <x v="0"/>
    <n v="3"/>
    <n v="499.99"/>
    <x v="2"/>
    <n v="474.99"/>
    <n v="1424.97"/>
    <x v="3"/>
    <x v="0"/>
    <x v="0"/>
    <x v="8"/>
    <s v="La Rioja"/>
    <x v="1"/>
    <m/>
    <n v="1499.97"/>
    <n v="75"/>
  </r>
  <r>
    <s v="ORD-101747"/>
    <x v="564"/>
    <x v="10"/>
    <x v="2"/>
    <n v="3"/>
    <n v="69.989999999999995"/>
    <x v="4"/>
    <n v="55.99"/>
    <n v="167.97"/>
    <x v="1"/>
    <x v="0"/>
    <x v="3"/>
    <x v="12"/>
    <s v="Región de Murcia"/>
    <x v="1"/>
    <m/>
    <n v="209.96999999999997"/>
    <n v="41.999999999999972"/>
  </r>
  <r>
    <s v="ORD-101748"/>
    <x v="659"/>
    <x v="19"/>
    <x v="0"/>
    <n v="4"/>
    <n v="1199.99"/>
    <x v="1"/>
    <n v="1199.99"/>
    <n v="4799.96"/>
    <x v="4"/>
    <x v="1"/>
    <x v="0"/>
    <x v="14"/>
    <s v="Aragón"/>
    <x v="0"/>
    <m/>
    <n v="4799.96"/>
    <n v="0"/>
  </r>
  <r>
    <s v="ORD-101749"/>
    <x v="384"/>
    <x v="18"/>
    <x v="2"/>
    <n v="3"/>
    <n v="99.99"/>
    <x v="1"/>
    <n v="99.99"/>
    <n v="299.97000000000003"/>
    <x v="2"/>
    <x v="0"/>
    <x v="1"/>
    <x v="0"/>
    <s v="Andalucía"/>
    <x v="0"/>
    <m/>
    <n v="299.96999999999997"/>
    <n v="0"/>
  </r>
  <r>
    <s v="ORD-101750"/>
    <x v="86"/>
    <x v="25"/>
    <x v="4"/>
    <n v="3"/>
    <n v="34.99"/>
    <x v="1"/>
    <n v="34.99"/>
    <n v="104.97"/>
    <x v="0"/>
    <x v="0"/>
    <x v="3"/>
    <x v="2"/>
    <s v="Navarra"/>
    <x v="1"/>
    <n v="2"/>
    <n v="104.97"/>
    <n v="0"/>
  </r>
  <r>
    <s v="ORD-101751"/>
    <x v="151"/>
    <x v="27"/>
    <x v="1"/>
    <n v="5"/>
    <n v="49.99"/>
    <x v="2"/>
    <n v="47.49"/>
    <n v="237.45"/>
    <x v="2"/>
    <x v="0"/>
    <x v="0"/>
    <x v="11"/>
    <s v="Cataluña"/>
    <x v="2"/>
    <m/>
    <n v="249.95000000000002"/>
    <n v="12.500000000000028"/>
  </r>
  <r>
    <s v="ORD-101752"/>
    <x v="660"/>
    <x v="10"/>
    <x v="2"/>
    <n v="5"/>
    <n v="69.989999999999995"/>
    <x v="2"/>
    <n v="66.489999999999995"/>
    <n v="332.45"/>
    <x v="3"/>
    <x v="2"/>
    <x v="3"/>
    <x v="3"/>
    <s v="Comunidad de Madrid"/>
    <x v="2"/>
    <m/>
    <n v="349.95"/>
    <n v="17.5"/>
  </r>
  <r>
    <s v="ORD-101753"/>
    <x v="583"/>
    <x v="16"/>
    <x v="1"/>
    <n v="2"/>
    <n v="79.989999999999995"/>
    <x v="1"/>
    <n v="79.989999999999995"/>
    <n v="159.97999999999999"/>
    <x v="4"/>
    <x v="0"/>
    <x v="0"/>
    <x v="1"/>
    <s v="Comunitat Valenciana"/>
    <x v="1"/>
    <m/>
    <n v="159.97999999999999"/>
    <n v="0"/>
  </r>
  <r>
    <s v="ORD-101754"/>
    <x v="0"/>
    <x v="24"/>
    <x v="3"/>
    <n v="3"/>
    <n v="89.99"/>
    <x v="3"/>
    <n v="80.989999999999995"/>
    <n v="242.97"/>
    <x v="0"/>
    <x v="0"/>
    <x v="3"/>
    <x v="4"/>
    <s v="Castilla y León"/>
    <x v="1"/>
    <n v="1"/>
    <n v="269.96999999999997"/>
    <n v="26.999999999999972"/>
  </r>
  <r>
    <s v="ORD-101755"/>
    <x v="453"/>
    <x v="18"/>
    <x v="2"/>
    <n v="4"/>
    <n v="99.99"/>
    <x v="4"/>
    <n v="79.989999999999995"/>
    <n v="319.95999999999998"/>
    <x v="0"/>
    <x v="1"/>
    <x v="3"/>
    <x v="6"/>
    <s v="Comunitat Valenciana"/>
    <x v="0"/>
    <n v="5"/>
    <n v="399.96"/>
    <n v="80"/>
  </r>
  <r>
    <s v="ORD-101756"/>
    <x v="661"/>
    <x v="26"/>
    <x v="1"/>
    <n v="2"/>
    <n v="599.99"/>
    <x v="1"/>
    <n v="599.99"/>
    <n v="1199.98"/>
    <x v="0"/>
    <x v="1"/>
    <x v="3"/>
    <x v="2"/>
    <s v="Navarra"/>
    <x v="1"/>
    <n v="3"/>
    <n v="1199.98"/>
    <n v="0"/>
  </r>
  <r>
    <s v="ORD-101757"/>
    <x v="662"/>
    <x v="19"/>
    <x v="0"/>
    <n v="2"/>
    <n v="1199.99"/>
    <x v="4"/>
    <n v="959.99"/>
    <n v="1919.98"/>
    <x v="1"/>
    <x v="2"/>
    <x v="1"/>
    <x v="8"/>
    <s v="La Rioja"/>
    <x v="1"/>
    <m/>
    <n v="2399.98"/>
    <n v="480"/>
  </r>
  <r>
    <s v="ORD-101758"/>
    <x v="34"/>
    <x v="4"/>
    <x v="4"/>
    <n v="3"/>
    <n v="349.99"/>
    <x v="4"/>
    <n v="279.99"/>
    <n v="839.97"/>
    <x v="0"/>
    <x v="0"/>
    <x v="0"/>
    <x v="4"/>
    <s v="Castilla y León"/>
    <x v="1"/>
    <n v="2"/>
    <n v="1049.97"/>
    <n v="210"/>
  </r>
  <r>
    <s v="ORD-101759"/>
    <x v="166"/>
    <x v="15"/>
    <x v="3"/>
    <n v="3"/>
    <n v="69.989999999999995"/>
    <x v="1"/>
    <n v="69.989999999999995"/>
    <n v="209.97"/>
    <x v="1"/>
    <x v="0"/>
    <x v="1"/>
    <x v="10"/>
    <s v="Cantabria"/>
    <x v="1"/>
    <m/>
    <n v="209.96999999999997"/>
    <n v="0"/>
  </r>
  <r>
    <s v="ORD-101760"/>
    <x v="550"/>
    <x v="11"/>
    <x v="0"/>
    <n v="1"/>
    <n v="349.99"/>
    <x v="0"/>
    <n v="297.49"/>
    <n v="297.49"/>
    <x v="0"/>
    <x v="2"/>
    <x v="1"/>
    <x v="13"/>
    <s v="Andalucía"/>
    <x v="0"/>
    <n v="5"/>
    <n v="349.99"/>
    <n v="52.5"/>
  </r>
  <r>
    <s v="ORD-101761"/>
    <x v="95"/>
    <x v="22"/>
    <x v="4"/>
    <n v="5"/>
    <n v="44.99"/>
    <x v="1"/>
    <n v="44.99"/>
    <n v="224.95"/>
    <x v="0"/>
    <x v="3"/>
    <x v="4"/>
    <x v="13"/>
    <s v="Andalucía"/>
    <x v="0"/>
    <n v="3"/>
    <n v="224.95000000000002"/>
    <n v="0"/>
  </r>
  <r>
    <s v="ORD-101762"/>
    <x v="68"/>
    <x v="16"/>
    <x v="1"/>
    <n v="3"/>
    <n v="79.989999999999995"/>
    <x v="3"/>
    <n v="71.989999999999995"/>
    <n v="215.97"/>
    <x v="0"/>
    <x v="1"/>
    <x v="3"/>
    <x v="11"/>
    <s v="Cataluña"/>
    <x v="2"/>
    <n v="5"/>
    <n v="239.96999999999997"/>
    <n v="23.999999999999972"/>
  </r>
  <r>
    <s v="ORD-101763"/>
    <x v="238"/>
    <x v="5"/>
    <x v="1"/>
    <n v="2"/>
    <n v="149.99"/>
    <x v="4"/>
    <n v="119.99"/>
    <n v="239.98"/>
    <x v="0"/>
    <x v="0"/>
    <x v="4"/>
    <x v="8"/>
    <s v="La Rioja"/>
    <x v="1"/>
    <n v="5"/>
    <n v="299.98"/>
    <n v="60.000000000000028"/>
  </r>
  <r>
    <s v="ORD-101764"/>
    <x v="74"/>
    <x v="21"/>
    <x v="0"/>
    <n v="1"/>
    <n v="799.99"/>
    <x v="4"/>
    <n v="639.99"/>
    <n v="639.99"/>
    <x v="1"/>
    <x v="0"/>
    <x v="3"/>
    <x v="8"/>
    <s v="La Rioja"/>
    <x v="1"/>
    <m/>
    <n v="799.99"/>
    <n v="160"/>
  </r>
  <r>
    <s v="ORD-101765"/>
    <x v="608"/>
    <x v="9"/>
    <x v="2"/>
    <n v="3"/>
    <n v="29.99"/>
    <x v="1"/>
    <n v="29.99"/>
    <n v="89.97"/>
    <x v="0"/>
    <x v="0"/>
    <x v="3"/>
    <x v="1"/>
    <s v="Comunitat Valenciana"/>
    <x v="1"/>
    <n v="4"/>
    <n v="89.97"/>
    <n v="0"/>
  </r>
  <r>
    <s v="ORD-101766"/>
    <x v="663"/>
    <x v="20"/>
    <x v="3"/>
    <n v="5"/>
    <n v="39.99"/>
    <x v="1"/>
    <n v="39.99"/>
    <n v="199.95"/>
    <x v="0"/>
    <x v="0"/>
    <x v="0"/>
    <x v="8"/>
    <s v="La Rioja"/>
    <x v="1"/>
    <n v="3"/>
    <n v="199.95000000000002"/>
    <n v="0"/>
  </r>
  <r>
    <s v="ORD-101767"/>
    <x v="452"/>
    <x v="11"/>
    <x v="0"/>
    <n v="3"/>
    <n v="349.99"/>
    <x v="4"/>
    <n v="279.99"/>
    <n v="839.97"/>
    <x v="0"/>
    <x v="2"/>
    <x v="3"/>
    <x v="9"/>
    <s v="Asturias"/>
    <x v="1"/>
    <n v="2"/>
    <n v="1049.97"/>
    <n v="210"/>
  </r>
  <r>
    <s v="ORD-101768"/>
    <x v="211"/>
    <x v="22"/>
    <x v="4"/>
    <n v="3"/>
    <n v="44.99"/>
    <x v="0"/>
    <n v="38.24"/>
    <n v="114.72"/>
    <x v="2"/>
    <x v="0"/>
    <x v="0"/>
    <x v="6"/>
    <s v="Comunitat Valenciana"/>
    <x v="0"/>
    <m/>
    <n v="134.97"/>
    <n v="20.25"/>
  </r>
  <r>
    <s v="ORD-101769"/>
    <x v="354"/>
    <x v="29"/>
    <x v="0"/>
    <n v="1"/>
    <n v="129.99"/>
    <x v="1"/>
    <n v="129.99"/>
    <n v="129.99"/>
    <x v="0"/>
    <x v="0"/>
    <x v="0"/>
    <x v="8"/>
    <s v="La Rioja"/>
    <x v="1"/>
    <n v="3"/>
    <n v="129.99"/>
    <n v="0"/>
  </r>
  <r>
    <s v="ORD-101770"/>
    <x v="247"/>
    <x v="24"/>
    <x v="3"/>
    <n v="3"/>
    <n v="89.99"/>
    <x v="1"/>
    <n v="89.99"/>
    <n v="269.97000000000003"/>
    <x v="1"/>
    <x v="0"/>
    <x v="3"/>
    <x v="0"/>
    <s v="Andalucía"/>
    <x v="0"/>
    <m/>
    <n v="269.96999999999997"/>
    <n v="0"/>
  </r>
  <r>
    <s v="ORD-101771"/>
    <x v="664"/>
    <x v="28"/>
    <x v="0"/>
    <n v="2"/>
    <n v="499.99"/>
    <x v="4"/>
    <n v="399.99"/>
    <n v="799.98"/>
    <x v="0"/>
    <x v="2"/>
    <x v="4"/>
    <x v="6"/>
    <s v="Comunitat Valenciana"/>
    <x v="0"/>
    <n v="1"/>
    <n v="999.98"/>
    <n v="200"/>
  </r>
  <r>
    <s v="ORD-101772"/>
    <x v="630"/>
    <x v="19"/>
    <x v="0"/>
    <n v="4"/>
    <n v="1199.99"/>
    <x v="4"/>
    <n v="959.99"/>
    <n v="3839.96"/>
    <x v="1"/>
    <x v="0"/>
    <x v="0"/>
    <x v="10"/>
    <s v="Cantabria"/>
    <x v="1"/>
    <m/>
    <n v="4799.96"/>
    <n v="960"/>
  </r>
  <r>
    <s v="ORD-101773"/>
    <x v="175"/>
    <x v="20"/>
    <x v="3"/>
    <n v="2"/>
    <n v="39.99"/>
    <x v="1"/>
    <n v="39.99"/>
    <n v="79.98"/>
    <x v="1"/>
    <x v="2"/>
    <x v="0"/>
    <x v="1"/>
    <s v="Comunitat Valenciana"/>
    <x v="1"/>
    <m/>
    <n v="79.98"/>
    <n v="0"/>
  </r>
  <r>
    <s v="ORD-101774"/>
    <x v="320"/>
    <x v="14"/>
    <x v="1"/>
    <n v="5"/>
    <n v="249.99"/>
    <x v="0"/>
    <n v="212.49"/>
    <n v="1062.45"/>
    <x v="0"/>
    <x v="2"/>
    <x v="0"/>
    <x v="6"/>
    <s v="Comunitat Valenciana"/>
    <x v="0"/>
    <n v="4"/>
    <n v="1249.95"/>
    <n v="187.5"/>
  </r>
  <r>
    <s v="ORD-101775"/>
    <x v="665"/>
    <x v="15"/>
    <x v="3"/>
    <n v="3"/>
    <n v="69.989999999999995"/>
    <x v="2"/>
    <n v="66.489999999999995"/>
    <n v="199.47"/>
    <x v="0"/>
    <x v="2"/>
    <x v="3"/>
    <x v="11"/>
    <s v="Cataluña"/>
    <x v="2"/>
    <n v="3"/>
    <n v="209.96999999999997"/>
    <n v="10.499999999999972"/>
  </r>
  <r>
    <s v="ORD-101776"/>
    <x v="401"/>
    <x v="0"/>
    <x v="0"/>
    <n v="4"/>
    <n v="45.99"/>
    <x v="1"/>
    <n v="45.99"/>
    <n v="183.96"/>
    <x v="0"/>
    <x v="0"/>
    <x v="4"/>
    <x v="2"/>
    <s v="Navarra"/>
    <x v="1"/>
    <n v="1"/>
    <n v="183.96"/>
    <n v="0"/>
  </r>
  <r>
    <s v="ORD-101777"/>
    <x v="490"/>
    <x v="15"/>
    <x v="3"/>
    <n v="3"/>
    <n v="69.989999999999995"/>
    <x v="4"/>
    <n v="55.99"/>
    <n v="167.97"/>
    <x v="0"/>
    <x v="1"/>
    <x v="0"/>
    <x v="8"/>
    <s v="La Rioja"/>
    <x v="1"/>
    <n v="1"/>
    <n v="209.96999999999997"/>
    <n v="41.999999999999972"/>
  </r>
  <r>
    <s v="ORD-101778"/>
    <x v="666"/>
    <x v="9"/>
    <x v="2"/>
    <n v="4"/>
    <n v="29.99"/>
    <x v="2"/>
    <n v="28.49"/>
    <n v="113.96"/>
    <x v="0"/>
    <x v="1"/>
    <x v="2"/>
    <x v="5"/>
    <s v="País Vasco"/>
    <x v="0"/>
    <n v="1"/>
    <n v="119.96"/>
    <n v="6"/>
  </r>
  <r>
    <s v="ORD-101779"/>
    <x v="462"/>
    <x v="4"/>
    <x v="4"/>
    <n v="2"/>
    <n v="349.99"/>
    <x v="1"/>
    <n v="349.99"/>
    <n v="699.98"/>
    <x v="0"/>
    <x v="1"/>
    <x v="0"/>
    <x v="6"/>
    <s v="Comunitat Valenciana"/>
    <x v="0"/>
    <n v="4"/>
    <n v="699.98"/>
    <n v="0"/>
  </r>
  <r>
    <s v="ORD-101780"/>
    <x v="637"/>
    <x v="17"/>
    <x v="0"/>
    <n v="5"/>
    <n v="899.99"/>
    <x v="4"/>
    <n v="719.99"/>
    <n v="3599.95"/>
    <x v="0"/>
    <x v="1"/>
    <x v="3"/>
    <x v="10"/>
    <s v="Cantabria"/>
    <x v="1"/>
    <n v="4"/>
    <n v="4499.95"/>
    <n v="900"/>
  </r>
  <r>
    <s v="ORD-101781"/>
    <x v="159"/>
    <x v="3"/>
    <x v="3"/>
    <n v="2"/>
    <n v="34.99"/>
    <x v="1"/>
    <n v="34.99"/>
    <n v="69.98"/>
    <x v="3"/>
    <x v="1"/>
    <x v="2"/>
    <x v="6"/>
    <s v="Comunitat Valenciana"/>
    <x v="0"/>
    <m/>
    <n v="69.98"/>
    <n v="0"/>
  </r>
  <r>
    <s v="ORD-101782"/>
    <x v="407"/>
    <x v="15"/>
    <x v="3"/>
    <n v="1"/>
    <n v="69.989999999999995"/>
    <x v="4"/>
    <n v="55.99"/>
    <n v="55.99"/>
    <x v="0"/>
    <x v="0"/>
    <x v="3"/>
    <x v="12"/>
    <s v="Región de Murcia"/>
    <x v="1"/>
    <n v="3"/>
    <n v="69.989999999999995"/>
    <n v="13.999999999999993"/>
  </r>
  <r>
    <s v="ORD-101783"/>
    <x v="640"/>
    <x v="27"/>
    <x v="1"/>
    <n v="3"/>
    <n v="49.99"/>
    <x v="1"/>
    <n v="49.99"/>
    <n v="149.97"/>
    <x v="1"/>
    <x v="0"/>
    <x v="3"/>
    <x v="14"/>
    <s v="Aragón"/>
    <x v="0"/>
    <m/>
    <n v="149.97"/>
    <n v="0"/>
  </r>
  <r>
    <s v="ORD-101784"/>
    <x v="267"/>
    <x v="22"/>
    <x v="4"/>
    <n v="4"/>
    <n v="44.99"/>
    <x v="1"/>
    <n v="44.99"/>
    <n v="179.96"/>
    <x v="0"/>
    <x v="1"/>
    <x v="3"/>
    <x v="2"/>
    <s v="Navarra"/>
    <x v="1"/>
    <n v="2"/>
    <n v="179.96"/>
    <n v="0"/>
  </r>
  <r>
    <s v="ORD-101785"/>
    <x v="315"/>
    <x v="19"/>
    <x v="0"/>
    <n v="3"/>
    <n v="1199.99"/>
    <x v="1"/>
    <n v="1199.99"/>
    <n v="3599.97"/>
    <x v="0"/>
    <x v="0"/>
    <x v="3"/>
    <x v="11"/>
    <s v="Cataluña"/>
    <x v="2"/>
    <n v="4"/>
    <n v="3599.9700000000003"/>
    <n v="0"/>
  </r>
  <r>
    <s v="ORD-101786"/>
    <x v="573"/>
    <x v="26"/>
    <x v="1"/>
    <n v="2"/>
    <n v="599.99"/>
    <x v="4"/>
    <n v="479.99"/>
    <n v="959.98"/>
    <x v="1"/>
    <x v="0"/>
    <x v="3"/>
    <x v="9"/>
    <s v="Asturias"/>
    <x v="1"/>
    <m/>
    <n v="1199.98"/>
    <n v="240"/>
  </r>
  <r>
    <s v="ORD-101787"/>
    <x v="496"/>
    <x v="11"/>
    <x v="0"/>
    <n v="3"/>
    <n v="349.99"/>
    <x v="0"/>
    <n v="297.49"/>
    <n v="892.47"/>
    <x v="0"/>
    <x v="1"/>
    <x v="0"/>
    <x v="1"/>
    <s v="Comunitat Valenciana"/>
    <x v="1"/>
    <n v="4"/>
    <n v="1049.97"/>
    <n v="157.5"/>
  </r>
  <r>
    <s v="ORD-101788"/>
    <x v="184"/>
    <x v="21"/>
    <x v="0"/>
    <n v="2"/>
    <n v="799.99"/>
    <x v="1"/>
    <n v="799.99"/>
    <n v="1599.98"/>
    <x v="0"/>
    <x v="2"/>
    <x v="0"/>
    <x v="2"/>
    <s v="Navarra"/>
    <x v="1"/>
    <n v="1"/>
    <n v="1599.98"/>
    <n v="0"/>
  </r>
  <r>
    <s v="ORD-101789"/>
    <x v="643"/>
    <x v="2"/>
    <x v="2"/>
    <n v="4"/>
    <n v="299.99"/>
    <x v="1"/>
    <n v="299.99"/>
    <n v="1199.96"/>
    <x v="2"/>
    <x v="0"/>
    <x v="0"/>
    <x v="11"/>
    <s v="Cataluña"/>
    <x v="2"/>
    <m/>
    <n v="1199.96"/>
    <n v="0"/>
  </r>
  <r>
    <s v="ORD-101790"/>
    <x v="264"/>
    <x v="13"/>
    <x v="3"/>
    <n v="3"/>
    <n v="49.99"/>
    <x v="0"/>
    <n v="42.49"/>
    <n v="127.47"/>
    <x v="4"/>
    <x v="1"/>
    <x v="3"/>
    <x v="9"/>
    <s v="Asturias"/>
    <x v="1"/>
    <m/>
    <n v="149.97"/>
    <n v="22.5"/>
  </r>
  <r>
    <s v="ORD-101791"/>
    <x v="8"/>
    <x v="18"/>
    <x v="2"/>
    <n v="2"/>
    <n v="99.99"/>
    <x v="1"/>
    <n v="99.99"/>
    <n v="199.98"/>
    <x v="0"/>
    <x v="0"/>
    <x v="1"/>
    <x v="9"/>
    <s v="Asturias"/>
    <x v="1"/>
    <n v="1"/>
    <n v="199.98"/>
    <n v="0"/>
  </r>
  <r>
    <s v="ORD-101792"/>
    <x v="655"/>
    <x v="9"/>
    <x v="2"/>
    <n v="1"/>
    <n v="29.99"/>
    <x v="4"/>
    <n v="23.99"/>
    <n v="23.99"/>
    <x v="0"/>
    <x v="0"/>
    <x v="1"/>
    <x v="6"/>
    <s v="Comunitat Valenciana"/>
    <x v="0"/>
    <n v="2"/>
    <n v="29.99"/>
    <n v="6"/>
  </r>
  <r>
    <s v="ORD-101793"/>
    <x v="510"/>
    <x v="20"/>
    <x v="3"/>
    <n v="3"/>
    <n v="39.99"/>
    <x v="1"/>
    <n v="39.99"/>
    <n v="119.97"/>
    <x v="0"/>
    <x v="2"/>
    <x v="0"/>
    <x v="12"/>
    <s v="Región de Murcia"/>
    <x v="1"/>
    <n v="5"/>
    <n v="119.97"/>
    <n v="0"/>
  </r>
  <r>
    <s v="ORD-101794"/>
    <x v="426"/>
    <x v="26"/>
    <x v="1"/>
    <n v="2"/>
    <n v="599.99"/>
    <x v="2"/>
    <n v="569.99"/>
    <n v="1139.98"/>
    <x v="1"/>
    <x v="0"/>
    <x v="1"/>
    <x v="7"/>
    <s v="Castilla y León"/>
    <x v="1"/>
    <m/>
    <n v="1199.98"/>
    <n v="60"/>
  </r>
  <r>
    <s v="ORD-101795"/>
    <x v="197"/>
    <x v="18"/>
    <x v="2"/>
    <n v="5"/>
    <n v="99.99"/>
    <x v="1"/>
    <n v="99.99"/>
    <n v="499.95"/>
    <x v="0"/>
    <x v="0"/>
    <x v="0"/>
    <x v="4"/>
    <s v="Castilla y León"/>
    <x v="1"/>
    <n v="4"/>
    <n v="499.95"/>
    <n v="0"/>
  </r>
  <r>
    <s v="ORD-101796"/>
    <x v="300"/>
    <x v="26"/>
    <x v="1"/>
    <n v="1"/>
    <n v="599.99"/>
    <x v="0"/>
    <n v="509.99"/>
    <n v="509.99"/>
    <x v="2"/>
    <x v="1"/>
    <x v="0"/>
    <x v="2"/>
    <s v="Navarra"/>
    <x v="1"/>
    <m/>
    <n v="599.99"/>
    <n v="90"/>
  </r>
  <r>
    <s v="ORD-101797"/>
    <x v="132"/>
    <x v="3"/>
    <x v="3"/>
    <n v="1"/>
    <n v="34.99"/>
    <x v="3"/>
    <n v="31.49"/>
    <n v="31.49"/>
    <x v="0"/>
    <x v="3"/>
    <x v="2"/>
    <x v="0"/>
    <s v="Andalucía"/>
    <x v="0"/>
    <n v="1"/>
    <n v="34.99"/>
    <n v="3.5000000000000036"/>
  </r>
  <r>
    <s v="ORD-101798"/>
    <x v="237"/>
    <x v="2"/>
    <x v="2"/>
    <n v="3"/>
    <n v="299.99"/>
    <x v="1"/>
    <n v="299.99"/>
    <n v="899.97"/>
    <x v="2"/>
    <x v="1"/>
    <x v="3"/>
    <x v="5"/>
    <s v="País Vasco"/>
    <x v="0"/>
    <m/>
    <n v="899.97"/>
    <n v="0"/>
  </r>
  <r>
    <s v="ORD-101799"/>
    <x v="199"/>
    <x v="4"/>
    <x v="4"/>
    <n v="5"/>
    <n v="349.99"/>
    <x v="1"/>
    <n v="349.99"/>
    <n v="1749.95"/>
    <x v="0"/>
    <x v="3"/>
    <x v="0"/>
    <x v="4"/>
    <s v="Castilla y León"/>
    <x v="1"/>
    <n v="2"/>
    <n v="1749.95"/>
    <n v="0"/>
  </r>
  <r>
    <s v="ORD-101800"/>
    <x v="667"/>
    <x v="21"/>
    <x v="0"/>
    <n v="3"/>
    <n v="799.99"/>
    <x v="3"/>
    <n v="719.99"/>
    <n v="2159.9699999999998"/>
    <x v="1"/>
    <x v="1"/>
    <x v="3"/>
    <x v="6"/>
    <s v="Comunitat Valenciana"/>
    <x v="0"/>
    <m/>
    <n v="2399.9700000000003"/>
    <n v="240.00000000000045"/>
  </r>
  <r>
    <s v="ORD-101801"/>
    <x v="434"/>
    <x v="8"/>
    <x v="2"/>
    <n v="5"/>
    <n v="59.99"/>
    <x v="1"/>
    <n v="59.99"/>
    <n v="299.95"/>
    <x v="0"/>
    <x v="2"/>
    <x v="3"/>
    <x v="10"/>
    <s v="Cantabria"/>
    <x v="1"/>
    <n v="3"/>
    <n v="299.95"/>
    <n v="0"/>
  </r>
  <r>
    <s v="ORD-101802"/>
    <x v="616"/>
    <x v="0"/>
    <x v="0"/>
    <n v="2"/>
    <n v="45.99"/>
    <x v="0"/>
    <n v="39.090000000000003"/>
    <n v="78.180000000000007"/>
    <x v="1"/>
    <x v="0"/>
    <x v="4"/>
    <x v="1"/>
    <s v="Comunitat Valenciana"/>
    <x v="1"/>
    <m/>
    <n v="91.98"/>
    <n v="13.799999999999997"/>
  </r>
  <r>
    <s v="ORD-101803"/>
    <x v="608"/>
    <x v="5"/>
    <x v="1"/>
    <n v="5"/>
    <n v="149.99"/>
    <x v="2"/>
    <n v="142.49"/>
    <n v="712.45"/>
    <x v="2"/>
    <x v="0"/>
    <x v="4"/>
    <x v="5"/>
    <s v="País Vasco"/>
    <x v="0"/>
    <m/>
    <n v="749.95"/>
    <n v="37.5"/>
  </r>
  <r>
    <s v="ORD-101804"/>
    <x v="598"/>
    <x v="13"/>
    <x v="3"/>
    <n v="4"/>
    <n v="49.99"/>
    <x v="3"/>
    <n v="44.99"/>
    <n v="179.96"/>
    <x v="4"/>
    <x v="1"/>
    <x v="0"/>
    <x v="4"/>
    <s v="Castilla y León"/>
    <x v="1"/>
    <m/>
    <n v="199.96"/>
    <n v="20"/>
  </r>
  <r>
    <s v="ORD-101805"/>
    <x v="54"/>
    <x v="19"/>
    <x v="0"/>
    <n v="1"/>
    <n v="1199.99"/>
    <x v="1"/>
    <n v="1199.99"/>
    <n v="1199.99"/>
    <x v="1"/>
    <x v="0"/>
    <x v="4"/>
    <x v="9"/>
    <s v="Asturias"/>
    <x v="1"/>
    <m/>
    <n v="1199.99"/>
    <n v="0"/>
  </r>
  <r>
    <s v="ORD-101806"/>
    <x v="64"/>
    <x v="27"/>
    <x v="1"/>
    <n v="1"/>
    <n v="49.99"/>
    <x v="1"/>
    <n v="49.99"/>
    <n v="49.99"/>
    <x v="1"/>
    <x v="0"/>
    <x v="2"/>
    <x v="6"/>
    <s v="Comunitat Valenciana"/>
    <x v="0"/>
    <m/>
    <n v="49.99"/>
    <n v="0"/>
  </r>
  <r>
    <s v="ORD-101807"/>
    <x v="605"/>
    <x v="20"/>
    <x v="3"/>
    <n v="2"/>
    <n v="39.99"/>
    <x v="0"/>
    <n v="33.99"/>
    <n v="67.98"/>
    <x v="0"/>
    <x v="0"/>
    <x v="2"/>
    <x v="1"/>
    <s v="Comunitat Valenciana"/>
    <x v="1"/>
    <n v="1"/>
    <n v="79.98"/>
    <n v="12"/>
  </r>
  <r>
    <s v="ORD-101808"/>
    <x v="524"/>
    <x v="7"/>
    <x v="3"/>
    <n v="2"/>
    <n v="19.989999999999998"/>
    <x v="2"/>
    <n v="18.989999999999998"/>
    <n v="37.979999999999997"/>
    <x v="0"/>
    <x v="1"/>
    <x v="1"/>
    <x v="10"/>
    <s v="Cantabria"/>
    <x v="1"/>
    <n v="2"/>
    <n v="39.979999999999997"/>
    <n v="2"/>
  </r>
  <r>
    <s v="ORD-101809"/>
    <x v="478"/>
    <x v="11"/>
    <x v="0"/>
    <n v="3"/>
    <n v="349.99"/>
    <x v="4"/>
    <n v="279.99"/>
    <n v="839.97"/>
    <x v="0"/>
    <x v="0"/>
    <x v="0"/>
    <x v="9"/>
    <s v="Asturias"/>
    <x v="1"/>
    <n v="1"/>
    <n v="1049.97"/>
    <n v="210"/>
  </r>
  <r>
    <s v="ORD-101810"/>
    <x v="130"/>
    <x v="27"/>
    <x v="1"/>
    <n v="4"/>
    <n v="49.99"/>
    <x v="1"/>
    <n v="49.99"/>
    <n v="199.96"/>
    <x v="1"/>
    <x v="2"/>
    <x v="3"/>
    <x v="5"/>
    <s v="País Vasco"/>
    <x v="0"/>
    <m/>
    <n v="199.96"/>
    <n v="0"/>
  </r>
  <r>
    <s v="ORD-101811"/>
    <x v="230"/>
    <x v="26"/>
    <x v="1"/>
    <n v="2"/>
    <n v="599.99"/>
    <x v="1"/>
    <n v="599.99"/>
    <n v="1199.98"/>
    <x v="2"/>
    <x v="2"/>
    <x v="0"/>
    <x v="2"/>
    <s v="Navarra"/>
    <x v="1"/>
    <m/>
    <n v="1199.98"/>
    <n v="0"/>
  </r>
  <r>
    <s v="ORD-101812"/>
    <x v="668"/>
    <x v="17"/>
    <x v="0"/>
    <n v="4"/>
    <n v="899.99"/>
    <x v="4"/>
    <n v="719.99"/>
    <n v="2879.96"/>
    <x v="2"/>
    <x v="1"/>
    <x v="3"/>
    <x v="11"/>
    <s v="Cataluña"/>
    <x v="2"/>
    <m/>
    <n v="3599.96"/>
    <n v="720"/>
  </r>
  <r>
    <s v="ORD-101813"/>
    <x v="669"/>
    <x v="23"/>
    <x v="4"/>
    <n v="4"/>
    <n v="24.99"/>
    <x v="4"/>
    <n v="19.989999999999998"/>
    <n v="79.959999999999994"/>
    <x v="0"/>
    <x v="0"/>
    <x v="4"/>
    <x v="7"/>
    <s v="Castilla y León"/>
    <x v="1"/>
    <n v="5"/>
    <n v="99.96"/>
    <n v="20"/>
  </r>
  <r>
    <s v="ORD-101814"/>
    <x v="444"/>
    <x v="4"/>
    <x v="4"/>
    <n v="3"/>
    <n v="349.99"/>
    <x v="1"/>
    <n v="349.99"/>
    <n v="1049.97"/>
    <x v="2"/>
    <x v="1"/>
    <x v="1"/>
    <x v="9"/>
    <s v="Asturias"/>
    <x v="1"/>
    <m/>
    <n v="1049.97"/>
    <n v="0"/>
  </r>
  <r>
    <s v="ORD-101815"/>
    <x v="562"/>
    <x v="3"/>
    <x v="3"/>
    <n v="1"/>
    <n v="34.99"/>
    <x v="0"/>
    <n v="29.74"/>
    <n v="29.74"/>
    <x v="0"/>
    <x v="0"/>
    <x v="1"/>
    <x v="2"/>
    <s v="Navarra"/>
    <x v="1"/>
    <n v="3"/>
    <n v="34.99"/>
    <n v="5.2500000000000036"/>
  </r>
  <r>
    <s v="ORD-101816"/>
    <x v="397"/>
    <x v="9"/>
    <x v="2"/>
    <n v="5"/>
    <n v="29.99"/>
    <x v="1"/>
    <n v="29.99"/>
    <n v="149.94999999999999"/>
    <x v="0"/>
    <x v="0"/>
    <x v="3"/>
    <x v="8"/>
    <s v="La Rioja"/>
    <x v="1"/>
    <n v="1"/>
    <n v="149.94999999999999"/>
    <n v="0"/>
  </r>
  <r>
    <s v="ORD-101817"/>
    <x v="626"/>
    <x v="2"/>
    <x v="2"/>
    <n v="4"/>
    <n v="299.99"/>
    <x v="1"/>
    <n v="299.99"/>
    <n v="1199.96"/>
    <x v="0"/>
    <x v="1"/>
    <x v="1"/>
    <x v="0"/>
    <s v="Andalucía"/>
    <x v="0"/>
    <n v="1"/>
    <n v="1199.96"/>
    <n v="0"/>
  </r>
  <r>
    <s v="ORD-101818"/>
    <x v="283"/>
    <x v="16"/>
    <x v="1"/>
    <n v="5"/>
    <n v="79.989999999999995"/>
    <x v="3"/>
    <n v="71.989999999999995"/>
    <n v="359.95"/>
    <x v="2"/>
    <x v="1"/>
    <x v="2"/>
    <x v="13"/>
    <s v="Andalucía"/>
    <x v="0"/>
    <m/>
    <n v="399.95"/>
    <n v="40"/>
  </r>
  <r>
    <s v="ORD-101819"/>
    <x v="208"/>
    <x v="20"/>
    <x v="3"/>
    <n v="1"/>
    <n v="39.99"/>
    <x v="3"/>
    <n v="35.99"/>
    <n v="35.99"/>
    <x v="0"/>
    <x v="2"/>
    <x v="4"/>
    <x v="8"/>
    <s v="La Rioja"/>
    <x v="1"/>
    <n v="5"/>
    <n v="39.99"/>
    <n v="4"/>
  </r>
  <r>
    <s v="ORD-101820"/>
    <x v="643"/>
    <x v="0"/>
    <x v="0"/>
    <n v="2"/>
    <n v="45.99"/>
    <x v="1"/>
    <n v="45.99"/>
    <n v="91.98"/>
    <x v="0"/>
    <x v="2"/>
    <x v="3"/>
    <x v="10"/>
    <s v="Cantabria"/>
    <x v="1"/>
    <n v="4"/>
    <n v="91.98"/>
    <n v="0"/>
  </r>
  <r>
    <s v="ORD-101821"/>
    <x v="622"/>
    <x v="15"/>
    <x v="3"/>
    <n v="4"/>
    <n v="69.989999999999995"/>
    <x v="4"/>
    <n v="55.99"/>
    <n v="223.96"/>
    <x v="0"/>
    <x v="1"/>
    <x v="4"/>
    <x v="8"/>
    <s v="La Rioja"/>
    <x v="1"/>
    <n v="4"/>
    <n v="279.95999999999998"/>
    <n v="55.999999999999972"/>
  </r>
  <r>
    <s v="ORD-101822"/>
    <x v="612"/>
    <x v="22"/>
    <x v="4"/>
    <n v="1"/>
    <n v="44.99"/>
    <x v="1"/>
    <n v="44.99"/>
    <n v="44.99"/>
    <x v="0"/>
    <x v="1"/>
    <x v="0"/>
    <x v="3"/>
    <s v="Comunidad de Madrid"/>
    <x v="2"/>
    <n v="3"/>
    <n v="44.99"/>
    <n v="0"/>
  </r>
  <r>
    <s v="ORD-101823"/>
    <x v="438"/>
    <x v="8"/>
    <x v="2"/>
    <n v="1"/>
    <n v="59.99"/>
    <x v="0"/>
    <n v="50.99"/>
    <n v="50.99"/>
    <x v="0"/>
    <x v="0"/>
    <x v="2"/>
    <x v="4"/>
    <s v="Castilla y León"/>
    <x v="1"/>
    <n v="3"/>
    <n v="59.99"/>
    <n v="9"/>
  </r>
  <r>
    <s v="ORD-101824"/>
    <x v="520"/>
    <x v="28"/>
    <x v="0"/>
    <n v="3"/>
    <n v="499.99"/>
    <x v="2"/>
    <n v="474.99"/>
    <n v="1424.97"/>
    <x v="1"/>
    <x v="1"/>
    <x v="4"/>
    <x v="14"/>
    <s v="Aragón"/>
    <x v="0"/>
    <m/>
    <n v="1499.97"/>
    <n v="75"/>
  </r>
  <r>
    <s v="ORD-101825"/>
    <x v="634"/>
    <x v="18"/>
    <x v="2"/>
    <n v="2"/>
    <n v="99.99"/>
    <x v="1"/>
    <n v="99.99"/>
    <n v="199.98"/>
    <x v="0"/>
    <x v="1"/>
    <x v="0"/>
    <x v="8"/>
    <s v="La Rioja"/>
    <x v="1"/>
    <n v="4"/>
    <n v="199.98"/>
    <n v="0"/>
  </r>
  <r>
    <s v="ORD-101826"/>
    <x v="484"/>
    <x v="18"/>
    <x v="2"/>
    <n v="2"/>
    <n v="99.99"/>
    <x v="4"/>
    <n v="79.989999999999995"/>
    <n v="159.97999999999999"/>
    <x v="0"/>
    <x v="0"/>
    <x v="1"/>
    <x v="11"/>
    <s v="Cataluña"/>
    <x v="2"/>
    <n v="2"/>
    <n v="199.98"/>
    <n v="40"/>
  </r>
  <r>
    <s v="ORD-101827"/>
    <x v="343"/>
    <x v="25"/>
    <x v="4"/>
    <n v="3"/>
    <n v="34.99"/>
    <x v="1"/>
    <n v="34.99"/>
    <n v="104.97"/>
    <x v="3"/>
    <x v="1"/>
    <x v="0"/>
    <x v="11"/>
    <s v="Cataluña"/>
    <x v="2"/>
    <m/>
    <n v="104.97"/>
    <n v="0"/>
  </r>
  <r>
    <s v="ORD-101828"/>
    <x v="259"/>
    <x v="9"/>
    <x v="2"/>
    <n v="2"/>
    <n v="29.99"/>
    <x v="4"/>
    <n v="23.99"/>
    <n v="47.98"/>
    <x v="0"/>
    <x v="2"/>
    <x v="3"/>
    <x v="5"/>
    <s v="País Vasco"/>
    <x v="0"/>
    <n v="3"/>
    <n v="59.98"/>
    <n v="12"/>
  </r>
  <r>
    <s v="ORD-101829"/>
    <x v="108"/>
    <x v="23"/>
    <x v="4"/>
    <n v="3"/>
    <n v="24.99"/>
    <x v="4"/>
    <n v="19.989999999999998"/>
    <n v="59.97"/>
    <x v="0"/>
    <x v="0"/>
    <x v="0"/>
    <x v="6"/>
    <s v="Comunitat Valenciana"/>
    <x v="0"/>
    <n v="5"/>
    <n v="74.97"/>
    <n v="15"/>
  </r>
  <r>
    <s v="ORD-101830"/>
    <x v="319"/>
    <x v="22"/>
    <x v="4"/>
    <n v="5"/>
    <n v="44.99"/>
    <x v="0"/>
    <n v="38.24"/>
    <n v="191.2"/>
    <x v="1"/>
    <x v="2"/>
    <x v="3"/>
    <x v="5"/>
    <s v="País Vasco"/>
    <x v="0"/>
    <m/>
    <n v="224.95000000000002"/>
    <n v="33.750000000000028"/>
  </r>
  <r>
    <s v="ORD-101831"/>
    <x v="280"/>
    <x v="27"/>
    <x v="1"/>
    <n v="1"/>
    <n v="49.99"/>
    <x v="1"/>
    <n v="49.99"/>
    <n v="49.99"/>
    <x v="0"/>
    <x v="1"/>
    <x v="2"/>
    <x v="10"/>
    <s v="Cantabria"/>
    <x v="1"/>
    <n v="4"/>
    <n v="49.99"/>
    <n v="0"/>
  </r>
  <r>
    <s v="ORD-101832"/>
    <x v="634"/>
    <x v="11"/>
    <x v="0"/>
    <n v="3"/>
    <n v="349.99"/>
    <x v="3"/>
    <n v="314.99"/>
    <n v="944.97"/>
    <x v="0"/>
    <x v="2"/>
    <x v="0"/>
    <x v="6"/>
    <s v="Comunitat Valenciana"/>
    <x v="0"/>
    <n v="3"/>
    <n v="1049.97"/>
    <n v="105"/>
  </r>
  <r>
    <s v="ORD-101833"/>
    <x v="413"/>
    <x v="1"/>
    <x v="1"/>
    <n v="1"/>
    <n v="399.99"/>
    <x v="1"/>
    <n v="399.99"/>
    <n v="399.99"/>
    <x v="4"/>
    <x v="2"/>
    <x v="0"/>
    <x v="12"/>
    <s v="Región de Murcia"/>
    <x v="1"/>
    <m/>
    <n v="399.99"/>
    <n v="0"/>
  </r>
  <r>
    <s v="ORD-101834"/>
    <x v="33"/>
    <x v="12"/>
    <x v="2"/>
    <n v="3"/>
    <n v="189.99"/>
    <x v="1"/>
    <n v="189.99"/>
    <n v="569.97"/>
    <x v="0"/>
    <x v="1"/>
    <x v="0"/>
    <x v="8"/>
    <s v="La Rioja"/>
    <x v="1"/>
    <n v="2"/>
    <n v="569.97"/>
    <n v="0"/>
  </r>
  <r>
    <s v="ORD-101835"/>
    <x v="118"/>
    <x v="9"/>
    <x v="2"/>
    <n v="2"/>
    <n v="29.99"/>
    <x v="1"/>
    <n v="29.99"/>
    <n v="59.98"/>
    <x v="0"/>
    <x v="3"/>
    <x v="2"/>
    <x v="0"/>
    <s v="Andalucía"/>
    <x v="0"/>
    <n v="4"/>
    <n v="59.98"/>
    <n v="0"/>
  </r>
  <r>
    <s v="ORD-101836"/>
    <x v="175"/>
    <x v="3"/>
    <x v="3"/>
    <n v="5"/>
    <n v="34.99"/>
    <x v="3"/>
    <n v="31.49"/>
    <n v="157.44999999999999"/>
    <x v="4"/>
    <x v="0"/>
    <x v="2"/>
    <x v="0"/>
    <s v="Andalucía"/>
    <x v="0"/>
    <m/>
    <n v="174.95000000000002"/>
    <n v="17.500000000000028"/>
  </r>
  <r>
    <s v="ORD-101837"/>
    <x v="51"/>
    <x v="20"/>
    <x v="3"/>
    <n v="5"/>
    <n v="39.99"/>
    <x v="2"/>
    <n v="37.99"/>
    <n v="189.95"/>
    <x v="1"/>
    <x v="2"/>
    <x v="3"/>
    <x v="10"/>
    <s v="Cantabria"/>
    <x v="1"/>
    <m/>
    <n v="199.95000000000002"/>
    <n v="10.000000000000028"/>
  </r>
  <r>
    <s v="ORD-101838"/>
    <x v="634"/>
    <x v="3"/>
    <x v="3"/>
    <n v="3"/>
    <n v="34.99"/>
    <x v="1"/>
    <n v="34.99"/>
    <n v="104.97"/>
    <x v="3"/>
    <x v="0"/>
    <x v="3"/>
    <x v="4"/>
    <s v="Castilla y León"/>
    <x v="1"/>
    <m/>
    <n v="104.97"/>
    <n v="0"/>
  </r>
  <r>
    <s v="ORD-101839"/>
    <x v="642"/>
    <x v="2"/>
    <x v="2"/>
    <n v="2"/>
    <n v="299.99"/>
    <x v="1"/>
    <n v="299.99"/>
    <n v="599.98"/>
    <x v="2"/>
    <x v="0"/>
    <x v="3"/>
    <x v="10"/>
    <s v="Cantabria"/>
    <x v="1"/>
    <m/>
    <n v="599.98"/>
    <n v="0"/>
  </r>
  <r>
    <s v="ORD-101840"/>
    <x v="212"/>
    <x v="0"/>
    <x v="0"/>
    <n v="5"/>
    <n v="45.99"/>
    <x v="0"/>
    <n v="39.090000000000003"/>
    <n v="195.45"/>
    <x v="0"/>
    <x v="0"/>
    <x v="2"/>
    <x v="14"/>
    <s v="Aragón"/>
    <x v="0"/>
    <n v="2"/>
    <n v="229.95000000000002"/>
    <n v="34.500000000000028"/>
  </r>
  <r>
    <s v="ORD-101841"/>
    <x v="484"/>
    <x v="2"/>
    <x v="2"/>
    <n v="5"/>
    <n v="299.99"/>
    <x v="4"/>
    <n v="239.99"/>
    <n v="1199.95"/>
    <x v="4"/>
    <x v="0"/>
    <x v="2"/>
    <x v="12"/>
    <s v="Región de Murcia"/>
    <x v="1"/>
    <m/>
    <n v="1499.95"/>
    <n v="300"/>
  </r>
  <r>
    <s v="ORD-101842"/>
    <x v="166"/>
    <x v="27"/>
    <x v="1"/>
    <n v="4"/>
    <n v="49.99"/>
    <x v="2"/>
    <n v="47.49"/>
    <n v="189.96"/>
    <x v="0"/>
    <x v="3"/>
    <x v="0"/>
    <x v="11"/>
    <s v="Cataluña"/>
    <x v="2"/>
    <n v="5"/>
    <n v="199.96"/>
    <n v="10"/>
  </r>
  <r>
    <s v="ORD-101843"/>
    <x v="357"/>
    <x v="5"/>
    <x v="1"/>
    <n v="1"/>
    <n v="149.99"/>
    <x v="1"/>
    <n v="149.99"/>
    <n v="149.99"/>
    <x v="0"/>
    <x v="0"/>
    <x v="1"/>
    <x v="10"/>
    <s v="Cantabria"/>
    <x v="1"/>
    <n v="1"/>
    <n v="149.99"/>
    <n v="0"/>
  </r>
  <r>
    <s v="ORD-101844"/>
    <x v="250"/>
    <x v="1"/>
    <x v="1"/>
    <n v="3"/>
    <n v="399.99"/>
    <x v="0"/>
    <n v="339.99"/>
    <n v="1019.97"/>
    <x v="0"/>
    <x v="1"/>
    <x v="1"/>
    <x v="1"/>
    <s v="Comunitat Valenciana"/>
    <x v="1"/>
    <n v="2"/>
    <n v="1199.97"/>
    <n v="180"/>
  </r>
  <r>
    <s v="ORD-101845"/>
    <x v="670"/>
    <x v="21"/>
    <x v="0"/>
    <n v="4"/>
    <n v="799.99"/>
    <x v="1"/>
    <n v="799.99"/>
    <n v="3199.96"/>
    <x v="0"/>
    <x v="0"/>
    <x v="0"/>
    <x v="9"/>
    <s v="Asturias"/>
    <x v="1"/>
    <n v="5"/>
    <n v="3199.96"/>
    <n v="0"/>
  </r>
  <r>
    <s v="ORD-101846"/>
    <x v="31"/>
    <x v="11"/>
    <x v="0"/>
    <n v="5"/>
    <n v="349.99"/>
    <x v="0"/>
    <n v="297.49"/>
    <n v="1487.45"/>
    <x v="0"/>
    <x v="0"/>
    <x v="1"/>
    <x v="8"/>
    <s v="La Rioja"/>
    <x v="1"/>
    <n v="3"/>
    <n v="1749.95"/>
    <n v="262.5"/>
  </r>
  <r>
    <s v="ORD-101847"/>
    <x v="102"/>
    <x v="0"/>
    <x v="0"/>
    <n v="1"/>
    <n v="45.99"/>
    <x v="3"/>
    <n v="41.39"/>
    <n v="41.39"/>
    <x v="0"/>
    <x v="1"/>
    <x v="1"/>
    <x v="13"/>
    <s v="Andalucía"/>
    <x v="0"/>
    <n v="2"/>
    <n v="45.99"/>
    <n v="4.6000000000000014"/>
  </r>
  <r>
    <s v="ORD-101848"/>
    <x v="587"/>
    <x v="18"/>
    <x v="2"/>
    <n v="2"/>
    <n v="99.99"/>
    <x v="4"/>
    <n v="79.989999999999995"/>
    <n v="159.97999999999999"/>
    <x v="0"/>
    <x v="2"/>
    <x v="1"/>
    <x v="9"/>
    <s v="Asturias"/>
    <x v="1"/>
    <n v="3"/>
    <n v="199.98"/>
    <n v="40"/>
  </r>
  <r>
    <s v="ORD-101849"/>
    <x v="363"/>
    <x v="0"/>
    <x v="0"/>
    <n v="4"/>
    <n v="45.99"/>
    <x v="3"/>
    <n v="41.39"/>
    <n v="165.56"/>
    <x v="1"/>
    <x v="0"/>
    <x v="3"/>
    <x v="9"/>
    <s v="Asturias"/>
    <x v="1"/>
    <m/>
    <n v="183.96"/>
    <n v="18.400000000000006"/>
  </r>
  <r>
    <s v="ORD-101850"/>
    <x v="423"/>
    <x v="16"/>
    <x v="1"/>
    <n v="2"/>
    <n v="79.989999999999995"/>
    <x v="4"/>
    <n v="63.99"/>
    <n v="127.98"/>
    <x v="0"/>
    <x v="0"/>
    <x v="0"/>
    <x v="11"/>
    <s v="Cataluña"/>
    <x v="2"/>
    <n v="4"/>
    <n v="159.97999999999999"/>
    <n v="31.999999999999986"/>
  </r>
  <r>
    <s v="ORD-101851"/>
    <x v="584"/>
    <x v="16"/>
    <x v="1"/>
    <n v="1"/>
    <n v="79.989999999999995"/>
    <x v="1"/>
    <n v="79.989999999999995"/>
    <n v="79.989999999999995"/>
    <x v="0"/>
    <x v="0"/>
    <x v="4"/>
    <x v="0"/>
    <s v="Andalucía"/>
    <x v="0"/>
    <n v="1"/>
    <n v="79.989999999999995"/>
    <n v="0"/>
  </r>
  <r>
    <s v="ORD-101852"/>
    <x v="656"/>
    <x v="26"/>
    <x v="1"/>
    <n v="1"/>
    <n v="599.99"/>
    <x v="3"/>
    <n v="539.99"/>
    <n v="539.99"/>
    <x v="0"/>
    <x v="1"/>
    <x v="4"/>
    <x v="4"/>
    <s v="Castilla y León"/>
    <x v="1"/>
    <n v="1"/>
    <n v="599.99"/>
    <n v="60"/>
  </r>
  <r>
    <s v="ORD-101853"/>
    <x v="358"/>
    <x v="15"/>
    <x v="3"/>
    <n v="1"/>
    <n v="69.989999999999995"/>
    <x v="1"/>
    <n v="69.989999999999995"/>
    <n v="69.989999999999995"/>
    <x v="0"/>
    <x v="0"/>
    <x v="0"/>
    <x v="7"/>
    <s v="Castilla y León"/>
    <x v="1"/>
    <n v="3"/>
    <n v="69.989999999999995"/>
    <n v="0"/>
  </r>
  <r>
    <s v="ORD-101854"/>
    <x v="617"/>
    <x v="8"/>
    <x v="2"/>
    <n v="5"/>
    <n v="59.99"/>
    <x v="3"/>
    <n v="53.99"/>
    <n v="269.95"/>
    <x v="0"/>
    <x v="3"/>
    <x v="0"/>
    <x v="11"/>
    <s v="Cataluña"/>
    <x v="2"/>
    <n v="5"/>
    <n v="299.95"/>
    <n v="30"/>
  </r>
  <r>
    <s v="ORD-101855"/>
    <x v="221"/>
    <x v="29"/>
    <x v="0"/>
    <n v="5"/>
    <n v="129.99"/>
    <x v="1"/>
    <n v="129.99"/>
    <n v="649.95000000000005"/>
    <x v="4"/>
    <x v="2"/>
    <x v="4"/>
    <x v="11"/>
    <s v="Cataluña"/>
    <x v="2"/>
    <m/>
    <n v="649.95000000000005"/>
    <n v="0"/>
  </r>
  <r>
    <s v="ORD-101856"/>
    <x v="569"/>
    <x v="15"/>
    <x v="3"/>
    <n v="5"/>
    <n v="69.989999999999995"/>
    <x v="1"/>
    <n v="69.989999999999995"/>
    <n v="349.95"/>
    <x v="2"/>
    <x v="2"/>
    <x v="1"/>
    <x v="10"/>
    <s v="Cantabria"/>
    <x v="1"/>
    <m/>
    <n v="349.95"/>
    <n v="0"/>
  </r>
  <r>
    <s v="ORD-101857"/>
    <x v="410"/>
    <x v="11"/>
    <x v="0"/>
    <n v="4"/>
    <n v="349.99"/>
    <x v="1"/>
    <n v="349.99"/>
    <n v="1399.96"/>
    <x v="1"/>
    <x v="1"/>
    <x v="4"/>
    <x v="4"/>
    <s v="Castilla y León"/>
    <x v="1"/>
    <m/>
    <n v="1399.96"/>
    <n v="0"/>
  </r>
  <r>
    <s v="ORD-101858"/>
    <x v="79"/>
    <x v="8"/>
    <x v="2"/>
    <n v="3"/>
    <n v="59.99"/>
    <x v="1"/>
    <n v="59.99"/>
    <n v="179.97"/>
    <x v="0"/>
    <x v="0"/>
    <x v="3"/>
    <x v="9"/>
    <s v="Asturias"/>
    <x v="1"/>
    <n v="1"/>
    <n v="179.97"/>
    <n v="0"/>
  </r>
  <r>
    <s v="ORD-101859"/>
    <x v="259"/>
    <x v="21"/>
    <x v="0"/>
    <n v="5"/>
    <n v="799.99"/>
    <x v="1"/>
    <n v="799.99"/>
    <n v="3999.95"/>
    <x v="4"/>
    <x v="0"/>
    <x v="3"/>
    <x v="4"/>
    <s v="Castilla y León"/>
    <x v="1"/>
    <m/>
    <n v="3999.95"/>
    <n v="0"/>
  </r>
  <r>
    <s v="ORD-101860"/>
    <x v="58"/>
    <x v="5"/>
    <x v="1"/>
    <n v="4"/>
    <n v="149.99"/>
    <x v="4"/>
    <n v="119.99"/>
    <n v="479.96"/>
    <x v="0"/>
    <x v="1"/>
    <x v="0"/>
    <x v="11"/>
    <s v="Cataluña"/>
    <x v="2"/>
    <n v="2"/>
    <n v="599.96"/>
    <n v="120.00000000000006"/>
  </r>
  <r>
    <s v="ORD-101861"/>
    <x v="132"/>
    <x v="11"/>
    <x v="0"/>
    <n v="2"/>
    <n v="349.99"/>
    <x v="4"/>
    <n v="279.99"/>
    <n v="559.98"/>
    <x v="0"/>
    <x v="0"/>
    <x v="3"/>
    <x v="2"/>
    <s v="Navarra"/>
    <x v="1"/>
    <n v="4"/>
    <n v="699.98"/>
    <n v="140"/>
  </r>
  <r>
    <s v="ORD-101862"/>
    <x v="264"/>
    <x v="2"/>
    <x v="2"/>
    <n v="5"/>
    <n v="299.99"/>
    <x v="1"/>
    <n v="299.99"/>
    <n v="1499.95"/>
    <x v="2"/>
    <x v="1"/>
    <x v="0"/>
    <x v="11"/>
    <s v="Cataluña"/>
    <x v="2"/>
    <m/>
    <n v="1499.95"/>
    <n v="0"/>
  </r>
  <r>
    <s v="ORD-101863"/>
    <x v="180"/>
    <x v="1"/>
    <x v="1"/>
    <n v="5"/>
    <n v="399.99"/>
    <x v="0"/>
    <n v="339.99"/>
    <n v="1699.95"/>
    <x v="0"/>
    <x v="2"/>
    <x v="1"/>
    <x v="13"/>
    <s v="Andalucía"/>
    <x v="0"/>
    <n v="3"/>
    <n v="1999.95"/>
    <n v="300"/>
  </r>
  <r>
    <s v="ORD-101864"/>
    <x v="529"/>
    <x v="11"/>
    <x v="0"/>
    <n v="4"/>
    <n v="349.99"/>
    <x v="4"/>
    <n v="279.99"/>
    <n v="1119.96"/>
    <x v="0"/>
    <x v="0"/>
    <x v="3"/>
    <x v="9"/>
    <s v="Asturias"/>
    <x v="1"/>
    <n v="1"/>
    <n v="1399.96"/>
    <n v="280"/>
  </r>
  <r>
    <s v="ORD-101865"/>
    <x v="528"/>
    <x v="19"/>
    <x v="0"/>
    <n v="4"/>
    <n v="1199.99"/>
    <x v="1"/>
    <n v="1199.99"/>
    <n v="4799.96"/>
    <x v="0"/>
    <x v="1"/>
    <x v="0"/>
    <x v="12"/>
    <s v="Región de Murcia"/>
    <x v="1"/>
    <n v="3"/>
    <n v="4799.96"/>
    <n v="0"/>
  </r>
  <r>
    <s v="ORD-101866"/>
    <x v="388"/>
    <x v="2"/>
    <x v="2"/>
    <n v="1"/>
    <n v="299.99"/>
    <x v="3"/>
    <n v="269.99"/>
    <n v="269.99"/>
    <x v="2"/>
    <x v="2"/>
    <x v="0"/>
    <x v="0"/>
    <s v="Andalucía"/>
    <x v="0"/>
    <m/>
    <n v="299.99"/>
    <n v="30"/>
  </r>
  <r>
    <s v="ORD-101867"/>
    <x v="102"/>
    <x v="10"/>
    <x v="2"/>
    <n v="5"/>
    <n v="69.989999999999995"/>
    <x v="3"/>
    <n v="62.99"/>
    <n v="314.95"/>
    <x v="0"/>
    <x v="1"/>
    <x v="3"/>
    <x v="14"/>
    <s v="Aragón"/>
    <x v="0"/>
    <n v="1"/>
    <n v="349.95"/>
    <n v="35"/>
  </r>
  <r>
    <s v="ORD-101868"/>
    <x v="581"/>
    <x v="20"/>
    <x v="3"/>
    <n v="2"/>
    <n v="39.99"/>
    <x v="1"/>
    <n v="39.99"/>
    <n v="79.98"/>
    <x v="4"/>
    <x v="2"/>
    <x v="1"/>
    <x v="3"/>
    <s v="Comunidad de Madrid"/>
    <x v="2"/>
    <m/>
    <n v="79.98"/>
    <n v="0"/>
  </r>
  <r>
    <s v="ORD-101869"/>
    <x v="122"/>
    <x v="10"/>
    <x v="2"/>
    <n v="5"/>
    <n v="69.989999999999995"/>
    <x v="3"/>
    <n v="62.99"/>
    <n v="314.95"/>
    <x v="2"/>
    <x v="0"/>
    <x v="1"/>
    <x v="7"/>
    <s v="Castilla y León"/>
    <x v="1"/>
    <m/>
    <n v="349.95"/>
    <n v="35"/>
  </r>
  <r>
    <s v="ORD-101870"/>
    <x v="671"/>
    <x v="0"/>
    <x v="0"/>
    <n v="4"/>
    <n v="45.99"/>
    <x v="1"/>
    <n v="45.99"/>
    <n v="183.96"/>
    <x v="2"/>
    <x v="0"/>
    <x v="1"/>
    <x v="10"/>
    <s v="Cantabria"/>
    <x v="1"/>
    <m/>
    <n v="183.96"/>
    <n v="0"/>
  </r>
  <r>
    <s v="ORD-101871"/>
    <x v="117"/>
    <x v="21"/>
    <x v="0"/>
    <n v="5"/>
    <n v="799.99"/>
    <x v="0"/>
    <n v="679.99"/>
    <n v="3399.95"/>
    <x v="1"/>
    <x v="2"/>
    <x v="0"/>
    <x v="3"/>
    <s v="Comunidad de Madrid"/>
    <x v="2"/>
    <m/>
    <n v="3999.95"/>
    <n v="600"/>
  </r>
  <r>
    <s v="ORD-101872"/>
    <x v="217"/>
    <x v="0"/>
    <x v="0"/>
    <n v="3"/>
    <n v="45.99"/>
    <x v="1"/>
    <n v="45.99"/>
    <n v="137.97"/>
    <x v="3"/>
    <x v="2"/>
    <x v="2"/>
    <x v="9"/>
    <s v="Asturias"/>
    <x v="1"/>
    <m/>
    <n v="137.97"/>
    <n v="0"/>
  </r>
  <r>
    <s v="ORD-101873"/>
    <x v="169"/>
    <x v="20"/>
    <x v="3"/>
    <n v="2"/>
    <n v="39.99"/>
    <x v="1"/>
    <n v="39.99"/>
    <n v="79.98"/>
    <x v="3"/>
    <x v="0"/>
    <x v="0"/>
    <x v="13"/>
    <s v="Andalucía"/>
    <x v="0"/>
    <m/>
    <n v="79.98"/>
    <n v="0"/>
  </r>
  <r>
    <s v="ORD-101874"/>
    <x v="12"/>
    <x v="27"/>
    <x v="1"/>
    <n v="3"/>
    <n v="49.99"/>
    <x v="2"/>
    <n v="47.49"/>
    <n v="142.47"/>
    <x v="1"/>
    <x v="2"/>
    <x v="1"/>
    <x v="10"/>
    <s v="Cantabria"/>
    <x v="1"/>
    <m/>
    <n v="149.97"/>
    <n v="7.5"/>
  </r>
  <r>
    <s v="ORD-101875"/>
    <x v="580"/>
    <x v="23"/>
    <x v="4"/>
    <n v="3"/>
    <n v="24.99"/>
    <x v="2"/>
    <n v="23.74"/>
    <n v="71.22"/>
    <x v="1"/>
    <x v="2"/>
    <x v="3"/>
    <x v="13"/>
    <s v="Andalucía"/>
    <x v="0"/>
    <m/>
    <n v="74.97"/>
    <n v="3.75"/>
  </r>
  <r>
    <s v="ORD-101876"/>
    <x v="129"/>
    <x v="25"/>
    <x v="4"/>
    <n v="4"/>
    <n v="34.99"/>
    <x v="1"/>
    <n v="34.99"/>
    <n v="139.96"/>
    <x v="1"/>
    <x v="1"/>
    <x v="0"/>
    <x v="9"/>
    <s v="Asturias"/>
    <x v="1"/>
    <m/>
    <n v="139.96"/>
    <n v="0"/>
  </r>
  <r>
    <s v="ORD-101877"/>
    <x v="357"/>
    <x v="11"/>
    <x v="0"/>
    <n v="2"/>
    <n v="349.99"/>
    <x v="1"/>
    <n v="349.99"/>
    <n v="699.98"/>
    <x v="1"/>
    <x v="0"/>
    <x v="1"/>
    <x v="11"/>
    <s v="Cataluña"/>
    <x v="2"/>
    <m/>
    <n v="699.98"/>
    <n v="0"/>
  </r>
  <r>
    <s v="ORD-101878"/>
    <x v="359"/>
    <x v="29"/>
    <x v="0"/>
    <n v="5"/>
    <n v="129.99"/>
    <x v="1"/>
    <n v="129.99"/>
    <n v="649.95000000000005"/>
    <x v="0"/>
    <x v="0"/>
    <x v="1"/>
    <x v="10"/>
    <s v="Cantabria"/>
    <x v="1"/>
    <n v="4"/>
    <n v="649.95000000000005"/>
    <n v="0"/>
  </r>
  <r>
    <s v="ORD-101879"/>
    <x v="91"/>
    <x v="5"/>
    <x v="1"/>
    <n v="3"/>
    <n v="149.99"/>
    <x v="1"/>
    <n v="149.99"/>
    <n v="449.97"/>
    <x v="2"/>
    <x v="0"/>
    <x v="0"/>
    <x v="5"/>
    <s v="País Vasco"/>
    <x v="0"/>
    <m/>
    <n v="449.97"/>
    <n v="0"/>
  </r>
  <r>
    <s v="ORD-101880"/>
    <x v="607"/>
    <x v="6"/>
    <x v="0"/>
    <n v="5"/>
    <n v="89.99"/>
    <x v="4"/>
    <n v="71.989999999999995"/>
    <n v="359.95"/>
    <x v="0"/>
    <x v="1"/>
    <x v="0"/>
    <x v="6"/>
    <s v="Comunitat Valenciana"/>
    <x v="0"/>
    <n v="4"/>
    <n v="449.95"/>
    <n v="90"/>
  </r>
  <r>
    <s v="ORD-101881"/>
    <x v="286"/>
    <x v="0"/>
    <x v="0"/>
    <n v="2"/>
    <n v="45.99"/>
    <x v="1"/>
    <n v="45.99"/>
    <n v="91.98"/>
    <x v="2"/>
    <x v="0"/>
    <x v="1"/>
    <x v="6"/>
    <s v="Comunitat Valenciana"/>
    <x v="0"/>
    <m/>
    <n v="91.98"/>
    <n v="0"/>
  </r>
  <r>
    <s v="ORD-101882"/>
    <x v="526"/>
    <x v="28"/>
    <x v="0"/>
    <n v="4"/>
    <n v="499.99"/>
    <x v="3"/>
    <n v="449.99"/>
    <n v="1799.96"/>
    <x v="0"/>
    <x v="0"/>
    <x v="3"/>
    <x v="10"/>
    <s v="Cantabria"/>
    <x v="1"/>
    <n v="1"/>
    <n v="1999.96"/>
    <n v="200"/>
  </r>
  <r>
    <s v="ORD-101883"/>
    <x v="105"/>
    <x v="22"/>
    <x v="4"/>
    <n v="5"/>
    <n v="44.99"/>
    <x v="4"/>
    <n v="35.99"/>
    <n v="179.95"/>
    <x v="4"/>
    <x v="0"/>
    <x v="0"/>
    <x v="2"/>
    <s v="Navarra"/>
    <x v="1"/>
    <m/>
    <n v="224.95000000000002"/>
    <n v="45.000000000000028"/>
  </r>
  <r>
    <s v="ORD-101884"/>
    <x v="539"/>
    <x v="19"/>
    <x v="0"/>
    <n v="2"/>
    <n v="1199.99"/>
    <x v="1"/>
    <n v="1199.99"/>
    <n v="2399.98"/>
    <x v="2"/>
    <x v="2"/>
    <x v="3"/>
    <x v="5"/>
    <s v="País Vasco"/>
    <x v="0"/>
    <m/>
    <n v="2399.98"/>
    <n v="0"/>
  </r>
  <r>
    <s v="ORD-101885"/>
    <x v="568"/>
    <x v="23"/>
    <x v="4"/>
    <n v="1"/>
    <n v="24.99"/>
    <x v="2"/>
    <n v="23.74"/>
    <n v="23.74"/>
    <x v="0"/>
    <x v="1"/>
    <x v="0"/>
    <x v="5"/>
    <s v="País Vasco"/>
    <x v="0"/>
    <n v="2"/>
    <n v="24.99"/>
    <n v="1.25"/>
  </r>
  <r>
    <s v="ORD-101886"/>
    <x v="328"/>
    <x v="12"/>
    <x v="2"/>
    <n v="4"/>
    <n v="189.99"/>
    <x v="1"/>
    <n v="189.99"/>
    <n v="759.96"/>
    <x v="2"/>
    <x v="2"/>
    <x v="1"/>
    <x v="11"/>
    <s v="Cataluña"/>
    <x v="2"/>
    <m/>
    <n v="759.96"/>
    <n v="0"/>
  </r>
  <r>
    <s v="ORD-101887"/>
    <x v="460"/>
    <x v="5"/>
    <x v="1"/>
    <n v="2"/>
    <n v="149.99"/>
    <x v="1"/>
    <n v="149.99"/>
    <n v="299.98"/>
    <x v="0"/>
    <x v="0"/>
    <x v="1"/>
    <x v="14"/>
    <s v="Aragón"/>
    <x v="0"/>
    <n v="4"/>
    <n v="299.98"/>
    <n v="0"/>
  </r>
  <r>
    <s v="ORD-101888"/>
    <x v="672"/>
    <x v="5"/>
    <x v="1"/>
    <n v="1"/>
    <n v="149.99"/>
    <x v="3"/>
    <n v="134.99"/>
    <n v="134.99"/>
    <x v="1"/>
    <x v="2"/>
    <x v="3"/>
    <x v="10"/>
    <s v="Cantabria"/>
    <x v="1"/>
    <m/>
    <n v="149.99"/>
    <n v="15"/>
  </r>
  <r>
    <s v="ORD-101889"/>
    <x v="673"/>
    <x v="23"/>
    <x v="4"/>
    <n v="1"/>
    <n v="24.99"/>
    <x v="0"/>
    <n v="21.24"/>
    <n v="21.24"/>
    <x v="0"/>
    <x v="0"/>
    <x v="0"/>
    <x v="13"/>
    <s v="Andalucía"/>
    <x v="0"/>
    <n v="4"/>
    <n v="24.99"/>
    <n v="3.75"/>
  </r>
  <r>
    <s v="ORD-101890"/>
    <x v="203"/>
    <x v="0"/>
    <x v="0"/>
    <n v="2"/>
    <n v="45.99"/>
    <x v="4"/>
    <n v="36.79"/>
    <n v="73.58"/>
    <x v="1"/>
    <x v="1"/>
    <x v="0"/>
    <x v="1"/>
    <s v="Comunitat Valenciana"/>
    <x v="1"/>
    <m/>
    <n v="91.98"/>
    <n v="18.400000000000006"/>
  </r>
  <r>
    <s v="ORD-101891"/>
    <x v="287"/>
    <x v="22"/>
    <x v="4"/>
    <n v="5"/>
    <n v="44.99"/>
    <x v="0"/>
    <n v="38.24"/>
    <n v="191.2"/>
    <x v="0"/>
    <x v="1"/>
    <x v="3"/>
    <x v="9"/>
    <s v="Asturias"/>
    <x v="1"/>
    <n v="2"/>
    <n v="224.95000000000002"/>
    <n v="33.750000000000028"/>
  </r>
  <r>
    <s v="ORD-101892"/>
    <x v="358"/>
    <x v="16"/>
    <x v="1"/>
    <n v="5"/>
    <n v="79.989999999999995"/>
    <x v="1"/>
    <n v="79.989999999999995"/>
    <n v="399.95"/>
    <x v="0"/>
    <x v="1"/>
    <x v="4"/>
    <x v="9"/>
    <s v="Asturias"/>
    <x v="1"/>
    <n v="2"/>
    <n v="399.95"/>
    <n v="0"/>
  </r>
  <r>
    <s v="ORD-101893"/>
    <x v="428"/>
    <x v="5"/>
    <x v="1"/>
    <n v="3"/>
    <n v="149.99"/>
    <x v="1"/>
    <n v="149.99"/>
    <n v="449.97"/>
    <x v="0"/>
    <x v="1"/>
    <x v="4"/>
    <x v="9"/>
    <s v="Asturias"/>
    <x v="1"/>
    <n v="4"/>
    <n v="449.97"/>
    <n v="0"/>
  </r>
  <r>
    <s v="ORD-101894"/>
    <x v="496"/>
    <x v="23"/>
    <x v="4"/>
    <n v="2"/>
    <n v="24.99"/>
    <x v="1"/>
    <n v="24.99"/>
    <n v="49.98"/>
    <x v="1"/>
    <x v="2"/>
    <x v="0"/>
    <x v="13"/>
    <s v="Andalucía"/>
    <x v="0"/>
    <m/>
    <n v="49.98"/>
    <n v="0"/>
  </r>
  <r>
    <s v="ORD-101895"/>
    <x v="229"/>
    <x v="3"/>
    <x v="3"/>
    <n v="5"/>
    <n v="34.99"/>
    <x v="4"/>
    <n v="27.99"/>
    <n v="139.94999999999999"/>
    <x v="0"/>
    <x v="0"/>
    <x v="1"/>
    <x v="13"/>
    <s v="Andalucía"/>
    <x v="0"/>
    <n v="2"/>
    <n v="174.95000000000002"/>
    <n v="35.000000000000028"/>
  </r>
  <r>
    <s v="ORD-101896"/>
    <x v="426"/>
    <x v="3"/>
    <x v="3"/>
    <n v="4"/>
    <n v="34.99"/>
    <x v="2"/>
    <n v="33.24"/>
    <n v="132.96"/>
    <x v="1"/>
    <x v="3"/>
    <x v="3"/>
    <x v="12"/>
    <s v="Región de Murcia"/>
    <x v="1"/>
    <m/>
    <n v="139.96"/>
    <n v="7"/>
  </r>
  <r>
    <s v="ORD-101897"/>
    <x v="214"/>
    <x v="24"/>
    <x v="3"/>
    <n v="4"/>
    <n v="89.99"/>
    <x v="1"/>
    <n v="89.99"/>
    <n v="359.96"/>
    <x v="1"/>
    <x v="0"/>
    <x v="1"/>
    <x v="0"/>
    <s v="Andalucía"/>
    <x v="0"/>
    <m/>
    <n v="359.96"/>
    <n v="0"/>
  </r>
  <r>
    <s v="ORD-101898"/>
    <x v="539"/>
    <x v="21"/>
    <x v="0"/>
    <n v="5"/>
    <n v="799.99"/>
    <x v="1"/>
    <n v="799.99"/>
    <n v="3999.95"/>
    <x v="3"/>
    <x v="2"/>
    <x v="1"/>
    <x v="7"/>
    <s v="Castilla y León"/>
    <x v="1"/>
    <m/>
    <n v="3999.95"/>
    <n v="0"/>
  </r>
  <r>
    <s v="ORD-101899"/>
    <x v="189"/>
    <x v="9"/>
    <x v="2"/>
    <n v="3"/>
    <n v="29.99"/>
    <x v="1"/>
    <n v="29.99"/>
    <n v="89.97"/>
    <x v="0"/>
    <x v="0"/>
    <x v="1"/>
    <x v="12"/>
    <s v="Región de Murcia"/>
    <x v="1"/>
    <n v="3"/>
    <n v="89.97"/>
    <n v="0"/>
  </r>
  <r>
    <s v="ORD-101900"/>
    <x v="459"/>
    <x v="3"/>
    <x v="3"/>
    <n v="1"/>
    <n v="34.99"/>
    <x v="1"/>
    <n v="34.99"/>
    <n v="34.99"/>
    <x v="0"/>
    <x v="2"/>
    <x v="1"/>
    <x v="7"/>
    <s v="Castilla y León"/>
    <x v="1"/>
    <n v="5"/>
    <n v="34.99"/>
    <n v="0"/>
  </r>
  <r>
    <s v="ORD-101901"/>
    <x v="562"/>
    <x v="29"/>
    <x v="0"/>
    <n v="4"/>
    <n v="129.99"/>
    <x v="1"/>
    <n v="129.99"/>
    <n v="519.96"/>
    <x v="1"/>
    <x v="1"/>
    <x v="0"/>
    <x v="13"/>
    <s v="Andalucía"/>
    <x v="0"/>
    <m/>
    <n v="519.96"/>
    <n v="0"/>
  </r>
  <r>
    <s v="ORD-101902"/>
    <x v="14"/>
    <x v="1"/>
    <x v="1"/>
    <n v="2"/>
    <n v="399.99"/>
    <x v="0"/>
    <n v="339.99"/>
    <n v="679.98"/>
    <x v="0"/>
    <x v="2"/>
    <x v="0"/>
    <x v="2"/>
    <s v="Navarra"/>
    <x v="1"/>
    <n v="3"/>
    <n v="799.98"/>
    <n v="120"/>
  </r>
  <r>
    <s v="ORD-101903"/>
    <x v="624"/>
    <x v="28"/>
    <x v="0"/>
    <n v="2"/>
    <n v="499.99"/>
    <x v="4"/>
    <n v="399.99"/>
    <n v="799.98"/>
    <x v="3"/>
    <x v="1"/>
    <x v="1"/>
    <x v="14"/>
    <s v="Aragón"/>
    <x v="0"/>
    <m/>
    <n v="999.98"/>
    <n v="200"/>
  </r>
  <r>
    <s v="ORD-101904"/>
    <x v="167"/>
    <x v="10"/>
    <x v="2"/>
    <n v="1"/>
    <n v="69.989999999999995"/>
    <x v="0"/>
    <n v="59.49"/>
    <n v="59.49"/>
    <x v="0"/>
    <x v="0"/>
    <x v="0"/>
    <x v="11"/>
    <s v="Cataluña"/>
    <x v="2"/>
    <n v="1"/>
    <n v="69.989999999999995"/>
    <n v="10.499999999999993"/>
  </r>
  <r>
    <s v="ORD-101905"/>
    <x v="597"/>
    <x v="4"/>
    <x v="4"/>
    <n v="1"/>
    <n v="349.99"/>
    <x v="1"/>
    <n v="349.99"/>
    <n v="349.99"/>
    <x v="3"/>
    <x v="0"/>
    <x v="0"/>
    <x v="14"/>
    <s v="Aragón"/>
    <x v="0"/>
    <m/>
    <n v="349.99"/>
    <n v="0"/>
  </r>
  <r>
    <s v="ORD-101906"/>
    <x v="674"/>
    <x v="13"/>
    <x v="3"/>
    <n v="1"/>
    <n v="49.99"/>
    <x v="1"/>
    <n v="49.99"/>
    <n v="49.99"/>
    <x v="1"/>
    <x v="1"/>
    <x v="2"/>
    <x v="14"/>
    <s v="Aragón"/>
    <x v="0"/>
    <m/>
    <n v="49.99"/>
    <n v="0"/>
  </r>
  <r>
    <s v="ORD-101907"/>
    <x v="60"/>
    <x v="24"/>
    <x v="3"/>
    <n v="2"/>
    <n v="89.99"/>
    <x v="1"/>
    <n v="89.99"/>
    <n v="179.98"/>
    <x v="0"/>
    <x v="1"/>
    <x v="4"/>
    <x v="2"/>
    <s v="Navarra"/>
    <x v="1"/>
    <n v="2"/>
    <n v="179.98"/>
    <n v="0"/>
  </r>
  <r>
    <s v="ORD-101908"/>
    <x v="536"/>
    <x v="3"/>
    <x v="3"/>
    <n v="1"/>
    <n v="34.99"/>
    <x v="3"/>
    <n v="31.49"/>
    <n v="31.49"/>
    <x v="3"/>
    <x v="0"/>
    <x v="3"/>
    <x v="13"/>
    <s v="Andalucía"/>
    <x v="0"/>
    <m/>
    <n v="34.99"/>
    <n v="3.5000000000000036"/>
  </r>
  <r>
    <s v="ORD-101909"/>
    <x v="171"/>
    <x v="2"/>
    <x v="2"/>
    <n v="3"/>
    <n v="299.99"/>
    <x v="0"/>
    <n v="254.99"/>
    <n v="764.97"/>
    <x v="2"/>
    <x v="3"/>
    <x v="1"/>
    <x v="0"/>
    <s v="Andalucía"/>
    <x v="0"/>
    <m/>
    <n v="899.97"/>
    <n v="135"/>
  </r>
  <r>
    <s v="ORD-101910"/>
    <x v="489"/>
    <x v="22"/>
    <x v="4"/>
    <n v="4"/>
    <n v="44.99"/>
    <x v="1"/>
    <n v="44.99"/>
    <n v="179.96"/>
    <x v="1"/>
    <x v="2"/>
    <x v="3"/>
    <x v="6"/>
    <s v="Comunitat Valenciana"/>
    <x v="0"/>
    <m/>
    <n v="179.96"/>
    <n v="0"/>
  </r>
  <r>
    <s v="ORD-101911"/>
    <x v="657"/>
    <x v="29"/>
    <x v="0"/>
    <n v="1"/>
    <n v="129.99"/>
    <x v="3"/>
    <n v="116.99"/>
    <n v="116.99"/>
    <x v="1"/>
    <x v="0"/>
    <x v="3"/>
    <x v="8"/>
    <s v="La Rioja"/>
    <x v="1"/>
    <m/>
    <n v="129.99"/>
    <n v="13.000000000000014"/>
  </r>
  <r>
    <s v="ORD-101912"/>
    <x v="325"/>
    <x v="29"/>
    <x v="0"/>
    <n v="4"/>
    <n v="129.99"/>
    <x v="1"/>
    <n v="129.99"/>
    <n v="519.96"/>
    <x v="4"/>
    <x v="1"/>
    <x v="2"/>
    <x v="9"/>
    <s v="Asturias"/>
    <x v="1"/>
    <m/>
    <n v="519.96"/>
    <n v="0"/>
  </r>
  <r>
    <s v="ORD-101913"/>
    <x v="153"/>
    <x v="23"/>
    <x v="4"/>
    <n v="3"/>
    <n v="24.99"/>
    <x v="1"/>
    <n v="24.99"/>
    <n v="74.97"/>
    <x v="0"/>
    <x v="0"/>
    <x v="3"/>
    <x v="1"/>
    <s v="Comunitat Valenciana"/>
    <x v="1"/>
    <n v="2"/>
    <n v="74.97"/>
    <n v="0"/>
  </r>
  <r>
    <s v="ORD-101914"/>
    <x v="551"/>
    <x v="22"/>
    <x v="4"/>
    <n v="2"/>
    <n v="44.99"/>
    <x v="0"/>
    <n v="38.24"/>
    <n v="76.48"/>
    <x v="0"/>
    <x v="2"/>
    <x v="1"/>
    <x v="10"/>
    <s v="Cantabria"/>
    <x v="1"/>
    <n v="3"/>
    <n v="89.98"/>
    <n v="13.5"/>
  </r>
  <r>
    <s v="ORD-101915"/>
    <x v="567"/>
    <x v="8"/>
    <x v="2"/>
    <n v="4"/>
    <n v="59.99"/>
    <x v="1"/>
    <n v="59.99"/>
    <n v="239.96"/>
    <x v="1"/>
    <x v="0"/>
    <x v="0"/>
    <x v="1"/>
    <s v="Comunitat Valenciana"/>
    <x v="1"/>
    <m/>
    <n v="239.96"/>
    <n v="0"/>
  </r>
  <r>
    <s v="ORD-101916"/>
    <x v="584"/>
    <x v="21"/>
    <x v="0"/>
    <n v="5"/>
    <n v="799.99"/>
    <x v="1"/>
    <n v="799.99"/>
    <n v="3999.95"/>
    <x v="4"/>
    <x v="2"/>
    <x v="3"/>
    <x v="4"/>
    <s v="Castilla y León"/>
    <x v="1"/>
    <m/>
    <n v="3999.95"/>
    <n v="0"/>
  </r>
  <r>
    <s v="ORD-101917"/>
    <x v="296"/>
    <x v="17"/>
    <x v="0"/>
    <n v="2"/>
    <n v="899.99"/>
    <x v="0"/>
    <n v="764.99"/>
    <n v="1529.98"/>
    <x v="0"/>
    <x v="3"/>
    <x v="0"/>
    <x v="12"/>
    <s v="Región de Murcia"/>
    <x v="1"/>
    <n v="3"/>
    <n v="1799.98"/>
    <n v="270"/>
  </r>
  <r>
    <s v="ORD-101918"/>
    <x v="194"/>
    <x v="26"/>
    <x v="1"/>
    <n v="1"/>
    <n v="599.99"/>
    <x v="1"/>
    <n v="599.99"/>
    <n v="599.99"/>
    <x v="0"/>
    <x v="2"/>
    <x v="4"/>
    <x v="6"/>
    <s v="Comunitat Valenciana"/>
    <x v="0"/>
    <n v="1"/>
    <n v="599.99"/>
    <n v="0"/>
  </r>
  <r>
    <s v="ORD-101919"/>
    <x v="204"/>
    <x v="19"/>
    <x v="0"/>
    <n v="3"/>
    <n v="1199.99"/>
    <x v="2"/>
    <n v="1139.99"/>
    <n v="3419.97"/>
    <x v="0"/>
    <x v="0"/>
    <x v="0"/>
    <x v="12"/>
    <s v="Región de Murcia"/>
    <x v="1"/>
    <n v="3"/>
    <n v="3599.9700000000003"/>
    <n v="180.00000000000045"/>
  </r>
  <r>
    <s v="ORD-101920"/>
    <x v="423"/>
    <x v="20"/>
    <x v="3"/>
    <n v="3"/>
    <n v="39.99"/>
    <x v="1"/>
    <n v="39.99"/>
    <n v="119.97"/>
    <x v="2"/>
    <x v="3"/>
    <x v="3"/>
    <x v="8"/>
    <s v="La Rioja"/>
    <x v="1"/>
    <m/>
    <n v="119.97"/>
    <n v="0"/>
  </r>
  <r>
    <s v="ORD-101921"/>
    <x v="81"/>
    <x v="24"/>
    <x v="3"/>
    <n v="2"/>
    <n v="89.99"/>
    <x v="1"/>
    <n v="89.99"/>
    <n v="179.98"/>
    <x v="1"/>
    <x v="0"/>
    <x v="0"/>
    <x v="7"/>
    <s v="Castilla y León"/>
    <x v="1"/>
    <m/>
    <n v="179.98"/>
    <n v="0"/>
  </r>
  <r>
    <s v="ORD-101922"/>
    <x v="71"/>
    <x v="22"/>
    <x v="4"/>
    <n v="4"/>
    <n v="44.99"/>
    <x v="0"/>
    <n v="38.24"/>
    <n v="152.96"/>
    <x v="0"/>
    <x v="2"/>
    <x v="2"/>
    <x v="9"/>
    <s v="Asturias"/>
    <x v="1"/>
    <n v="1"/>
    <n v="179.96"/>
    <n v="27"/>
  </r>
  <r>
    <s v="ORD-101923"/>
    <x v="550"/>
    <x v="8"/>
    <x v="2"/>
    <n v="2"/>
    <n v="59.99"/>
    <x v="4"/>
    <n v="47.99"/>
    <n v="95.98"/>
    <x v="1"/>
    <x v="0"/>
    <x v="3"/>
    <x v="0"/>
    <s v="Andalucía"/>
    <x v="0"/>
    <m/>
    <n v="119.98"/>
    <n v="24"/>
  </r>
  <r>
    <s v="ORD-101924"/>
    <x v="353"/>
    <x v="1"/>
    <x v="1"/>
    <n v="2"/>
    <n v="399.99"/>
    <x v="4"/>
    <n v="319.99"/>
    <n v="639.98"/>
    <x v="0"/>
    <x v="0"/>
    <x v="0"/>
    <x v="11"/>
    <s v="Cataluña"/>
    <x v="2"/>
    <n v="3"/>
    <n v="799.98"/>
    <n v="160"/>
  </r>
  <r>
    <s v="ORD-101925"/>
    <x v="294"/>
    <x v="6"/>
    <x v="0"/>
    <n v="2"/>
    <n v="89.99"/>
    <x v="3"/>
    <n v="80.989999999999995"/>
    <n v="161.97999999999999"/>
    <x v="1"/>
    <x v="3"/>
    <x v="1"/>
    <x v="8"/>
    <s v="La Rioja"/>
    <x v="1"/>
    <m/>
    <n v="179.98"/>
    <n v="18"/>
  </r>
  <r>
    <s v="ORD-101926"/>
    <x v="66"/>
    <x v="8"/>
    <x v="2"/>
    <n v="1"/>
    <n v="59.99"/>
    <x v="3"/>
    <n v="53.99"/>
    <n v="53.99"/>
    <x v="0"/>
    <x v="0"/>
    <x v="4"/>
    <x v="10"/>
    <s v="Cantabria"/>
    <x v="1"/>
    <n v="1"/>
    <n v="59.99"/>
    <n v="6"/>
  </r>
  <r>
    <s v="ORD-101927"/>
    <x v="205"/>
    <x v="6"/>
    <x v="0"/>
    <n v="1"/>
    <n v="89.99"/>
    <x v="1"/>
    <n v="89.99"/>
    <n v="89.99"/>
    <x v="0"/>
    <x v="0"/>
    <x v="0"/>
    <x v="9"/>
    <s v="Asturias"/>
    <x v="1"/>
    <n v="1"/>
    <n v="89.99"/>
    <n v="0"/>
  </r>
  <r>
    <s v="ORD-101928"/>
    <x v="648"/>
    <x v="24"/>
    <x v="3"/>
    <n v="5"/>
    <n v="89.99"/>
    <x v="1"/>
    <n v="89.99"/>
    <n v="449.95"/>
    <x v="0"/>
    <x v="1"/>
    <x v="3"/>
    <x v="0"/>
    <s v="Andalucía"/>
    <x v="0"/>
    <n v="2"/>
    <n v="449.95"/>
    <n v="0"/>
  </r>
  <r>
    <s v="ORD-101929"/>
    <x v="171"/>
    <x v="13"/>
    <x v="3"/>
    <n v="5"/>
    <n v="49.99"/>
    <x v="4"/>
    <n v="39.99"/>
    <n v="199.95"/>
    <x v="2"/>
    <x v="0"/>
    <x v="0"/>
    <x v="12"/>
    <s v="Región de Murcia"/>
    <x v="1"/>
    <m/>
    <n v="249.95000000000002"/>
    <n v="50.000000000000028"/>
  </r>
  <r>
    <s v="ORD-101930"/>
    <x v="488"/>
    <x v="21"/>
    <x v="0"/>
    <n v="3"/>
    <n v="799.99"/>
    <x v="1"/>
    <n v="799.99"/>
    <n v="2399.9699999999998"/>
    <x v="2"/>
    <x v="3"/>
    <x v="1"/>
    <x v="1"/>
    <s v="Comunitat Valenciana"/>
    <x v="1"/>
    <m/>
    <n v="2399.9700000000003"/>
    <n v="0"/>
  </r>
  <r>
    <s v="ORD-101931"/>
    <x v="543"/>
    <x v="18"/>
    <x v="2"/>
    <n v="1"/>
    <n v="99.99"/>
    <x v="1"/>
    <n v="99.99"/>
    <n v="99.99"/>
    <x v="0"/>
    <x v="2"/>
    <x v="0"/>
    <x v="14"/>
    <s v="Aragón"/>
    <x v="0"/>
    <n v="4"/>
    <n v="99.99"/>
    <n v="0"/>
  </r>
  <r>
    <s v="ORD-101932"/>
    <x v="531"/>
    <x v="25"/>
    <x v="4"/>
    <n v="5"/>
    <n v="34.99"/>
    <x v="1"/>
    <n v="34.99"/>
    <n v="174.95"/>
    <x v="1"/>
    <x v="1"/>
    <x v="0"/>
    <x v="7"/>
    <s v="Castilla y León"/>
    <x v="1"/>
    <m/>
    <n v="174.95000000000002"/>
    <n v="0"/>
  </r>
  <r>
    <s v="ORD-101933"/>
    <x v="312"/>
    <x v="25"/>
    <x v="4"/>
    <n v="3"/>
    <n v="34.99"/>
    <x v="0"/>
    <n v="29.74"/>
    <n v="89.22"/>
    <x v="0"/>
    <x v="1"/>
    <x v="4"/>
    <x v="3"/>
    <s v="Comunidad de Madrid"/>
    <x v="2"/>
    <n v="3"/>
    <n v="104.97"/>
    <n v="15.75"/>
  </r>
  <r>
    <s v="ORD-101934"/>
    <x v="475"/>
    <x v="18"/>
    <x v="2"/>
    <n v="2"/>
    <n v="99.99"/>
    <x v="1"/>
    <n v="99.99"/>
    <n v="199.98"/>
    <x v="0"/>
    <x v="0"/>
    <x v="1"/>
    <x v="12"/>
    <s v="Región de Murcia"/>
    <x v="1"/>
    <n v="5"/>
    <n v="199.98"/>
    <n v="0"/>
  </r>
  <r>
    <s v="ORD-101935"/>
    <x v="465"/>
    <x v="6"/>
    <x v="0"/>
    <n v="4"/>
    <n v="89.99"/>
    <x v="1"/>
    <n v="89.99"/>
    <n v="359.96"/>
    <x v="4"/>
    <x v="0"/>
    <x v="3"/>
    <x v="9"/>
    <s v="Asturias"/>
    <x v="1"/>
    <m/>
    <n v="359.96"/>
    <n v="0"/>
  </r>
  <r>
    <s v="ORD-101936"/>
    <x v="107"/>
    <x v="2"/>
    <x v="2"/>
    <n v="5"/>
    <n v="299.99"/>
    <x v="0"/>
    <n v="254.99"/>
    <n v="1274.95"/>
    <x v="3"/>
    <x v="0"/>
    <x v="2"/>
    <x v="1"/>
    <s v="Comunitat Valenciana"/>
    <x v="1"/>
    <m/>
    <n v="1499.95"/>
    <n v="225"/>
  </r>
  <r>
    <s v="ORD-101937"/>
    <x v="174"/>
    <x v="15"/>
    <x v="3"/>
    <n v="4"/>
    <n v="69.989999999999995"/>
    <x v="1"/>
    <n v="69.989999999999995"/>
    <n v="279.95999999999998"/>
    <x v="0"/>
    <x v="1"/>
    <x v="3"/>
    <x v="2"/>
    <s v="Navarra"/>
    <x v="1"/>
    <n v="2"/>
    <n v="279.95999999999998"/>
    <n v="0"/>
  </r>
  <r>
    <s v="ORD-101938"/>
    <x v="227"/>
    <x v="1"/>
    <x v="1"/>
    <n v="2"/>
    <n v="399.99"/>
    <x v="1"/>
    <n v="399.99"/>
    <n v="799.98"/>
    <x v="1"/>
    <x v="1"/>
    <x v="3"/>
    <x v="13"/>
    <s v="Andalucía"/>
    <x v="0"/>
    <m/>
    <n v="799.98"/>
    <n v="0"/>
  </r>
  <r>
    <s v="ORD-101939"/>
    <x v="307"/>
    <x v="26"/>
    <x v="1"/>
    <n v="4"/>
    <n v="599.99"/>
    <x v="2"/>
    <n v="569.99"/>
    <n v="2279.96"/>
    <x v="0"/>
    <x v="2"/>
    <x v="3"/>
    <x v="10"/>
    <s v="Cantabria"/>
    <x v="1"/>
    <n v="1"/>
    <n v="2399.96"/>
    <n v="120"/>
  </r>
  <r>
    <s v="ORD-101940"/>
    <x v="304"/>
    <x v="8"/>
    <x v="2"/>
    <n v="3"/>
    <n v="59.99"/>
    <x v="2"/>
    <n v="56.99"/>
    <n v="170.97"/>
    <x v="4"/>
    <x v="0"/>
    <x v="3"/>
    <x v="9"/>
    <s v="Asturias"/>
    <x v="1"/>
    <m/>
    <n v="179.97"/>
    <n v="9"/>
  </r>
  <r>
    <s v="ORD-101941"/>
    <x v="122"/>
    <x v="8"/>
    <x v="2"/>
    <n v="2"/>
    <n v="59.99"/>
    <x v="1"/>
    <n v="59.99"/>
    <n v="119.98"/>
    <x v="0"/>
    <x v="0"/>
    <x v="0"/>
    <x v="6"/>
    <s v="Comunitat Valenciana"/>
    <x v="0"/>
    <n v="4"/>
    <n v="119.98"/>
    <n v="0"/>
  </r>
  <r>
    <s v="ORD-101942"/>
    <x v="176"/>
    <x v="7"/>
    <x v="3"/>
    <n v="3"/>
    <n v="19.989999999999998"/>
    <x v="1"/>
    <n v="19.989999999999998"/>
    <n v="59.97"/>
    <x v="0"/>
    <x v="0"/>
    <x v="2"/>
    <x v="13"/>
    <s v="Andalucía"/>
    <x v="0"/>
    <n v="5"/>
    <n v="59.97"/>
    <n v="0"/>
  </r>
  <r>
    <s v="ORD-101943"/>
    <x v="103"/>
    <x v="28"/>
    <x v="0"/>
    <n v="2"/>
    <n v="499.99"/>
    <x v="2"/>
    <n v="474.99"/>
    <n v="949.98"/>
    <x v="1"/>
    <x v="0"/>
    <x v="4"/>
    <x v="12"/>
    <s v="Región de Murcia"/>
    <x v="1"/>
    <m/>
    <n v="999.98"/>
    <n v="50"/>
  </r>
  <r>
    <s v="ORD-101944"/>
    <x v="241"/>
    <x v="16"/>
    <x v="1"/>
    <n v="1"/>
    <n v="79.989999999999995"/>
    <x v="1"/>
    <n v="79.989999999999995"/>
    <n v="79.989999999999995"/>
    <x v="4"/>
    <x v="3"/>
    <x v="1"/>
    <x v="11"/>
    <s v="Cataluña"/>
    <x v="2"/>
    <m/>
    <n v="79.989999999999995"/>
    <n v="0"/>
  </r>
  <r>
    <s v="ORD-101945"/>
    <x v="149"/>
    <x v="13"/>
    <x v="3"/>
    <n v="2"/>
    <n v="49.99"/>
    <x v="1"/>
    <n v="49.99"/>
    <n v="99.98"/>
    <x v="0"/>
    <x v="2"/>
    <x v="3"/>
    <x v="12"/>
    <s v="Región de Murcia"/>
    <x v="1"/>
    <n v="1"/>
    <n v="99.98"/>
    <n v="0"/>
  </r>
  <r>
    <s v="ORD-101946"/>
    <x v="354"/>
    <x v="9"/>
    <x v="2"/>
    <n v="2"/>
    <n v="29.99"/>
    <x v="1"/>
    <n v="29.99"/>
    <n v="59.98"/>
    <x v="1"/>
    <x v="1"/>
    <x v="1"/>
    <x v="9"/>
    <s v="Asturias"/>
    <x v="1"/>
    <m/>
    <n v="59.98"/>
    <n v="0"/>
  </r>
  <r>
    <s v="ORD-101947"/>
    <x v="444"/>
    <x v="11"/>
    <x v="0"/>
    <n v="5"/>
    <n v="349.99"/>
    <x v="1"/>
    <n v="349.99"/>
    <n v="1749.95"/>
    <x v="0"/>
    <x v="2"/>
    <x v="2"/>
    <x v="14"/>
    <s v="Aragón"/>
    <x v="0"/>
    <n v="3"/>
    <n v="1749.95"/>
    <n v="0"/>
  </r>
  <r>
    <s v="ORD-101948"/>
    <x v="170"/>
    <x v="16"/>
    <x v="1"/>
    <n v="1"/>
    <n v="79.989999999999995"/>
    <x v="1"/>
    <n v="79.989999999999995"/>
    <n v="79.989999999999995"/>
    <x v="0"/>
    <x v="0"/>
    <x v="4"/>
    <x v="13"/>
    <s v="Andalucía"/>
    <x v="0"/>
    <n v="2"/>
    <n v="79.989999999999995"/>
    <n v="0"/>
  </r>
  <r>
    <s v="ORD-101949"/>
    <x v="152"/>
    <x v="9"/>
    <x v="2"/>
    <n v="4"/>
    <n v="29.99"/>
    <x v="4"/>
    <n v="23.99"/>
    <n v="95.96"/>
    <x v="0"/>
    <x v="1"/>
    <x v="0"/>
    <x v="14"/>
    <s v="Aragón"/>
    <x v="0"/>
    <n v="2"/>
    <n v="119.96"/>
    <n v="24"/>
  </r>
  <r>
    <s v="ORD-101950"/>
    <x v="178"/>
    <x v="24"/>
    <x v="3"/>
    <n v="5"/>
    <n v="89.99"/>
    <x v="1"/>
    <n v="89.99"/>
    <n v="449.95"/>
    <x v="1"/>
    <x v="0"/>
    <x v="2"/>
    <x v="1"/>
    <s v="Comunitat Valenciana"/>
    <x v="1"/>
    <m/>
    <n v="449.95"/>
    <n v="0"/>
  </r>
  <r>
    <s v="ORD-101951"/>
    <x v="261"/>
    <x v="1"/>
    <x v="1"/>
    <n v="4"/>
    <n v="399.99"/>
    <x v="1"/>
    <n v="399.99"/>
    <n v="1599.96"/>
    <x v="0"/>
    <x v="0"/>
    <x v="1"/>
    <x v="4"/>
    <s v="Castilla y León"/>
    <x v="1"/>
    <n v="5"/>
    <n v="1599.96"/>
    <n v="0"/>
  </r>
  <r>
    <s v="ORD-101952"/>
    <x v="258"/>
    <x v="6"/>
    <x v="0"/>
    <n v="5"/>
    <n v="89.99"/>
    <x v="2"/>
    <n v="85.49"/>
    <n v="427.45"/>
    <x v="0"/>
    <x v="2"/>
    <x v="4"/>
    <x v="4"/>
    <s v="Castilla y León"/>
    <x v="1"/>
    <n v="3"/>
    <n v="449.95"/>
    <n v="22.5"/>
  </r>
  <r>
    <s v="ORD-101953"/>
    <x v="359"/>
    <x v="26"/>
    <x v="1"/>
    <n v="4"/>
    <n v="599.99"/>
    <x v="4"/>
    <n v="479.99"/>
    <n v="1919.96"/>
    <x v="0"/>
    <x v="0"/>
    <x v="0"/>
    <x v="2"/>
    <s v="Navarra"/>
    <x v="1"/>
    <n v="1"/>
    <n v="2399.96"/>
    <n v="480"/>
  </r>
  <r>
    <s v="ORD-101954"/>
    <x v="366"/>
    <x v="28"/>
    <x v="0"/>
    <n v="2"/>
    <n v="499.99"/>
    <x v="0"/>
    <n v="424.99"/>
    <n v="849.98"/>
    <x v="0"/>
    <x v="2"/>
    <x v="3"/>
    <x v="14"/>
    <s v="Aragón"/>
    <x v="0"/>
    <n v="2"/>
    <n v="999.98"/>
    <n v="150"/>
  </r>
  <r>
    <s v="ORD-101955"/>
    <x v="625"/>
    <x v="24"/>
    <x v="3"/>
    <n v="4"/>
    <n v="89.99"/>
    <x v="1"/>
    <n v="89.99"/>
    <n v="359.96"/>
    <x v="1"/>
    <x v="0"/>
    <x v="2"/>
    <x v="7"/>
    <s v="Castilla y León"/>
    <x v="1"/>
    <m/>
    <n v="359.96"/>
    <n v="0"/>
  </r>
  <r>
    <s v="ORD-101956"/>
    <x v="256"/>
    <x v="22"/>
    <x v="4"/>
    <n v="5"/>
    <n v="44.99"/>
    <x v="3"/>
    <n v="40.49"/>
    <n v="202.45"/>
    <x v="0"/>
    <x v="0"/>
    <x v="2"/>
    <x v="10"/>
    <s v="Cantabria"/>
    <x v="1"/>
    <n v="5"/>
    <n v="224.95000000000002"/>
    <n v="22.500000000000028"/>
  </r>
  <r>
    <s v="ORD-101957"/>
    <x v="224"/>
    <x v="13"/>
    <x v="3"/>
    <n v="2"/>
    <n v="49.99"/>
    <x v="4"/>
    <n v="39.99"/>
    <n v="79.98"/>
    <x v="0"/>
    <x v="2"/>
    <x v="0"/>
    <x v="10"/>
    <s v="Cantabria"/>
    <x v="1"/>
    <n v="3"/>
    <n v="99.98"/>
    <n v="20"/>
  </r>
  <r>
    <s v="ORD-101958"/>
    <x v="580"/>
    <x v="11"/>
    <x v="0"/>
    <n v="3"/>
    <n v="349.99"/>
    <x v="1"/>
    <n v="349.99"/>
    <n v="1049.97"/>
    <x v="0"/>
    <x v="2"/>
    <x v="0"/>
    <x v="9"/>
    <s v="Asturias"/>
    <x v="1"/>
    <n v="4"/>
    <n v="1049.97"/>
    <n v="0"/>
  </r>
  <r>
    <s v="ORD-101959"/>
    <x v="228"/>
    <x v="26"/>
    <x v="1"/>
    <n v="4"/>
    <n v="599.99"/>
    <x v="3"/>
    <n v="539.99"/>
    <n v="2159.96"/>
    <x v="0"/>
    <x v="2"/>
    <x v="0"/>
    <x v="12"/>
    <s v="Región de Murcia"/>
    <x v="1"/>
    <n v="3"/>
    <n v="2399.96"/>
    <n v="240"/>
  </r>
  <r>
    <s v="ORD-101960"/>
    <x v="481"/>
    <x v="7"/>
    <x v="3"/>
    <n v="2"/>
    <n v="19.989999999999998"/>
    <x v="0"/>
    <n v="16.989999999999998"/>
    <n v="33.979999999999997"/>
    <x v="1"/>
    <x v="0"/>
    <x v="0"/>
    <x v="5"/>
    <s v="País Vasco"/>
    <x v="0"/>
    <m/>
    <n v="39.979999999999997"/>
    <n v="6"/>
  </r>
  <r>
    <s v="ORD-101961"/>
    <x v="667"/>
    <x v="0"/>
    <x v="0"/>
    <n v="1"/>
    <n v="45.99"/>
    <x v="4"/>
    <n v="36.79"/>
    <n v="36.79"/>
    <x v="0"/>
    <x v="0"/>
    <x v="0"/>
    <x v="12"/>
    <s v="Región de Murcia"/>
    <x v="1"/>
    <n v="4"/>
    <n v="45.99"/>
    <n v="9.2000000000000028"/>
  </r>
  <r>
    <s v="ORD-101962"/>
    <x v="237"/>
    <x v="19"/>
    <x v="0"/>
    <n v="4"/>
    <n v="1199.99"/>
    <x v="0"/>
    <n v="1019.99"/>
    <n v="4079.96"/>
    <x v="0"/>
    <x v="0"/>
    <x v="2"/>
    <x v="6"/>
    <s v="Comunitat Valenciana"/>
    <x v="0"/>
    <n v="1"/>
    <n v="4799.96"/>
    <n v="720"/>
  </r>
  <r>
    <s v="ORD-101963"/>
    <x v="675"/>
    <x v="13"/>
    <x v="3"/>
    <n v="3"/>
    <n v="49.99"/>
    <x v="3"/>
    <n v="44.99"/>
    <n v="134.97"/>
    <x v="1"/>
    <x v="2"/>
    <x v="0"/>
    <x v="3"/>
    <s v="Comunidad de Madrid"/>
    <x v="2"/>
    <m/>
    <n v="149.97"/>
    <n v="15"/>
  </r>
  <r>
    <s v="ORD-101964"/>
    <x v="371"/>
    <x v="11"/>
    <x v="0"/>
    <n v="4"/>
    <n v="349.99"/>
    <x v="1"/>
    <n v="349.99"/>
    <n v="1399.96"/>
    <x v="3"/>
    <x v="0"/>
    <x v="3"/>
    <x v="6"/>
    <s v="Comunitat Valenciana"/>
    <x v="0"/>
    <m/>
    <n v="1399.96"/>
    <n v="0"/>
  </r>
  <r>
    <s v="ORD-101965"/>
    <x v="371"/>
    <x v="28"/>
    <x v="0"/>
    <n v="1"/>
    <n v="499.99"/>
    <x v="4"/>
    <n v="399.99"/>
    <n v="399.99"/>
    <x v="0"/>
    <x v="0"/>
    <x v="3"/>
    <x v="14"/>
    <s v="Aragón"/>
    <x v="0"/>
    <n v="1"/>
    <n v="499.99"/>
    <n v="100"/>
  </r>
  <r>
    <s v="ORD-101966"/>
    <x v="474"/>
    <x v="20"/>
    <x v="3"/>
    <n v="5"/>
    <n v="39.99"/>
    <x v="1"/>
    <n v="39.99"/>
    <n v="199.95"/>
    <x v="0"/>
    <x v="2"/>
    <x v="1"/>
    <x v="9"/>
    <s v="Asturias"/>
    <x v="1"/>
    <n v="5"/>
    <n v="199.95000000000002"/>
    <n v="0"/>
  </r>
  <r>
    <s v="ORD-101967"/>
    <x v="363"/>
    <x v="25"/>
    <x v="4"/>
    <n v="2"/>
    <n v="34.99"/>
    <x v="2"/>
    <n v="33.24"/>
    <n v="66.48"/>
    <x v="0"/>
    <x v="2"/>
    <x v="0"/>
    <x v="2"/>
    <s v="Navarra"/>
    <x v="1"/>
    <n v="2"/>
    <n v="69.98"/>
    <n v="3.5"/>
  </r>
  <r>
    <s v="ORD-101968"/>
    <x v="336"/>
    <x v="9"/>
    <x v="2"/>
    <n v="5"/>
    <n v="29.99"/>
    <x v="1"/>
    <n v="29.99"/>
    <n v="149.94999999999999"/>
    <x v="0"/>
    <x v="1"/>
    <x v="3"/>
    <x v="8"/>
    <s v="La Rioja"/>
    <x v="1"/>
    <n v="1"/>
    <n v="149.94999999999999"/>
    <n v="0"/>
  </r>
  <r>
    <s v="ORD-101969"/>
    <x v="13"/>
    <x v="18"/>
    <x v="2"/>
    <n v="2"/>
    <n v="99.99"/>
    <x v="1"/>
    <n v="99.99"/>
    <n v="199.98"/>
    <x v="3"/>
    <x v="1"/>
    <x v="0"/>
    <x v="6"/>
    <s v="Comunitat Valenciana"/>
    <x v="0"/>
    <m/>
    <n v="199.98"/>
    <n v="0"/>
  </r>
  <r>
    <s v="ORD-101970"/>
    <x v="405"/>
    <x v="12"/>
    <x v="2"/>
    <n v="4"/>
    <n v="189.99"/>
    <x v="1"/>
    <n v="189.99"/>
    <n v="759.96"/>
    <x v="0"/>
    <x v="1"/>
    <x v="1"/>
    <x v="5"/>
    <s v="País Vasco"/>
    <x v="0"/>
    <n v="4"/>
    <n v="759.96"/>
    <n v="0"/>
  </r>
  <r>
    <s v="ORD-101971"/>
    <x v="237"/>
    <x v="6"/>
    <x v="0"/>
    <n v="1"/>
    <n v="89.99"/>
    <x v="1"/>
    <n v="89.99"/>
    <n v="89.99"/>
    <x v="0"/>
    <x v="0"/>
    <x v="3"/>
    <x v="0"/>
    <s v="Andalucía"/>
    <x v="0"/>
    <n v="3"/>
    <n v="89.99"/>
    <n v="0"/>
  </r>
  <r>
    <s v="ORD-101972"/>
    <x v="84"/>
    <x v="6"/>
    <x v="0"/>
    <n v="5"/>
    <n v="89.99"/>
    <x v="1"/>
    <n v="89.99"/>
    <n v="449.95"/>
    <x v="0"/>
    <x v="0"/>
    <x v="0"/>
    <x v="8"/>
    <s v="La Rioja"/>
    <x v="1"/>
    <n v="5"/>
    <n v="449.95"/>
    <n v="0"/>
  </r>
  <r>
    <s v="ORD-101973"/>
    <x v="615"/>
    <x v="22"/>
    <x v="4"/>
    <n v="5"/>
    <n v="44.99"/>
    <x v="1"/>
    <n v="44.99"/>
    <n v="224.95"/>
    <x v="0"/>
    <x v="1"/>
    <x v="0"/>
    <x v="14"/>
    <s v="Aragón"/>
    <x v="0"/>
    <n v="2"/>
    <n v="224.95000000000002"/>
    <n v="0"/>
  </r>
  <r>
    <s v="ORD-101974"/>
    <x v="149"/>
    <x v="7"/>
    <x v="3"/>
    <n v="3"/>
    <n v="19.989999999999998"/>
    <x v="1"/>
    <n v="19.989999999999998"/>
    <n v="59.97"/>
    <x v="0"/>
    <x v="0"/>
    <x v="1"/>
    <x v="5"/>
    <s v="País Vasco"/>
    <x v="0"/>
    <n v="4"/>
    <n v="59.97"/>
    <n v="0"/>
  </r>
  <r>
    <s v="ORD-101975"/>
    <x v="83"/>
    <x v="26"/>
    <x v="1"/>
    <n v="5"/>
    <n v="599.99"/>
    <x v="0"/>
    <n v="509.99"/>
    <n v="2549.9499999999998"/>
    <x v="1"/>
    <x v="0"/>
    <x v="0"/>
    <x v="2"/>
    <s v="Navarra"/>
    <x v="1"/>
    <m/>
    <n v="2999.95"/>
    <n v="450"/>
  </r>
  <r>
    <s v="ORD-101976"/>
    <x v="301"/>
    <x v="20"/>
    <x v="3"/>
    <n v="1"/>
    <n v="39.99"/>
    <x v="0"/>
    <n v="33.99"/>
    <n v="33.99"/>
    <x v="3"/>
    <x v="0"/>
    <x v="3"/>
    <x v="0"/>
    <s v="Andalucía"/>
    <x v="0"/>
    <m/>
    <n v="39.99"/>
    <n v="6"/>
  </r>
  <r>
    <s v="ORD-101977"/>
    <x v="113"/>
    <x v="25"/>
    <x v="4"/>
    <n v="2"/>
    <n v="34.99"/>
    <x v="3"/>
    <n v="31.49"/>
    <n v="62.98"/>
    <x v="2"/>
    <x v="1"/>
    <x v="1"/>
    <x v="14"/>
    <s v="Aragón"/>
    <x v="0"/>
    <m/>
    <n v="69.98"/>
    <n v="7.0000000000000071"/>
  </r>
  <r>
    <s v="ORD-101978"/>
    <x v="163"/>
    <x v="1"/>
    <x v="1"/>
    <n v="3"/>
    <n v="399.99"/>
    <x v="1"/>
    <n v="399.99"/>
    <n v="1199.97"/>
    <x v="0"/>
    <x v="0"/>
    <x v="2"/>
    <x v="5"/>
    <s v="País Vasco"/>
    <x v="0"/>
    <n v="3"/>
    <n v="1199.97"/>
    <n v="0"/>
  </r>
  <r>
    <s v="ORD-101979"/>
    <x v="502"/>
    <x v="16"/>
    <x v="1"/>
    <n v="4"/>
    <n v="79.989999999999995"/>
    <x v="0"/>
    <n v="67.989999999999995"/>
    <n v="271.95999999999998"/>
    <x v="0"/>
    <x v="1"/>
    <x v="0"/>
    <x v="13"/>
    <s v="Andalucía"/>
    <x v="0"/>
    <n v="4"/>
    <n v="319.95999999999998"/>
    <n v="48"/>
  </r>
  <r>
    <s v="ORD-101980"/>
    <x v="660"/>
    <x v="5"/>
    <x v="1"/>
    <n v="5"/>
    <n v="149.99"/>
    <x v="1"/>
    <n v="149.99"/>
    <n v="749.95"/>
    <x v="1"/>
    <x v="2"/>
    <x v="0"/>
    <x v="9"/>
    <s v="Asturias"/>
    <x v="1"/>
    <m/>
    <n v="749.95"/>
    <n v="0"/>
  </r>
  <r>
    <s v="ORD-101981"/>
    <x v="614"/>
    <x v="0"/>
    <x v="0"/>
    <n v="1"/>
    <n v="45.99"/>
    <x v="4"/>
    <n v="36.79"/>
    <n v="36.79"/>
    <x v="0"/>
    <x v="2"/>
    <x v="4"/>
    <x v="3"/>
    <s v="Comunidad de Madrid"/>
    <x v="2"/>
    <n v="1"/>
    <n v="45.99"/>
    <n v="9.2000000000000028"/>
  </r>
  <r>
    <s v="ORD-101982"/>
    <x v="581"/>
    <x v="26"/>
    <x v="1"/>
    <n v="4"/>
    <n v="599.99"/>
    <x v="0"/>
    <n v="509.99"/>
    <n v="2039.96"/>
    <x v="0"/>
    <x v="0"/>
    <x v="3"/>
    <x v="6"/>
    <s v="Comunitat Valenciana"/>
    <x v="0"/>
    <n v="2"/>
    <n v="2399.96"/>
    <n v="360"/>
  </r>
  <r>
    <s v="ORD-101983"/>
    <x v="155"/>
    <x v="10"/>
    <x v="2"/>
    <n v="3"/>
    <n v="69.989999999999995"/>
    <x v="1"/>
    <n v="69.989999999999995"/>
    <n v="209.97"/>
    <x v="0"/>
    <x v="0"/>
    <x v="1"/>
    <x v="9"/>
    <s v="Asturias"/>
    <x v="1"/>
    <n v="1"/>
    <n v="209.96999999999997"/>
    <n v="0"/>
  </r>
  <r>
    <s v="ORD-101984"/>
    <x v="137"/>
    <x v="11"/>
    <x v="0"/>
    <n v="3"/>
    <n v="349.99"/>
    <x v="2"/>
    <n v="332.49"/>
    <n v="997.47"/>
    <x v="3"/>
    <x v="3"/>
    <x v="4"/>
    <x v="4"/>
    <s v="Castilla y León"/>
    <x v="1"/>
    <m/>
    <n v="1049.97"/>
    <n v="52.5"/>
  </r>
  <r>
    <s v="ORD-101985"/>
    <x v="79"/>
    <x v="22"/>
    <x v="4"/>
    <n v="1"/>
    <n v="44.99"/>
    <x v="2"/>
    <n v="42.74"/>
    <n v="42.74"/>
    <x v="0"/>
    <x v="0"/>
    <x v="0"/>
    <x v="11"/>
    <s v="Cataluña"/>
    <x v="2"/>
    <n v="5"/>
    <n v="44.99"/>
    <n v="2.25"/>
  </r>
  <r>
    <s v="ORD-101986"/>
    <x v="676"/>
    <x v="5"/>
    <x v="1"/>
    <n v="3"/>
    <n v="149.99"/>
    <x v="1"/>
    <n v="149.99"/>
    <n v="449.97"/>
    <x v="0"/>
    <x v="1"/>
    <x v="1"/>
    <x v="1"/>
    <s v="Comunitat Valenciana"/>
    <x v="1"/>
    <n v="2"/>
    <n v="449.97"/>
    <n v="0"/>
  </r>
  <r>
    <s v="ORD-101987"/>
    <x v="151"/>
    <x v="6"/>
    <x v="0"/>
    <n v="4"/>
    <n v="89.99"/>
    <x v="0"/>
    <n v="76.489999999999995"/>
    <n v="305.95999999999998"/>
    <x v="0"/>
    <x v="1"/>
    <x v="2"/>
    <x v="3"/>
    <s v="Comunidad de Madrid"/>
    <x v="2"/>
    <n v="4"/>
    <n v="359.96"/>
    <n v="54"/>
  </r>
  <r>
    <s v="ORD-101988"/>
    <x v="320"/>
    <x v="19"/>
    <x v="0"/>
    <n v="5"/>
    <n v="1199.99"/>
    <x v="1"/>
    <n v="1199.99"/>
    <n v="5999.95"/>
    <x v="1"/>
    <x v="2"/>
    <x v="1"/>
    <x v="2"/>
    <s v="Navarra"/>
    <x v="1"/>
    <m/>
    <n v="5999.95"/>
    <n v="0"/>
  </r>
  <r>
    <s v="ORD-101989"/>
    <x v="234"/>
    <x v="21"/>
    <x v="0"/>
    <n v="3"/>
    <n v="799.99"/>
    <x v="1"/>
    <n v="799.99"/>
    <n v="2399.9699999999998"/>
    <x v="1"/>
    <x v="0"/>
    <x v="1"/>
    <x v="8"/>
    <s v="La Rioja"/>
    <x v="1"/>
    <m/>
    <n v="2399.9700000000003"/>
    <n v="0"/>
  </r>
  <r>
    <s v="ORD-101990"/>
    <x v="347"/>
    <x v="9"/>
    <x v="2"/>
    <n v="1"/>
    <n v="29.99"/>
    <x v="4"/>
    <n v="23.99"/>
    <n v="23.99"/>
    <x v="0"/>
    <x v="0"/>
    <x v="4"/>
    <x v="8"/>
    <s v="La Rioja"/>
    <x v="1"/>
    <n v="4"/>
    <n v="29.99"/>
    <n v="6"/>
  </r>
  <r>
    <s v="ORD-101991"/>
    <x v="97"/>
    <x v="2"/>
    <x v="2"/>
    <n v="1"/>
    <n v="299.99"/>
    <x v="1"/>
    <n v="299.99"/>
    <n v="299.99"/>
    <x v="0"/>
    <x v="0"/>
    <x v="2"/>
    <x v="1"/>
    <s v="Comunitat Valenciana"/>
    <x v="1"/>
    <n v="5"/>
    <n v="299.99"/>
    <n v="0"/>
  </r>
  <r>
    <s v="ORD-101992"/>
    <x v="536"/>
    <x v="15"/>
    <x v="3"/>
    <n v="3"/>
    <n v="69.989999999999995"/>
    <x v="0"/>
    <n v="59.49"/>
    <n v="178.47"/>
    <x v="0"/>
    <x v="0"/>
    <x v="1"/>
    <x v="6"/>
    <s v="Comunitat Valenciana"/>
    <x v="0"/>
    <n v="4"/>
    <n v="209.96999999999997"/>
    <n v="31.499999999999972"/>
  </r>
  <r>
    <s v="ORD-101993"/>
    <x v="545"/>
    <x v="1"/>
    <x v="1"/>
    <n v="4"/>
    <n v="399.99"/>
    <x v="1"/>
    <n v="399.99"/>
    <n v="1599.96"/>
    <x v="0"/>
    <x v="2"/>
    <x v="0"/>
    <x v="14"/>
    <s v="Aragón"/>
    <x v="0"/>
    <n v="4"/>
    <n v="1599.96"/>
    <n v="0"/>
  </r>
  <r>
    <s v="ORD-101994"/>
    <x v="157"/>
    <x v="5"/>
    <x v="1"/>
    <n v="4"/>
    <n v="149.99"/>
    <x v="1"/>
    <n v="149.99"/>
    <n v="599.96"/>
    <x v="4"/>
    <x v="1"/>
    <x v="2"/>
    <x v="11"/>
    <s v="Cataluña"/>
    <x v="2"/>
    <m/>
    <n v="599.96"/>
    <n v="0"/>
  </r>
  <r>
    <s v="ORD-101995"/>
    <x v="257"/>
    <x v="22"/>
    <x v="4"/>
    <n v="3"/>
    <n v="44.99"/>
    <x v="0"/>
    <n v="38.24"/>
    <n v="114.72"/>
    <x v="0"/>
    <x v="1"/>
    <x v="1"/>
    <x v="2"/>
    <s v="Navarra"/>
    <x v="1"/>
    <n v="1"/>
    <n v="134.97"/>
    <n v="20.25"/>
  </r>
  <r>
    <s v="ORD-101996"/>
    <x v="677"/>
    <x v="14"/>
    <x v="1"/>
    <n v="2"/>
    <n v="249.99"/>
    <x v="3"/>
    <n v="224.99"/>
    <n v="449.98"/>
    <x v="0"/>
    <x v="2"/>
    <x v="0"/>
    <x v="9"/>
    <s v="Asturias"/>
    <x v="1"/>
    <n v="5"/>
    <n v="499.98"/>
    <n v="50"/>
  </r>
  <r>
    <s v="ORD-101997"/>
    <x v="304"/>
    <x v="25"/>
    <x v="4"/>
    <n v="2"/>
    <n v="34.99"/>
    <x v="4"/>
    <n v="27.99"/>
    <n v="55.98"/>
    <x v="1"/>
    <x v="2"/>
    <x v="2"/>
    <x v="11"/>
    <s v="Cataluña"/>
    <x v="2"/>
    <m/>
    <n v="69.98"/>
    <n v="14.000000000000007"/>
  </r>
  <r>
    <s v="ORD-101998"/>
    <x v="458"/>
    <x v="5"/>
    <x v="1"/>
    <n v="1"/>
    <n v="149.99"/>
    <x v="3"/>
    <n v="134.99"/>
    <n v="134.99"/>
    <x v="0"/>
    <x v="0"/>
    <x v="3"/>
    <x v="3"/>
    <s v="Comunidad de Madrid"/>
    <x v="2"/>
    <n v="2"/>
    <n v="149.99"/>
    <n v="15"/>
  </r>
  <r>
    <s v="ORD-101999"/>
    <x v="89"/>
    <x v="12"/>
    <x v="2"/>
    <n v="3"/>
    <n v="189.99"/>
    <x v="2"/>
    <n v="180.49"/>
    <n v="541.47"/>
    <x v="0"/>
    <x v="2"/>
    <x v="3"/>
    <x v="10"/>
    <s v="Cantabria"/>
    <x v="1"/>
    <n v="4"/>
    <n v="569.97"/>
    <n v="28.5"/>
  </r>
  <r>
    <s v="ORD-102000"/>
    <x v="94"/>
    <x v="12"/>
    <x v="2"/>
    <n v="4"/>
    <n v="189.99"/>
    <x v="1"/>
    <n v="189.99"/>
    <n v="759.96"/>
    <x v="0"/>
    <x v="0"/>
    <x v="1"/>
    <x v="10"/>
    <s v="Cantabria"/>
    <x v="1"/>
    <n v="1"/>
    <n v="759.96"/>
    <n v="0"/>
  </r>
  <r>
    <s v="ORD-102001"/>
    <x v="524"/>
    <x v="9"/>
    <x v="2"/>
    <n v="4"/>
    <n v="29.99"/>
    <x v="1"/>
    <n v="29.99"/>
    <n v="119.96"/>
    <x v="2"/>
    <x v="2"/>
    <x v="1"/>
    <x v="4"/>
    <s v="Castilla y León"/>
    <x v="1"/>
    <m/>
    <n v="119.96"/>
    <n v="0"/>
  </r>
  <r>
    <s v="ORD-102002"/>
    <x v="224"/>
    <x v="8"/>
    <x v="2"/>
    <n v="1"/>
    <n v="59.99"/>
    <x v="2"/>
    <n v="56.99"/>
    <n v="56.99"/>
    <x v="0"/>
    <x v="1"/>
    <x v="0"/>
    <x v="11"/>
    <s v="Cataluña"/>
    <x v="2"/>
    <n v="4"/>
    <n v="59.99"/>
    <n v="3"/>
  </r>
  <r>
    <s v="ORD-102003"/>
    <x v="581"/>
    <x v="25"/>
    <x v="4"/>
    <n v="2"/>
    <n v="34.99"/>
    <x v="3"/>
    <n v="31.49"/>
    <n v="62.98"/>
    <x v="1"/>
    <x v="0"/>
    <x v="0"/>
    <x v="8"/>
    <s v="La Rioja"/>
    <x v="1"/>
    <m/>
    <n v="69.98"/>
    <n v="7.0000000000000071"/>
  </r>
  <r>
    <s v="ORD-102004"/>
    <x v="133"/>
    <x v="0"/>
    <x v="0"/>
    <n v="2"/>
    <n v="45.99"/>
    <x v="1"/>
    <n v="45.99"/>
    <n v="91.98"/>
    <x v="2"/>
    <x v="0"/>
    <x v="0"/>
    <x v="9"/>
    <s v="Asturias"/>
    <x v="1"/>
    <m/>
    <n v="91.98"/>
    <n v="0"/>
  </r>
  <r>
    <s v="ORD-102005"/>
    <x v="404"/>
    <x v="3"/>
    <x v="3"/>
    <n v="3"/>
    <n v="34.99"/>
    <x v="0"/>
    <n v="29.74"/>
    <n v="89.22"/>
    <x v="0"/>
    <x v="1"/>
    <x v="0"/>
    <x v="10"/>
    <s v="Cantabria"/>
    <x v="1"/>
    <n v="3"/>
    <n v="104.97"/>
    <n v="15.75"/>
  </r>
  <r>
    <s v="ORD-102006"/>
    <x v="678"/>
    <x v="13"/>
    <x v="3"/>
    <n v="4"/>
    <n v="49.99"/>
    <x v="3"/>
    <n v="44.99"/>
    <n v="179.96"/>
    <x v="0"/>
    <x v="1"/>
    <x v="3"/>
    <x v="12"/>
    <s v="Región de Murcia"/>
    <x v="1"/>
    <n v="4"/>
    <n v="199.96"/>
    <n v="20"/>
  </r>
  <r>
    <s v="ORD-102007"/>
    <x v="10"/>
    <x v="16"/>
    <x v="1"/>
    <n v="3"/>
    <n v="79.989999999999995"/>
    <x v="1"/>
    <n v="79.989999999999995"/>
    <n v="239.97"/>
    <x v="0"/>
    <x v="1"/>
    <x v="1"/>
    <x v="10"/>
    <s v="Cantabria"/>
    <x v="1"/>
    <n v="5"/>
    <n v="239.96999999999997"/>
    <n v="0"/>
  </r>
  <r>
    <s v="ORD-102008"/>
    <x v="30"/>
    <x v="3"/>
    <x v="3"/>
    <n v="5"/>
    <n v="34.99"/>
    <x v="3"/>
    <n v="31.49"/>
    <n v="157.44999999999999"/>
    <x v="2"/>
    <x v="1"/>
    <x v="0"/>
    <x v="9"/>
    <s v="Asturias"/>
    <x v="1"/>
    <m/>
    <n v="174.95000000000002"/>
    <n v="17.500000000000028"/>
  </r>
  <r>
    <s v="ORD-102009"/>
    <x v="637"/>
    <x v="16"/>
    <x v="1"/>
    <n v="1"/>
    <n v="79.989999999999995"/>
    <x v="2"/>
    <n v="75.989999999999995"/>
    <n v="75.989999999999995"/>
    <x v="0"/>
    <x v="0"/>
    <x v="1"/>
    <x v="11"/>
    <s v="Cataluña"/>
    <x v="2"/>
    <n v="1"/>
    <n v="79.989999999999995"/>
    <n v="4"/>
  </r>
  <r>
    <s v="ORD-102010"/>
    <x v="428"/>
    <x v="20"/>
    <x v="3"/>
    <n v="3"/>
    <n v="39.99"/>
    <x v="1"/>
    <n v="39.99"/>
    <n v="119.97"/>
    <x v="1"/>
    <x v="0"/>
    <x v="0"/>
    <x v="12"/>
    <s v="Región de Murcia"/>
    <x v="1"/>
    <m/>
    <n v="119.97"/>
    <n v="0"/>
  </r>
  <r>
    <s v="ORD-102011"/>
    <x v="337"/>
    <x v="4"/>
    <x v="4"/>
    <n v="4"/>
    <n v="349.99"/>
    <x v="1"/>
    <n v="349.99"/>
    <n v="1399.96"/>
    <x v="1"/>
    <x v="0"/>
    <x v="0"/>
    <x v="11"/>
    <s v="Cataluña"/>
    <x v="2"/>
    <m/>
    <n v="1399.96"/>
    <n v="0"/>
  </r>
  <r>
    <s v="ORD-102012"/>
    <x v="157"/>
    <x v="18"/>
    <x v="2"/>
    <n v="1"/>
    <n v="99.99"/>
    <x v="3"/>
    <n v="89.99"/>
    <n v="89.99"/>
    <x v="0"/>
    <x v="0"/>
    <x v="0"/>
    <x v="7"/>
    <s v="Castilla y León"/>
    <x v="1"/>
    <n v="5"/>
    <n v="99.99"/>
    <n v="10"/>
  </r>
  <r>
    <s v="ORD-102013"/>
    <x v="275"/>
    <x v="8"/>
    <x v="2"/>
    <n v="5"/>
    <n v="59.99"/>
    <x v="0"/>
    <n v="50.99"/>
    <n v="254.95"/>
    <x v="1"/>
    <x v="1"/>
    <x v="1"/>
    <x v="5"/>
    <s v="País Vasco"/>
    <x v="0"/>
    <m/>
    <n v="299.95"/>
    <n v="45"/>
  </r>
  <r>
    <s v="ORD-102014"/>
    <x v="528"/>
    <x v="29"/>
    <x v="0"/>
    <n v="4"/>
    <n v="129.99"/>
    <x v="1"/>
    <n v="129.99"/>
    <n v="519.96"/>
    <x v="2"/>
    <x v="0"/>
    <x v="0"/>
    <x v="3"/>
    <s v="Comunidad de Madrid"/>
    <x v="2"/>
    <m/>
    <n v="519.96"/>
    <n v="0"/>
  </r>
  <r>
    <s v="ORD-102015"/>
    <x v="602"/>
    <x v="12"/>
    <x v="2"/>
    <n v="2"/>
    <n v="189.99"/>
    <x v="4"/>
    <n v="151.99"/>
    <n v="303.98"/>
    <x v="0"/>
    <x v="1"/>
    <x v="0"/>
    <x v="12"/>
    <s v="Región de Murcia"/>
    <x v="1"/>
    <n v="2"/>
    <n v="379.98"/>
    <n v="76"/>
  </r>
  <r>
    <s v="ORD-102016"/>
    <x v="527"/>
    <x v="17"/>
    <x v="0"/>
    <n v="3"/>
    <n v="899.99"/>
    <x v="1"/>
    <n v="899.99"/>
    <n v="2699.97"/>
    <x v="0"/>
    <x v="1"/>
    <x v="2"/>
    <x v="8"/>
    <s v="La Rioja"/>
    <x v="1"/>
    <n v="2"/>
    <n v="2699.9700000000003"/>
    <n v="0"/>
  </r>
  <r>
    <s v="ORD-102017"/>
    <x v="371"/>
    <x v="26"/>
    <x v="1"/>
    <n v="1"/>
    <n v="599.99"/>
    <x v="1"/>
    <n v="599.99"/>
    <n v="599.99"/>
    <x v="0"/>
    <x v="1"/>
    <x v="4"/>
    <x v="6"/>
    <s v="Comunitat Valenciana"/>
    <x v="0"/>
    <n v="5"/>
    <n v="599.99"/>
    <n v="0"/>
  </r>
  <r>
    <s v="ORD-102018"/>
    <x v="579"/>
    <x v="26"/>
    <x v="1"/>
    <n v="4"/>
    <n v="599.99"/>
    <x v="1"/>
    <n v="599.99"/>
    <n v="2399.96"/>
    <x v="1"/>
    <x v="0"/>
    <x v="3"/>
    <x v="13"/>
    <s v="Andalucía"/>
    <x v="0"/>
    <m/>
    <n v="2399.96"/>
    <n v="0"/>
  </r>
  <r>
    <s v="ORD-102019"/>
    <x v="441"/>
    <x v="15"/>
    <x v="3"/>
    <n v="5"/>
    <n v="69.989999999999995"/>
    <x v="1"/>
    <n v="69.989999999999995"/>
    <n v="349.95"/>
    <x v="0"/>
    <x v="0"/>
    <x v="3"/>
    <x v="3"/>
    <s v="Comunidad de Madrid"/>
    <x v="2"/>
    <n v="4"/>
    <n v="349.95"/>
    <n v="0"/>
  </r>
  <r>
    <s v="ORD-102020"/>
    <x v="359"/>
    <x v="6"/>
    <x v="0"/>
    <n v="1"/>
    <n v="89.99"/>
    <x v="1"/>
    <n v="89.99"/>
    <n v="89.99"/>
    <x v="2"/>
    <x v="0"/>
    <x v="3"/>
    <x v="9"/>
    <s v="Asturias"/>
    <x v="1"/>
    <m/>
    <n v="89.99"/>
    <n v="0"/>
  </r>
  <r>
    <s v="ORD-102021"/>
    <x v="486"/>
    <x v="22"/>
    <x v="4"/>
    <n v="2"/>
    <n v="44.99"/>
    <x v="1"/>
    <n v="44.99"/>
    <n v="89.98"/>
    <x v="0"/>
    <x v="1"/>
    <x v="1"/>
    <x v="11"/>
    <s v="Cataluña"/>
    <x v="2"/>
    <n v="4"/>
    <n v="89.98"/>
    <n v="0"/>
  </r>
  <r>
    <s v="ORD-102022"/>
    <x v="264"/>
    <x v="5"/>
    <x v="1"/>
    <n v="3"/>
    <n v="149.99"/>
    <x v="3"/>
    <n v="134.99"/>
    <n v="404.97"/>
    <x v="0"/>
    <x v="3"/>
    <x v="1"/>
    <x v="11"/>
    <s v="Cataluña"/>
    <x v="2"/>
    <n v="5"/>
    <n v="449.97"/>
    <n v="45"/>
  </r>
  <r>
    <s v="ORD-102023"/>
    <x v="466"/>
    <x v="0"/>
    <x v="0"/>
    <n v="5"/>
    <n v="45.99"/>
    <x v="1"/>
    <n v="45.99"/>
    <n v="229.95"/>
    <x v="0"/>
    <x v="0"/>
    <x v="1"/>
    <x v="6"/>
    <s v="Comunitat Valenciana"/>
    <x v="0"/>
    <n v="4"/>
    <n v="229.95000000000002"/>
    <n v="0"/>
  </r>
  <r>
    <s v="ORD-102024"/>
    <x v="15"/>
    <x v="15"/>
    <x v="3"/>
    <n v="1"/>
    <n v="69.989999999999995"/>
    <x v="3"/>
    <n v="62.99"/>
    <n v="62.99"/>
    <x v="1"/>
    <x v="1"/>
    <x v="0"/>
    <x v="11"/>
    <s v="Cataluña"/>
    <x v="2"/>
    <m/>
    <n v="69.989999999999995"/>
    <n v="6.9999999999999929"/>
  </r>
  <r>
    <s v="ORD-102025"/>
    <x v="167"/>
    <x v="19"/>
    <x v="0"/>
    <n v="3"/>
    <n v="1199.99"/>
    <x v="4"/>
    <n v="959.99"/>
    <n v="2879.97"/>
    <x v="0"/>
    <x v="0"/>
    <x v="3"/>
    <x v="4"/>
    <s v="Castilla y León"/>
    <x v="1"/>
    <n v="2"/>
    <n v="3599.9700000000003"/>
    <n v="720.00000000000045"/>
  </r>
  <r>
    <s v="ORD-102026"/>
    <x v="115"/>
    <x v="12"/>
    <x v="2"/>
    <n v="4"/>
    <n v="189.99"/>
    <x v="2"/>
    <n v="180.49"/>
    <n v="721.96"/>
    <x v="0"/>
    <x v="0"/>
    <x v="3"/>
    <x v="11"/>
    <s v="Cataluña"/>
    <x v="2"/>
    <n v="5"/>
    <n v="759.96"/>
    <n v="38"/>
  </r>
  <r>
    <s v="ORD-102027"/>
    <x v="448"/>
    <x v="11"/>
    <x v="0"/>
    <n v="2"/>
    <n v="349.99"/>
    <x v="4"/>
    <n v="279.99"/>
    <n v="559.98"/>
    <x v="0"/>
    <x v="2"/>
    <x v="3"/>
    <x v="8"/>
    <s v="La Rioja"/>
    <x v="1"/>
    <n v="1"/>
    <n v="699.98"/>
    <n v="140"/>
  </r>
  <r>
    <s v="ORD-102028"/>
    <x v="552"/>
    <x v="29"/>
    <x v="0"/>
    <n v="2"/>
    <n v="129.99"/>
    <x v="0"/>
    <n v="110.49"/>
    <n v="220.98"/>
    <x v="1"/>
    <x v="1"/>
    <x v="4"/>
    <x v="8"/>
    <s v="La Rioja"/>
    <x v="1"/>
    <m/>
    <n v="259.98"/>
    <n v="39.000000000000028"/>
  </r>
  <r>
    <s v="ORD-102029"/>
    <x v="636"/>
    <x v="3"/>
    <x v="3"/>
    <n v="1"/>
    <n v="34.99"/>
    <x v="4"/>
    <n v="27.99"/>
    <n v="27.99"/>
    <x v="0"/>
    <x v="0"/>
    <x v="3"/>
    <x v="8"/>
    <s v="La Rioja"/>
    <x v="1"/>
    <n v="2"/>
    <n v="34.99"/>
    <n v="7.0000000000000036"/>
  </r>
  <r>
    <s v="ORD-102030"/>
    <x v="23"/>
    <x v="10"/>
    <x v="2"/>
    <n v="3"/>
    <n v="69.989999999999995"/>
    <x v="2"/>
    <n v="66.489999999999995"/>
    <n v="199.47"/>
    <x v="0"/>
    <x v="2"/>
    <x v="1"/>
    <x v="8"/>
    <s v="La Rioja"/>
    <x v="1"/>
    <n v="2"/>
    <n v="209.96999999999997"/>
    <n v="10.499999999999972"/>
  </r>
  <r>
    <s v="ORD-102031"/>
    <x v="234"/>
    <x v="27"/>
    <x v="1"/>
    <n v="5"/>
    <n v="49.99"/>
    <x v="2"/>
    <n v="47.49"/>
    <n v="237.45"/>
    <x v="1"/>
    <x v="1"/>
    <x v="0"/>
    <x v="2"/>
    <s v="Navarra"/>
    <x v="1"/>
    <m/>
    <n v="249.95000000000002"/>
    <n v="12.500000000000028"/>
  </r>
  <r>
    <s v="ORD-102032"/>
    <x v="276"/>
    <x v="13"/>
    <x v="3"/>
    <n v="4"/>
    <n v="49.99"/>
    <x v="4"/>
    <n v="39.99"/>
    <n v="159.96"/>
    <x v="0"/>
    <x v="0"/>
    <x v="0"/>
    <x v="1"/>
    <s v="Comunitat Valenciana"/>
    <x v="1"/>
    <n v="1"/>
    <n v="199.96"/>
    <n v="40"/>
  </r>
  <r>
    <s v="ORD-102033"/>
    <x v="6"/>
    <x v="23"/>
    <x v="4"/>
    <n v="2"/>
    <n v="24.99"/>
    <x v="4"/>
    <n v="19.989999999999998"/>
    <n v="39.979999999999997"/>
    <x v="1"/>
    <x v="0"/>
    <x v="0"/>
    <x v="14"/>
    <s v="Aragón"/>
    <x v="0"/>
    <m/>
    <n v="49.98"/>
    <n v="10"/>
  </r>
  <r>
    <s v="ORD-102034"/>
    <x v="74"/>
    <x v="8"/>
    <x v="2"/>
    <n v="3"/>
    <n v="59.99"/>
    <x v="1"/>
    <n v="59.99"/>
    <n v="179.97"/>
    <x v="2"/>
    <x v="0"/>
    <x v="0"/>
    <x v="1"/>
    <s v="Comunitat Valenciana"/>
    <x v="1"/>
    <m/>
    <n v="179.97"/>
    <n v="0"/>
  </r>
  <r>
    <s v="ORD-102035"/>
    <x v="644"/>
    <x v="14"/>
    <x v="1"/>
    <n v="4"/>
    <n v="249.99"/>
    <x v="2"/>
    <n v="237.49"/>
    <n v="949.96"/>
    <x v="1"/>
    <x v="1"/>
    <x v="1"/>
    <x v="8"/>
    <s v="La Rioja"/>
    <x v="1"/>
    <m/>
    <n v="999.96"/>
    <n v="50"/>
  </r>
  <r>
    <s v="ORD-102036"/>
    <x v="596"/>
    <x v="27"/>
    <x v="1"/>
    <n v="5"/>
    <n v="49.99"/>
    <x v="0"/>
    <n v="42.49"/>
    <n v="212.45"/>
    <x v="1"/>
    <x v="1"/>
    <x v="0"/>
    <x v="6"/>
    <s v="Comunitat Valenciana"/>
    <x v="0"/>
    <m/>
    <n v="249.95000000000002"/>
    <n v="37.500000000000028"/>
  </r>
  <r>
    <s v="ORD-102037"/>
    <x v="468"/>
    <x v="24"/>
    <x v="3"/>
    <n v="5"/>
    <n v="89.99"/>
    <x v="3"/>
    <n v="80.989999999999995"/>
    <n v="404.95"/>
    <x v="1"/>
    <x v="0"/>
    <x v="0"/>
    <x v="11"/>
    <s v="Cataluña"/>
    <x v="2"/>
    <m/>
    <n v="449.95"/>
    <n v="45"/>
  </r>
  <r>
    <s v="ORD-102038"/>
    <x v="664"/>
    <x v="4"/>
    <x v="4"/>
    <n v="3"/>
    <n v="349.99"/>
    <x v="3"/>
    <n v="314.99"/>
    <n v="944.97"/>
    <x v="0"/>
    <x v="2"/>
    <x v="0"/>
    <x v="14"/>
    <s v="Aragón"/>
    <x v="0"/>
    <n v="2"/>
    <n v="1049.97"/>
    <n v="105"/>
  </r>
  <r>
    <s v="ORD-102039"/>
    <x v="552"/>
    <x v="21"/>
    <x v="0"/>
    <n v="3"/>
    <n v="799.99"/>
    <x v="1"/>
    <n v="799.99"/>
    <n v="2399.9699999999998"/>
    <x v="0"/>
    <x v="1"/>
    <x v="3"/>
    <x v="14"/>
    <s v="Aragón"/>
    <x v="0"/>
    <n v="3"/>
    <n v="2399.9700000000003"/>
    <n v="0"/>
  </r>
  <r>
    <s v="ORD-102040"/>
    <x v="101"/>
    <x v="3"/>
    <x v="3"/>
    <n v="2"/>
    <n v="34.99"/>
    <x v="4"/>
    <n v="27.99"/>
    <n v="55.98"/>
    <x v="1"/>
    <x v="0"/>
    <x v="1"/>
    <x v="2"/>
    <s v="Navarra"/>
    <x v="1"/>
    <m/>
    <n v="69.98"/>
    <n v="14.000000000000007"/>
  </r>
  <r>
    <s v="ORD-102041"/>
    <x v="133"/>
    <x v="21"/>
    <x v="0"/>
    <n v="3"/>
    <n v="799.99"/>
    <x v="0"/>
    <n v="679.99"/>
    <n v="2039.97"/>
    <x v="0"/>
    <x v="0"/>
    <x v="3"/>
    <x v="14"/>
    <s v="Aragón"/>
    <x v="0"/>
    <n v="5"/>
    <n v="2399.9700000000003"/>
    <n v="360.00000000000023"/>
  </r>
  <r>
    <s v="ORD-102042"/>
    <x v="96"/>
    <x v="0"/>
    <x v="0"/>
    <n v="3"/>
    <n v="45.99"/>
    <x v="0"/>
    <n v="39.090000000000003"/>
    <n v="117.27"/>
    <x v="0"/>
    <x v="2"/>
    <x v="2"/>
    <x v="1"/>
    <s v="Comunitat Valenciana"/>
    <x v="1"/>
    <n v="2"/>
    <n v="137.97"/>
    <n v="20.700000000000003"/>
  </r>
  <r>
    <s v="ORD-102043"/>
    <x v="80"/>
    <x v="8"/>
    <x v="2"/>
    <n v="4"/>
    <n v="59.99"/>
    <x v="1"/>
    <n v="59.99"/>
    <n v="239.96"/>
    <x v="0"/>
    <x v="1"/>
    <x v="4"/>
    <x v="12"/>
    <s v="Región de Murcia"/>
    <x v="1"/>
    <n v="4"/>
    <n v="239.96"/>
    <n v="0"/>
  </r>
  <r>
    <s v="ORD-102044"/>
    <x v="599"/>
    <x v="24"/>
    <x v="3"/>
    <n v="2"/>
    <n v="89.99"/>
    <x v="1"/>
    <n v="89.99"/>
    <n v="179.98"/>
    <x v="1"/>
    <x v="0"/>
    <x v="3"/>
    <x v="5"/>
    <s v="País Vasco"/>
    <x v="0"/>
    <m/>
    <n v="179.98"/>
    <n v="0"/>
  </r>
  <r>
    <s v="ORD-102045"/>
    <x v="237"/>
    <x v="20"/>
    <x v="3"/>
    <n v="1"/>
    <n v="39.99"/>
    <x v="1"/>
    <n v="39.99"/>
    <n v="39.99"/>
    <x v="0"/>
    <x v="0"/>
    <x v="3"/>
    <x v="4"/>
    <s v="Castilla y León"/>
    <x v="1"/>
    <n v="5"/>
    <n v="39.99"/>
    <n v="0"/>
  </r>
  <r>
    <s v="ORD-102046"/>
    <x v="125"/>
    <x v="25"/>
    <x v="4"/>
    <n v="3"/>
    <n v="34.99"/>
    <x v="3"/>
    <n v="31.49"/>
    <n v="94.47"/>
    <x v="0"/>
    <x v="0"/>
    <x v="4"/>
    <x v="0"/>
    <s v="Andalucía"/>
    <x v="0"/>
    <n v="4"/>
    <n v="104.97"/>
    <n v="10.5"/>
  </r>
  <r>
    <s v="ORD-102047"/>
    <x v="270"/>
    <x v="0"/>
    <x v="0"/>
    <n v="4"/>
    <n v="45.99"/>
    <x v="2"/>
    <n v="43.69"/>
    <n v="174.76"/>
    <x v="0"/>
    <x v="0"/>
    <x v="0"/>
    <x v="11"/>
    <s v="Cataluña"/>
    <x v="2"/>
    <n v="1"/>
    <n v="183.96"/>
    <n v="9.2000000000000171"/>
  </r>
  <r>
    <s v="ORD-102048"/>
    <x v="301"/>
    <x v="4"/>
    <x v="4"/>
    <n v="1"/>
    <n v="349.99"/>
    <x v="1"/>
    <n v="349.99"/>
    <n v="349.99"/>
    <x v="0"/>
    <x v="0"/>
    <x v="1"/>
    <x v="7"/>
    <s v="Castilla y León"/>
    <x v="1"/>
    <n v="4"/>
    <n v="349.99"/>
    <n v="0"/>
  </r>
  <r>
    <s v="ORD-102049"/>
    <x v="580"/>
    <x v="17"/>
    <x v="0"/>
    <n v="5"/>
    <n v="899.99"/>
    <x v="1"/>
    <n v="899.99"/>
    <n v="4499.95"/>
    <x v="0"/>
    <x v="3"/>
    <x v="1"/>
    <x v="14"/>
    <s v="Aragón"/>
    <x v="0"/>
    <n v="3"/>
    <n v="4499.95"/>
    <n v="0"/>
  </r>
  <r>
    <s v="ORD-102050"/>
    <x v="465"/>
    <x v="28"/>
    <x v="0"/>
    <n v="2"/>
    <n v="499.99"/>
    <x v="1"/>
    <n v="499.99"/>
    <n v="999.98"/>
    <x v="1"/>
    <x v="2"/>
    <x v="4"/>
    <x v="1"/>
    <s v="Comunitat Valenciana"/>
    <x v="1"/>
    <m/>
    <n v="999.98"/>
    <n v="0"/>
  </r>
  <r>
    <s v="ORD-102051"/>
    <x v="274"/>
    <x v="25"/>
    <x v="4"/>
    <n v="2"/>
    <n v="34.99"/>
    <x v="1"/>
    <n v="34.99"/>
    <n v="69.98"/>
    <x v="0"/>
    <x v="0"/>
    <x v="0"/>
    <x v="1"/>
    <s v="Comunitat Valenciana"/>
    <x v="1"/>
    <n v="4"/>
    <n v="69.98"/>
    <n v="0"/>
  </r>
  <r>
    <s v="ORD-102052"/>
    <x v="41"/>
    <x v="5"/>
    <x v="1"/>
    <n v="5"/>
    <n v="149.99"/>
    <x v="1"/>
    <n v="149.99"/>
    <n v="749.95"/>
    <x v="3"/>
    <x v="1"/>
    <x v="1"/>
    <x v="11"/>
    <s v="Cataluña"/>
    <x v="2"/>
    <m/>
    <n v="749.95"/>
    <n v="0"/>
  </r>
  <r>
    <s v="ORD-102053"/>
    <x v="606"/>
    <x v="8"/>
    <x v="2"/>
    <n v="4"/>
    <n v="59.99"/>
    <x v="1"/>
    <n v="59.99"/>
    <n v="239.96"/>
    <x v="0"/>
    <x v="0"/>
    <x v="0"/>
    <x v="8"/>
    <s v="La Rioja"/>
    <x v="1"/>
    <n v="5"/>
    <n v="239.96"/>
    <n v="0"/>
  </r>
  <r>
    <s v="ORD-102054"/>
    <x v="679"/>
    <x v="23"/>
    <x v="4"/>
    <n v="2"/>
    <n v="24.99"/>
    <x v="1"/>
    <n v="24.99"/>
    <n v="49.98"/>
    <x v="0"/>
    <x v="0"/>
    <x v="0"/>
    <x v="3"/>
    <s v="Comunidad de Madrid"/>
    <x v="2"/>
    <n v="5"/>
    <n v="49.98"/>
    <n v="0"/>
  </r>
  <r>
    <s v="ORD-102055"/>
    <x v="569"/>
    <x v="4"/>
    <x v="4"/>
    <n v="4"/>
    <n v="349.99"/>
    <x v="2"/>
    <n v="332.49"/>
    <n v="1329.96"/>
    <x v="0"/>
    <x v="2"/>
    <x v="3"/>
    <x v="11"/>
    <s v="Cataluña"/>
    <x v="2"/>
    <n v="4"/>
    <n v="1399.96"/>
    <n v="70"/>
  </r>
  <r>
    <s v="ORD-102056"/>
    <x v="680"/>
    <x v="11"/>
    <x v="0"/>
    <n v="4"/>
    <n v="349.99"/>
    <x v="4"/>
    <n v="279.99"/>
    <n v="1119.96"/>
    <x v="1"/>
    <x v="0"/>
    <x v="1"/>
    <x v="13"/>
    <s v="Andalucía"/>
    <x v="0"/>
    <m/>
    <n v="1399.96"/>
    <n v="280"/>
  </r>
  <r>
    <s v="ORD-102057"/>
    <x v="381"/>
    <x v="23"/>
    <x v="4"/>
    <n v="4"/>
    <n v="24.99"/>
    <x v="2"/>
    <n v="23.74"/>
    <n v="94.96"/>
    <x v="1"/>
    <x v="0"/>
    <x v="0"/>
    <x v="7"/>
    <s v="Castilla y León"/>
    <x v="1"/>
    <m/>
    <n v="99.96"/>
    <n v="5"/>
  </r>
  <r>
    <s v="ORD-102058"/>
    <x v="410"/>
    <x v="27"/>
    <x v="1"/>
    <n v="4"/>
    <n v="49.99"/>
    <x v="4"/>
    <n v="39.99"/>
    <n v="159.96"/>
    <x v="0"/>
    <x v="0"/>
    <x v="1"/>
    <x v="0"/>
    <s v="Andalucía"/>
    <x v="0"/>
    <n v="5"/>
    <n v="199.96"/>
    <n v="40"/>
  </r>
  <r>
    <s v="ORD-102059"/>
    <x v="177"/>
    <x v="12"/>
    <x v="2"/>
    <n v="4"/>
    <n v="189.99"/>
    <x v="1"/>
    <n v="189.99"/>
    <n v="759.96"/>
    <x v="1"/>
    <x v="0"/>
    <x v="3"/>
    <x v="0"/>
    <s v="Andalucía"/>
    <x v="0"/>
    <m/>
    <n v="759.96"/>
    <n v="0"/>
  </r>
  <r>
    <s v="ORD-102060"/>
    <x v="232"/>
    <x v="28"/>
    <x v="0"/>
    <n v="3"/>
    <n v="499.99"/>
    <x v="1"/>
    <n v="499.99"/>
    <n v="1499.97"/>
    <x v="0"/>
    <x v="1"/>
    <x v="0"/>
    <x v="4"/>
    <s v="Castilla y León"/>
    <x v="1"/>
    <n v="5"/>
    <n v="1499.97"/>
    <n v="0"/>
  </r>
  <r>
    <s v="ORD-102061"/>
    <x v="486"/>
    <x v="9"/>
    <x v="2"/>
    <n v="1"/>
    <n v="29.99"/>
    <x v="2"/>
    <n v="28.49"/>
    <n v="28.49"/>
    <x v="1"/>
    <x v="0"/>
    <x v="0"/>
    <x v="3"/>
    <s v="Comunidad de Madrid"/>
    <x v="2"/>
    <m/>
    <n v="29.99"/>
    <n v="1.5"/>
  </r>
  <r>
    <s v="ORD-102062"/>
    <x v="396"/>
    <x v="19"/>
    <x v="0"/>
    <n v="4"/>
    <n v="1199.99"/>
    <x v="2"/>
    <n v="1139.99"/>
    <n v="4559.96"/>
    <x v="1"/>
    <x v="0"/>
    <x v="3"/>
    <x v="4"/>
    <s v="Castilla y León"/>
    <x v="1"/>
    <m/>
    <n v="4799.96"/>
    <n v="240"/>
  </r>
  <r>
    <s v="ORD-102063"/>
    <x v="484"/>
    <x v="28"/>
    <x v="0"/>
    <n v="3"/>
    <n v="499.99"/>
    <x v="1"/>
    <n v="499.99"/>
    <n v="1499.97"/>
    <x v="3"/>
    <x v="1"/>
    <x v="0"/>
    <x v="5"/>
    <s v="País Vasco"/>
    <x v="0"/>
    <m/>
    <n v="1499.97"/>
    <n v="0"/>
  </r>
  <r>
    <s v="ORD-102064"/>
    <x v="577"/>
    <x v="9"/>
    <x v="2"/>
    <n v="5"/>
    <n v="29.99"/>
    <x v="3"/>
    <n v="26.99"/>
    <n v="134.94999999999999"/>
    <x v="0"/>
    <x v="2"/>
    <x v="4"/>
    <x v="0"/>
    <s v="Andalucía"/>
    <x v="0"/>
    <n v="3"/>
    <n v="149.94999999999999"/>
    <n v="15"/>
  </r>
  <r>
    <s v="ORD-102065"/>
    <x v="380"/>
    <x v="18"/>
    <x v="2"/>
    <n v="2"/>
    <n v="99.99"/>
    <x v="1"/>
    <n v="99.99"/>
    <n v="199.98"/>
    <x v="1"/>
    <x v="0"/>
    <x v="1"/>
    <x v="6"/>
    <s v="Comunitat Valenciana"/>
    <x v="0"/>
    <m/>
    <n v="199.98"/>
    <n v="0"/>
  </r>
  <r>
    <s v="ORD-102066"/>
    <x v="546"/>
    <x v="7"/>
    <x v="3"/>
    <n v="1"/>
    <n v="19.989999999999998"/>
    <x v="3"/>
    <n v="17.989999999999998"/>
    <n v="17.989999999999998"/>
    <x v="3"/>
    <x v="0"/>
    <x v="0"/>
    <x v="12"/>
    <s v="Región de Murcia"/>
    <x v="1"/>
    <m/>
    <n v="19.989999999999998"/>
    <n v="2"/>
  </r>
  <r>
    <s v="ORD-102067"/>
    <x v="498"/>
    <x v="7"/>
    <x v="3"/>
    <n v="2"/>
    <n v="19.989999999999998"/>
    <x v="1"/>
    <n v="19.989999999999998"/>
    <n v="39.979999999999997"/>
    <x v="0"/>
    <x v="1"/>
    <x v="0"/>
    <x v="6"/>
    <s v="Comunitat Valenciana"/>
    <x v="0"/>
    <n v="1"/>
    <n v="39.979999999999997"/>
    <n v="0"/>
  </r>
  <r>
    <s v="ORD-102068"/>
    <x v="611"/>
    <x v="17"/>
    <x v="0"/>
    <n v="5"/>
    <n v="899.99"/>
    <x v="0"/>
    <n v="764.99"/>
    <n v="3824.95"/>
    <x v="1"/>
    <x v="3"/>
    <x v="4"/>
    <x v="8"/>
    <s v="La Rioja"/>
    <x v="1"/>
    <m/>
    <n v="4499.95"/>
    <n v="675"/>
  </r>
  <r>
    <s v="ORD-102069"/>
    <x v="488"/>
    <x v="13"/>
    <x v="3"/>
    <n v="5"/>
    <n v="49.99"/>
    <x v="2"/>
    <n v="47.49"/>
    <n v="237.45"/>
    <x v="3"/>
    <x v="0"/>
    <x v="0"/>
    <x v="4"/>
    <s v="Castilla y León"/>
    <x v="1"/>
    <m/>
    <n v="249.95000000000002"/>
    <n v="12.500000000000028"/>
  </r>
  <r>
    <s v="ORD-102070"/>
    <x v="433"/>
    <x v="27"/>
    <x v="1"/>
    <n v="1"/>
    <n v="49.99"/>
    <x v="1"/>
    <n v="49.99"/>
    <n v="49.99"/>
    <x v="1"/>
    <x v="2"/>
    <x v="0"/>
    <x v="5"/>
    <s v="País Vasco"/>
    <x v="0"/>
    <m/>
    <n v="49.99"/>
    <n v="0"/>
  </r>
  <r>
    <s v="ORD-102071"/>
    <x v="100"/>
    <x v="18"/>
    <x v="2"/>
    <n v="4"/>
    <n v="99.99"/>
    <x v="3"/>
    <n v="89.99"/>
    <n v="359.96"/>
    <x v="1"/>
    <x v="0"/>
    <x v="3"/>
    <x v="10"/>
    <s v="Cantabria"/>
    <x v="1"/>
    <m/>
    <n v="399.96"/>
    <n v="40"/>
  </r>
  <r>
    <s v="ORD-102072"/>
    <x v="542"/>
    <x v="28"/>
    <x v="0"/>
    <n v="1"/>
    <n v="499.99"/>
    <x v="1"/>
    <n v="499.99"/>
    <n v="499.99"/>
    <x v="2"/>
    <x v="0"/>
    <x v="2"/>
    <x v="2"/>
    <s v="Navarra"/>
    <x v="1"/>
    <m/>
    <n v="499.99"/>
    <n v="0"/>
  </r>
  <r>
    <s v="ORD-102073"/>
    <x v="269"/>
    <x v="14"/>
    <x v="1"/>
    <n v="1"/>
    <n v="249.99"/>
    <x v="2"/>
    <n v="237.49"/>
    <n v="237.49"/>
    <x v="0"/>
    <x v="1"/>
    <x v="2"/>
    <x v="3"/>
    <s v="Comunidad de Madrid"/>
    <x v="2"/>
    <n v="2"/>
    <n v="249.99"/>
    <n v="12.5"/>
  </r>
  <r>
    <s v="ORD-102074"/>
    <x v="681"/>
    <x v="25"/>
    <x v="4"/>
    <n v="3"/>
    <n v="34.99"/>
    <x v="3"/>
    <n v="31.49"/>
    <n v="94.47"/>
    <x v="1"/>
    <x v="0"/>
    <x v="0"/>
    <x v="12"/>
    <s v="Región de Murcia"/>
    <x v="1"/>
    <m/>
    <n v="104.97"/>
    <n v="10.5"/>
  </r>
  <r>
    <s v="ORD-102075"/>
    <x v="602"/>
    <x v="2"/>
    <x v="2"/>
    <n v="2"/>
    <n v="299.99"/>
    <x v="1"/>
    <n v="299.99"/>
    <n v="599.98"/>
    <x v="1"/>
    <x v="0"/>
    <x v="4"/>
    <x v="2"/>
    <s v="Navarra"/>
    <x v="1"/>
    <m/>
    <n v="599.98"/>
    <n v="0"/>
  </r>
  <r>
    <s v="ORD-102076"/>
    <x v="279"/>
    <x v="19"/>
    <x v="0"/>
    <n v="3"/>
    <n v="1199.99"/>
    <x v="2"/>
    <n v="1139.99"/>
    <n v="3419.97"/>
    <x v="0"/>
    <x v="1"/>
    <x v="3"/>
    <x v="12"/>
    <s v="Región de Murcia"/>
    <x v="1"/>
    <n v="5"/>
    <n v="3599.9700000000003"/>
    <n v="180.00000000000045"/>
  </r>
  <r>
    <s v="ORD-102077"/>
    <x v="370"/>
    <x v="23"/>
    <x v="4"/>
    <n v="5"/>
    <n v="24.99"/>
    <x v="2"/>
    <n v="23.74"/>
    <n v="118.7"/>
    <x v="4"/>
    <x v="0"/>
    <x v="1"/>
    <x v="7"/>
    <s v="Castilla y León"/>
    <x v="1"/>
    <m/>
    <n v="124.94999999999999"/>
    <n v="6.2499999999999858"/>
  </r>
  <r>
    <s v="ORD-102078"/>
    <x v="165"/>
    <x v="18"/>
    <x v="2"/>
    <n v="3"/>
    <n v="99.99"/>
    <x v="3"/>
    <n v="89.99"/>
    <n v="269.97000000000003"/>
    <x v="3"/>
    <x v="1"/>
    <x v="3"/>
    <x v="6"/>
    <s v="Comunitat Valenciana"/>
    <x v="0"/>
    <m/>
    <n v="299.96999999999997"/>
    <n v="29.999999999999943"/>
  </r>
  <r>
    <s v="ORD-102079"/>
    <x v="682"/>
    <x v="21"/>
    <x v="0"/>
    <n v="1"/>
    <n v="799.99"/>
    <x v="3"/>
    <n v="719.99"/>
    <n v="719.99"/>
    <x v="4"/>
    <x v="0"/>
    <x v="1"/>
    <x v="8"/>
    <s v="La Rioja"/>
    <x v="1"/>
    <m/>
    <n v="799.99"/>
    <n v="80"/>
  </r>
  <r>
    <s v="ORD-102080"/>
    <x v="438"/>
    <x v="20"/>
    <x v="3"/>
    <n v="4"/>
    <n v="39.99"/>
    <x v="1"/>
    <n v="39.99"/>
    <n v="159.96"/>
    <x v="0"/>
    <x v="1"/>
    <x v="1"/>
    <x v="14"/>
    <s v="Aragón"/>
    <x v="0"/>
    <n v="2"/>
    <n v="159.96"/>
    <n v="0"/>
  </r>
  <r>
    <s v="ORD-102081"/>
    <x v="277"/>
    <x v="18"/>
    <x v="2"/>
    <n v="2"/>
    <n v="99.99"/>
    <x v="2"/>
    <n v="94.99"/>
    <n v="189.98"/>
    <x v="2"/>
    <x v="2"/>
    <x v="0"/>
    <x v="2"/>
    <s v="Navarra"/>
    <x v="1"/>
    <m/>
    <n v="199.98"/>
    <n v="10"/>
  </r>
  <r>
    <s v="ORD-102082"/>
    <x v="137"/>
    <x v="20"/>
    <x v="3"/>
    <n v="2"/>
    <n v="39.99"/>
    <x v="1"/>
    <n v="39.99"/>
    <n v="79.98"/>
    <x v="0"/>
    <x v="2"/>
    <x v="0"/>
    <x v="0"/>
    <s v="Andalucía"/>
    <x v="0"/>
    <n v="4"/>
    <n v="79.98"/>
    <n v="0"/>
  </r>
  <r>
    <s v="ORD-102083"/>
    <x v="219"/>
    <x v="2"/>
    <x v="2"/>
    <n v="4"/>
    <n v="299.99"/>
    <x v="1"/>
    <n v="299.99"/>
    <n v="1199.96"/>
    <x v="2"/>
    <x v="0"/>
    <x v="4"/>
    <x v="12"/>
    <s v="Región de Murcia"/>
    <x v="1"/>
    <m/>
    <n v="1199.96"/>
    <n v="0"/>
  </r>
  <r>
    <s v="ORD-102084"/>
    <x v="327"/>
    <x v="11"/>
    <x v="0"/>
    <n v="1"/>
    <n v="349.99"/>
    <x v="1"/>
    <n v="349.99"/>
    <n v="349.99"/>
    <x v="0"/>
    <x v="1"/>
    <x v="3"/>
    <x v="14"/>
    <s v="Aragón"/>
    <x v="0"/>
    <n v="4"/>
    <n v="349.99"/>
    <n v="0"/>
  </r>
  <r>
    <s v="ORD-102085"/>
    <x v="244"/>
    <x v="27"/>
    <x v="1"/>
    <n v="3"/>
    <n v="49.99"/>
    <x v="1"/>
    <n v="49.99"/>
    <n v="149.97"/>
    <x v="2"/>
    <x v="1"/>
    <x v="4"/>
    <x v="7"/>
    <s v="Castilla y León"/>
    <x v="1"/>
    <m/>
    <n v="149.97"/>
    <n v="0"/>
  </r>
  <r>
    <s v="ORD-102086"/>
    <x v="234"/>
    <x v="6"/>
    <x v="0"/>
    <n v="3"/>
    <n v="89.99"/>
    <x v="1"/>
    <n v="89.99"/>
    <n v="269.97000000000003"/>
    <x v="0"/>
    <x v="1"/>
    <x v="0"/>
    <x v="4"/>
    <s v="Castilla y León"/>
    <x v="1"/>
    <n v="1"/>
    <n v="269.96999999999997"/>
    <n v="0"/>
  </r>
  <r>
    <s v="ORD-102087"/>
    <x v="190"/>
    <x v="10"/>
    <x v="2"/>
    <n v="5"/>
    <n v="69.989999999999995"/>
    <x v="1"/>
    <n v="69.989999999999995"/>
    <n v="349.95"/>
    <x v="0"/>
    <x v="0"/>
    <x v="3"/>
    <x v="7"/>
    <s v="Castilla y León"/>
    <x v="1"/>
    <n v="1"/>
    <n v="349.95"/>
    <n v="0"/>
  </r>
  <r>
    <s v="ORD-102088"/>
    <x v="357"/>
    <x v="20"/>
    <x v="3"/>
    <n v="3"/>
    <n v="39.99"/>
    <x v="4"/>
    <n v="31.99"/>
    <n v="95.97"/>
    <x v="1"/>
    <x v="1"/>
    <x v="0"/>
    <x v="14"/>
    <s v="Aragón"/>
    <x v="0"/>
    <m/>
    <n v="119.97"/>
    <n v="24"/>
  </r>
  <r>
    <s v="ORD-102089"/>
    <x v="683"/>
    <x v="8"/>
    <x v="2"/>
    <n v="5"/>
    <n v="59.99"/>
    <x v="3"/>
    <n v="53.99"/>
    <n v="269.95"/>
    <x v="0"/>
    <x v="2"/>
    <x v="3"/>
    <x v="12"/>
    <s v="Región de Murcia"/>
    <x v="1"/>
    <n v="5"/>
    <n v="299.95"/>
    <n v="30"/>
  </r>
  <r>
    <s v="ORD-102090"/>
    <x v="682"/>
    <x v="12"/>
    <x v="2"/>
    <n v="5"/>
    <n v="189.99"/>
    <x v="0"/>
    <n v="161.49"/>
    <n v="807.45"/>
    <x v="1"/>
    <x v="0"/>
    <x v="4"/>
    <x v="7"/>
    <s v="Castilla y León"/>
    <x v="1"/>
    <m/>
    <n v="949.95"/>
    <n v="142.5"/>
  </r>
  <r>
    <s v="ORD-102091"/>
    <x v="570"/>
    <x v="24"/>
    <x v="3"/>
    <n v="4"/>
    <n v="89.99"/>
    <x v="0"/>
    <n v="76.489999999999995"/>
    <n v="305.95999999999998"/>
    <x v="1"/>
    <x v="0"/>
    <x v="1"/>
    <x v="5"/>
    <s v="País Vasco"/>
    <x v="0"/>
    <m/>
    <n v="359.96"/>
    <n v="54"/>
  </r>
  <r>
    <s v="ORD-102092"/>
    <x v="563"/>
    <x v="6"/>
    <x v="0"/>
    <n v="5"/>
    <n v="89.99"/>
    <x v="2"/>
    <n v="85.49"/>
    <n v="427.45"/>
    <x v="0"/>
    <x v="0"/>
    <x v="0"/>
    <x v="0"/>
    <s v="Andalucía"/>
    <x v="0"/>
    <n v="2"/>
    <n v="449.95"/>
    <n v="22.5"/>
  </r>
  <r>
    <s v="ORD-102093"/>
    <x v="425"/>
    <x v="3"/>
    <x v="3"/>
    <n v="5"/>
    <n v="34.99"/>
    <x v="1"/>
    <n v="34.99"/>
    <n v="174.95"/>
    <x v="0"/>
    <x v="2"/>
    <x v="3"/>
    <x v="8"/>
    <s v="La Rioja"/>
    <x v="1"/>
    <n v="5"/>
    <n v="174.95000000000002"/>
    <n v="0"/>
  </r>
  <r>
    <s v="ORD-102094"/>
    <x v="592"/>
    <x v="22"/>
    <x v="4"/>
    <n v="2"/>
    <n v="44.99"/>
    <x v="1"/>
    <n v="44.99"/>
    <n v="89.98"/>
    <x v="4"/>
    <x v="2"/>
    <x v="0"/>
    <x v="6"/>
    <s v="Comunitat Valenciana"/>
    <x v="0"/>
    <m/>
    <n v="89.98"/>
    <n v="0"/>
  </r>
  <r>
    <s v="ORD-102095"/>
    <x v="111"/>
    <x v="8"/>
    <x v="2"/>
    <n v="1"/>
    <n v="59.99"/>
    <x v="1"/>
    <n v="59.99"/>
    <n v="59.99"/>
    <x v="0"/>
    <x v="2"/>
    <x v="3"/>
    <x v="6"/>
    <s v="Comunitat Valenciana"/>
    <x v="0"/>
    <n v="1"/>
    <n v="59.99"/>
    <n v="0"/>
  </r>
  <r>
    <s v="ORD-102096"/>
    <x v="612"/>
    <x v="26"/>
    <x v="1"/>
    <n v="3"/>
    <n v="599.99"/>
    <x v="3"/>
    <n v="539.99"/>
    <n v="1619.97"/>
    <x v="1"/>
    <x v="2"/>
    <x v="4"/>
    <x v="14"/>
    <s v="Aragón"/>
    <x v="0"/>
    <m/>
    <n v="1799.97"/>
    <n v="180"/>
  </r>
  <r>
    <s v="ORD-102097"/>
    <x v="403"/>
    <x v="1"/>
    <x v="1"/>
    <n v="5"/>
    <n v="399.99"/>
    <x v="3"/>
    <n v="359.99"/>
    <n v="1799.95"/>
    <x v="2"/>
    <x v="1"/>
    <x v="1"/>
    <x v="8"/>
    <s v="La Rioja"/>
    <x v="1"/>
    <m/>
    <n v="1999.95"/>
    <n v="200"/>
  </r>
  <r>
    <s v="ORD-102098"/>
    <x v="574"/>
    <x v="14"/>
    <x v="1"/>
    <n v="2"/>
    <n v="249.99"/>
    <x v="0"/>
    <n v="212.49"/>
    <n v="424.98"/>
    <x v="1"/>
    <x v="1"/>
    <x v="1"/>
    <x v="10"/>
    <s v="Cantabria"/>
    <x v="1"/>
    <m/>
    <n v="499.98"/>
    <n v="75"/>
  </r>
  <r>
    <s v="ORD-102099"/>
    <x v="278"/>
    <x v="18"/>
    <x v="2"/>
    <n v="2"/>
    <n v="99.99"/>
    <x v="1"/>
    <n v="99.99"/>
    <n v="199.98"/>
    <x v="2"/>
    <x v="1"/>
    <x v="0"/>
    <x v="13"/>
    <s v="Andalucía"/>
    <x v="0"/>
    <m/>
    <n v="199.98"/>
    <n v="0"/>
  </r>
  <r>
    <s v="ORD-102100"/>
    <x v="582"/>
    <x v="13"/>
    <x v="3"/>
    <n v="4"/>
    <n v="49.99"/>
    <x v="0"/>
    <n v="42.49"/>
    <n v="169.96"/>
    <x v="4"/>
    <x v="3"/>
    <x v="0"/>
    <x v="3"/>
    <s v="Comunidad de Madrid"/>
    <x v="2"/>
    <m/>
    <n v="199.96"/>
    <n v="30"/>
  </r>
  <r>
    <s v="ORD-102101"/>
    <x v="496"/>
    <x v="0"/>
    <x v="0"/>
    <n v="2"/>
    <n v="45.99"/>
    <x v="3"/>
    <n v="41.39"/>
    <n v="82.78"/>
    <x v="0"/>
    <x v="0"/>
    <x v="4"/>
    <x v="2"/>
    <s v="Navarra"/>
    <x v="1"/>
    <n v="4"/>
    <n v="91.98"/>
    <n v="9.2000000000000028"/>
  </r>
  <r>
    <s v="ORD-102102"/>
    <x v="18"/>
    <x v="22"/>
    <x v="4"/>
    <n v="1"/>
    <n v="44.99"/>
    <x v="0"/>
    <n v="38.24"/>
    <n v="38.24"/>
    <x v="0"/>
    <x v="0"/>
    <x v="3"/>
    <x v="14"/>
    <s v="Aragón"/>
    <x v="0"/>
    <n v="5"/>
    <n v="44.99"/>
    <n v="6.75"/>
  </r>
  <r>
    <s v="ORD-102103"/>
    <x v="597"/>
    <x v="13"/>
    <x v="3"/>
    <n v="1"/>
    <n v="49.99"/>
    <x v="1"/>
    <n v="49.99"/>
    <n v="49.99"/>
    <x v="0"/>
    <x v="2"/>
    <x v="1"/>
    <x v="12"/>
    <s v="Región de Murcia"/>
    <x v="1"/>
    <n v="3"/>
    <n v="49.99"/>
    <n v="0"/>
  </r>
  <r>
    <s v="ORD-102104"/>
    <x v="202"/>
    <x v="3"/>
    <x v="3"/>
    <n v="4"/>
    <n v="34.99"/>
    <x v="4"/>
    <n v="27.99"/>
    <n v="111.96"/>
    <x v="0"/>
    <x v="1"/>
    <x v="0"/>
    <x v="13"/>
    <s v="Andalucía"/>
    <x v="0"/>
    <n v="3"/>
    <n v="139.96"/>
    <n v="28.000000000000014"/>
  </r>
  <r>
    <s v="ORD-102105"/>
    <x v="404"/>
    <x v="13"/>
    <x v="3"/>
    <n v="2"/>
    <n v="49.99"/>
    <x v="2"/>
    <n v="47.49"/>
    <n v="94.98"/>
    <x v="2"/>
    <x v="2"/>
    <x v="3"/>
    <x v="12"/>
    <s v="Región de Murcia"/>
    <x v="1"/>
    <m/>
    <n v="99.98"/>
    <n v="5"/>
  </r>
  <r>
    <s v="ORD-102106"/>
    <x v="671"/>
    <x v="20"/>
    <x v="3"/>
    <n v="4"/>
    <n v="39.99"/>
    <x v="4"/>
    <n v="31.99"/>
    <n v="127.96"/>
    <x v="0"/>
    <x v="1"/>
    <x v="0"/>
    <x v="0"/>
    <s v="Andalucía"/>
    <x v="0"/>
    <n v="2"/>
    <n v="159.96"/>
    <n v="32.000000000000014"/>
  </r>
  <r>
    <s v="ORD-102107"/>
    <x v="101"/>
    <x v="24"/>
    <x v="3"/>
    <n v="5"/>
    <n v="89.99"/>
    <x v="2"/>
    <n v="85.49"/>
    <n v="427.45"/>
    <x v="2"/>
    <x v="0"/>
    <x v="1"/>
    <x v="11"/>
    <s v="Cataluña"/>
    <x v="2"/>
    <m/>
    <n v="449.95"/>
    <n v="22.5"/>
  </r>
  <r>
    <s v="ORD-102108"/>
    <x v="39"/>
    <x v="11"/>
    <x v="0"/>
    <n v="5"/>
    <n v="349.99"/>
    <x v="2"/>
    <n v="332.49"/>
    <n v="1662.45"/>
    <x v="0"/>
    <x v="2"/>
    <x v="1"/>
    <x v="11"/>
    <s v="Cataluña"/>
    <x v="2"/>
    <n v="2"/>
    <n v="1749.95"/>
    <n v="87.5"/>
  </r>
  <r>
    <s v="ORD-102109"/>
    <x v="683"/>
    <x v="19"/>
    <x v="0"/>
    <n v="4"/>
    <n v="1199.99"/>
    <x v="1"/>
    <n v="1199.99"/>
    <n v="4799.96"/>
    <x v="0"/>
    <x v="3"/>
    <x v="3"/>
    <x v="5"/>
    <s v="País Vasco"/>
    <x v="0"/>
    <n v="3"/>
    <n v="4799.96"/>
    <n v="0"/>
  </r>
  <r>
    <s v="ORD-102110"/>
    <x v="514"/>
    <x v="1"/>
    <x v="1"/>
    <n v="1"/>
    <n v="399.99"/>
    <x v="1"/>
    <n v="399.99"/>
    <n v="399.99"/>
    <x v="0"/>
    <x v="0"/>
    <x v="0"/>
    <x v="5"/>
    <s v="País Vasco"/>
    <x v="0"/>
    <n v="5"/>
    <n v="399.99"/>
    <n v="0"/>
  </r>
  <r>
    <s v="ORD-102111"/>
    <x v="199"/>
    <x v="17"/>
    <x v="0"/>
    <n v="5"/>
    <n v="899.99"/>
    <x v="1"/>
    <n v="899.99"/>
    <n v="4499.95"/>
    <x v="2"/>
    <x v="2"/>
    <x v="2"/>
    <x v="0"/>
    <s v="Andalucía"/>
    <x v="0"/>
    <m/>
    <n v="4499.95"/>
    <n v="0"/>
  </r>
  <r>
    <s v="ORD-102112"/>
    <x v="528"/>
    <x v="0"/>
    <x v="0"/>
    <n v="3"/>
    <n v="45.99"/>
    <x v="3"/>
    <n v="41.39"/>
    <n v="124.17"/>
    <x v="0"/>
    <x v="1"/>
    <x v="2"/>
    <x v="8"/>
    <s v="La Rioja"/>
    <x v="1"/>
    <n v="3"/>
    <n v="137.97"/>
    <n v="13.799999999999997"/>
  </r>
  <r>
    <s v="ORD-102113"/>
    <x v="623"/>
    <x v="6"/>
    <x v="0"/>
    <n v="4"/>
    <n v="89.99"/>
    <x v="3"/>
    <n v="80.989999999999995"/>
    <n v="323.95999999999998"/>
    <x v="2"/>
    <x v="1"/>
    <x v="1"/>
    <x v="6"/>
    <s v="Comunitat Valenciana"/>
    <x v="0"/>
    <m/>
    <n v="359.96"/>
    <n v="36"/>
  </r>
  <r>
    <s v="ORD-102114"/>
    <x v="419"/>
    <x v="16"/>
    <x v="1"/>
    <n v="5"/>
    <n v="79.989999999999995"/>
    <x v="1"/>
    <n v="79.989999999999995"/>
    <n v="399.95"/>
    <x v="1"/>
    <x v="0"/>
    <x v="0"/>
    <x v="3"/>
    <s v="Comunidad de Madrid"/>
    <x v="2"/>
    <m/>
    <n v="399.95"/>
    <n v="0"/>
  </r>
  <r>
    <s v="ORD-102115"/>
    <x v="226"/>
    <x v="2"/>
    <x v="2"/>
    <n v="4"/>
    <n v="299.99"/>
    <x v="4"/>
    <n v="239.99"/>
    <n v="959.96"/>
    <x v="0"/>
    <x v="0"/>
    <x v="1"/>
    <x v="7"/>
    <s v="Castilla y León"/>
    <x v="1"/>
    <n v="4"/>
    <n v="1199.96"/>
    <n v="240"/>
  </r>
  <r>
    <s v="ORD-102116"/>
    <x v="220"/>
    <x v="8"/>
    <x v="2"/>
    <n v="2"/>
    <n v="59.99"/>
    <x v="4"/>
    <n v="47.99"/>
    <n v="95.98"/>
    <x v="4"/>
    <x v="1"/>
    <x v="0"/>
    <x v="5"/>
    <s v="País Vasco"/>
    <x v="0"/>
    <m/>
    <n v="119.98"/>
    <n v="24"/>
  </r>
  <r>
    <s v="ORD-102117"/>
    <x v="684"/>
    <x v="11"/>
    <x v="0"/>
    <n v="2"/>
    <n v="349.99"/>
    <x v="1"/>
    <n v="349.99"/>
    <n v="699.98"/>
    <x v="0"/>
    <x v="2"/>
    <x v="0"/>
    <x v="1"/>
    <s v="Comunitat Valenciana"/>
    <x v="1"/>
    <n v="4"/>
    <n v="699.98"/>
    <n v="0"/>
  </r>
  <r>
    <s v="ORD-102118"/>
    <x v="549"/>
    <x v="11"/>
    <x v="0"/>
    <n v="1"/>
    <n v="349.99"/>
    <x v="1"/>
    <n v="349.99"/>
    <n v="349.99"/>
    <x v="1"/>
    <x v="0"/>
    <x v="0"/>
    <x v="10"/>
    <s v="Cantabria"/>
    <x v="1"/>
    <m/>
    <n v="349.99"/>
    <n v="0"/>
  </r>
  <r>
    <s v="ORD-102119"/>
    <x v="368"/>
    <x v="3"/>
    <x v="3"/>
    <n v="4"/>
    <n v="34.99"/>
    <x v="1"/>
    <n v="34.99"/>
    <n v="139.96"/>
    <x v="3"/>
    <x v="2"/>
    <x v="3"/>
    <x v="9"/>
    <s v="Asturias"/>
    <x v="1"/>
    <m/>
    <n v="139.96"/>
    <n v="0"/>
  </r>
  <r>
    <s v="ORD-102120"/>
    <x v="102"/>
    <x v="13"/>
    <x v="3"/>
    <n v="2"/>
    <n v="49.99"/>
    <x v="2"/>
    <n v="47.49"/>
    <n v="94.98"/>
    <x v="1"/>
    <x v="0"/>
    <x v="0"/>
    <x v="14"/>
    <s v="Aragón"/>
    <x v="0"/>
    <m/>
    <n v="99.98"/>
    <n v="5"/>
  </r>
  <r>
    <s v="ORD-102121"/>
    <x v="210"/>
    <x v="17"/>
    <x v="0"/>
    <n v="1"/>
    <n v="899.99"/>
    <x v="4"/>
    <n v="719.99"/>
    <n v="719.99"/>
    <x v="2"/>
    <x v="0"/>
    <x v="2"/>
    <x v="5"/>
    <s v="País Vasco"/>
    <x v="0"/>
    <m/>
    <n v="899.99"/>
    <n v="180"/>
  </r>
  <r>
    <s v="ORD-102122"/>
    <x v="685"/>
    <x v="12"/>
    <x v="2"/>
    <n v="4"/>
    <n v="189.99"/>
    <x v="4"/>
    <n v="151.99"/>
    <n v="607.96"/>
    <x v="1"/>
    <x v="0"/>
    <x v="2"/>
    <x v="14"/>
    <s v="Aragón"/>
    <x v="0"/>
    <m/>
    <n v="759.96"/>
    <n v="152"/>
  </r>
  <r>
    <s v="ORD-102123"/>
    <x v="81"/>
    <x v="3"/>
    <x v="3"/>
    <n v="3"/>
    <n v="34.99"/>
    <x v="4"/>
    <n v="27.99"/>
    <n v="83.97"/>
    <x v="0"/>
    <x v="0"/>
    <x v="2"/>
    <x v="10"/>
    <s v="Cantabria"/>
    <x v="1"/>
    <n v="2"/>
    <n v="104.97"/>
    <n v="21"/>
  </r>
  <r>
    <s v="ORD-102124"/>
    <x v="312"/>
    <x v="3"/>
    <x v="3"/>
    <n v="1"/>
    <n v="34.99"/>
    <x v="2"/>
    <n v="33.24"/>
    <n v="33.24"/>
    <x v="2"/>
    <x v="0"/>
    <x v="2"/>
    <x v="14"/>
    <s v="Aragón"/>
    <x v="0"/>
    <m/>
    <n v="34.99"/>
    <n v="1.75"/>
  </r>
  <r>
    <s v="ORD-102125"/>
    <x v="20"/>
    <x v="14"/>
    <x v="1"/>
    <n v="5"/>
    <n v="249.99"/>
    <x v="2"/>
    <n v="237.49"/>
    <n v="1187.45"/>
    <x v="3"/>
    <x v="0"/>
    <x v="0"/>
    <x v="4"/>
    <s v="Castilla y León"/>
    <x v="1"/>
    <m/>
    <n v="1249.95"/>
    <n v="62.5"/>
  </r>
  <r>
    <s v="ORD-102126"/>
    <x v="637"/>
    <x v="18"/>
    <x v="2"/>
    <n v="1"/>
    <n v="99.99"/>
    <x v="0"/>
    <n v="84.99"/>
    <n v="84.99"/>
    <x v="0"/>
    <x v="2"/>
    <x v="3"/>
    <x v="14"/>
    <s v="Aragón"/>
    <x v="0"/>
    <n v="1"/>
    <n v="99.99"/>
    <n v="15"/>
  </r>
  <r>
    <s v="ORD-102127"/>
    <x v="349"/>
    <x v="16"/>
    <x v="1"/>
    <n v="5"/>
    <n v="79.989999999999995"/>
    <x v="1"/>
    <n v="79.989999999999995"/>
    <n v="399.95"/>
    <x v="0"/>
    <x v="1"/>
    <x v="2"/>
    <x v="14"/>
    <s v="Aragón"/>
    <x v="0"/>
    <n v="5"/>
    <n v="399.95"/>
    <n v="0"/>
  </r>
  <r>
    <s v="ORD-102128"/>
    <x v="232"/>
    <x v="14"/>
    <x v="1"/>
    <n v="4"/>
    <n v="249.99"/>
    <x v="3"/>
    <n v="224.99"/>
    <n v="899.96"/>
    <x v="4"/>
    <x v="2"/>
    <x v="0"/>
    <x v="1"/>
    <s v="Comunitat Valenciana"/>
    <x v="1"/>
    <m/>
    <n v="999.96"/>
    <n v="100"/>
  </r>
  <r>
    <s v="ORD-102129"/>
    <x v="622"/>
    <x v="26"/>
    <x v="1"/>
    <n v="5"/>
    <n v="599.99"/>
    <x v="3"/>
    <n v="539.99"/>
    <n v="2699.95"/>
    <x v="0"/>
    <x v="1"/>
    <x v="0"/>
    <x v="2"/>
    <s v="Navarra"/>
    <x v="1"/>
    <n v="1"/>
    <n v="2999.95"/>
    <n v="300"/>
  </r>
  <r>
    <s v="ORD-102130"/>
    <x v="639"/>
    <x v="1"/>
    <x v="1"/>
    <n v="1"/>
    <n v="399.99"/>
    <x v="2"/>
    <n v="379.99"/>
    <n v="379.99"/>
    <x v="2"/>
    <x v="2"/>
    <x v="4"/>
    <x v="13"/>
    <s v="Andalucía"/>
    <x v="0"/>
    <m/>
    <n v="399.99"/>
    <n v="20"/>
  </r>
  <r>
    <s v="ORD-102131"/>
    <x v="681"/>
    <x v="1"/>
    <x v="1"/>
    <n v="2"/>
    <n v="399.99"/>
    <x v="1"/>
    <n v="399.99"/>
    <n v="799.98"/>
    <x v="2"/>
    <x v="0"/>
    <x v="0"/>
    <x v="0"/>
    <s v="Andalucía"/>
    <x v="0"/>
    <m/>
    <n v="799.98"/>
    <n v="0"/>
  </r>
  <r>
    <s v="ORD-102132"/>
    <x v="369"/>
    <x v="4"/>
    <x v="4"/>
    <n v="1"/>
    <n v="349.99"/>
    <x v="4"/>
    <n v="279.99"/>
    <n v="279.99"/>
    <x v="0"/>
    <x v="1"/>
    <x v="3"/>
    <x v="4"/>
    <s v="Castilla y León"/>
    <x v="1"/>
    <n v="1"/>
    <n v="349.99"/>
    <n v="70"/>
  </r>
  <r>
    <s v="ORD-102133"/>
    <x v="167"/>
    <x v="28"/>
    <x v="0"/>
    <n v="1"/>
    <n v="499.99"/>
    <x v="1"/>
    <n v="499.99"/>
    <n v="499.99"/>
    <x v="3"/>
    <x v="0"/>
    <x v="0"/>
    <x v="12"/>
    <s v="Región de Murcia"/>
    <x v="1"/>
    <m/>
    <n v="499.99"/>
    <n v="0"/>
  </r>
  <r>
    <s v="ORD-102134"/>
    <x v="434"/>
    <x v="6"/>
    <x v="0"/>
    <n v="3"/>
    <n v="89.99"/>
    <x v="3"/>
    <n v="80.989999999999995"/>
    <n v="242.97"/>
    <x v="2"/>
    <x v="2"/>
    <x v="0"/>
    <x v="7"/>
    <s v="Castilla y León"/>
    <x v="1"/>
    <m/>
    <n v="269.96999999999997"/>
    <n v="26.999999999999972"/>
  </r>
  <r>
    <s v="ORD-102135"/>
    <x v="686"/>
    <x v="8"/>
    <x v="2"/>
    <n v="3"/>
    <n v="59.99"/>
    <x v="4"/>
    <n v="47.99"/>
    <n v="143.97"/>
    <x v="1"/>
    <x v="1"/>
    <x v="3"/>
    <x v="3"/>
    <s v="Comunidad de Madrid"/>
    <x v="2"/>
    <m/>
    <n v="179.97"/>
    <n v="36"/>
  </r>
  <r>
    <s v="ORD-102136"/>
    <x v="183"/>
    <x v="12"/>
    <x v="2"/>
    <n v="5"/>
    <n v="189.99"/>
    <x v="1"/>
    <n v="189.99"/>
    <n v="949.95"/>
    <x v="1"/>
    <x v="0"/>
    <x v="4"/>
    <x v="8"/>
    <s v="La Rioja"/>
    <x v="1"/>
    <m/>
    <n v="949.95"/>
    <n v="0"/>
  </r>
  <r>
    <s v="ORD-102137"/>
    <x v="136"/>
    <x v="10"/>
    <x v="2"/>
    <n v="3"/>
    <n v="69.989999999999995"/>
    <x v="1"/>
    <n v="69.989999999999995"/>
    <n v="209.97"/>
    <x v="0"/>
    <x v="0"/>
    <x v="3"/>
    <x v="0"/>
    <s v="Andalucía"/>
    <x v="0"/>
    <n v="3"/>
    <n v="209.96999999999997"/>
    <n v="0"/>
  </r>
  <r>
    <s v="ORD-102138"/>
    <x v="402"/>
    <x v="28"/>
    <x v="0"/>
    <n v="4"/>
    <n v="499.99"/>
    <x v="1"/>
    <n v="499.99"/>
    <n v="1999.96"/>
    <x v="0"/>
    <x v="1"/>
    <x v="0"/>
    <x v="4"/>
    <s v="Castilla y León"/>
    <x v="1"/>
    <n v="3"/>
    <n v="1999.96"/>
    <n v="0"/>
  </r>
  <r>
    <s v="ORD-102139"/>
    <x v="23"/>
    <x v="7"/>
    <x v="3"/>
    <n v="4"/>
    <n v="19.989999999999998"/>
    <x v="1"/>
    <n v="19.989999999999998"/>
    <n v="79.959999999999994"/>
    <x v="3"/>
    <x v="1"/>
    <x v="3"/>
    <x v="0"/>
    <s v="Andalucía"/>
    <x v="0"/>
    <m/>
    <n v="79.959999999999994"/>
    <n v="0"/>
  </r>
  <r>
    <s v="ORD-102140"/>
    <x v="231"/>
    <x v="13"/>
    <x v="3"/>
    <n v="5"/>
    <n v="49.99"/>
    <x v="0"/>
    <n v="42.49"/>
    <n v="212.45"/>
    <x v="0"/>
    <x v="0"/>
    <x v="0"/>
    <x v="11"/>
    <s v="Cataluña"/>
    <x v="2"/>
    <n v="1"/>
    <n v="249.95000000000002"/>
    <n v="37.500000000000028"/>
  </r>
  <r>
    <s v="ORD-102141"/>
    <x v="246"/>
    <x v="28"/>
    <x v="0"/>
    <n v="1"/>
    <n v="499.99"/>
    <x v="4"/>
    <n v="399.99"/>
    <n v="399.99"/>
    <x v="1"/>
    <x v="2"/>
    <x v="4"/>
    <x v="2"/>
    <s v="Navarra"/>
    <x v="1"/>
    <m/>
    <n v="499.99"/>
    <n v="100"/>
  </r>
  <r>
    <s v="ORD-102142"/>
    <x v="382"/>
    <x v="18"/>
    <x v="2"/>
    <n v="4"/>
    <n v="99.99"/>
    <x v="1"/>
    <n v="99.99"/>
    <n v="399.96"/>
    <x v="0"/>
    <x v="2"/>
    <x v="3"/>
    <x v="2"/>
    <s v="Navarra"/>
    <x v="1"/>
    <n v="5"/>
    <n v="399.96"/>
    <n v="0"/>
  </r>
  <r>
    <s v="ORD-102143"/>
    <x v="443"/>
    <x v="16"/>
    <x v="1"/>
    <n v="5"/>
    <n v="79.989999999999995"/>
    <x v="1"/>
    <n v="79.989999999999995"/>
    <n v="399.95"/>
    <x v="1"/>
    <x v="2"/>
    <x v="3"/>
    <x v="14"/>
    <s v="Aragón"/>
    <x v="0"/>
    <m/>
    <n v="399.95"/>
    <n v="0"/>
  </r>
  <r>
    <s v="ORD-102144"/>
    <x v="275"/>
    <x v="8"/>
    <x v="2"/>
    <n v="2"/>
    <n v="59.99"/>
    <x v="3"/>
    <n v="53.99"/>
    <n v="107.98"/>
    <x v="3"/>
    <x v="0"/>
    <x v="4"/>
    <x v="10"/>
    <s v="Cantabria"/>
    <x v="1"/>
    <m/>
    <n v="119.98"/>
    <n v="12"/>
  </r>
  <r>
    <s v="ORD-102145"/>
    <x v="82"/>
    <x v="6"/>
    <x v="0"/>
    <n v="2"/>
    <n v="89.99"/>
    <x v="1"/>
    <n v="89.99"/>
    <n v="179.98"/>
    <x v="0"/>
    <x v="2"/>
    <x v="3"/>
    <x v="7"/>
    <s v="Castilla y León"/>
    <x v="1"/>
    <n v="4"/>
    <n v="179.98"/>
    <n v="0"/>
  </r>
  <r>
    <s v="ORD-102146"/>
    <x v="374"/>
    <x v="15"/>
    <x v="3"/>
    <n v="1"/>
    <n v="69.989999999999995"/>
    <x v="1"/>
    <n v="69.989999999999995"/>
    <n v="69.989999999999995"/>
    <x v="2"/>
    <x v="2"/>
    <x v="0"/>
    <x v="2"/>
    <s v="Navarra"/>
    <x v="1"/>
    <m/>
    <n v="69.989999999999995"/>
    <n v="0"/>
  </r>
  <r>
    <s v="ORD-102147"/>
    <x v="610"/>
    <x v="18"/>
    <x v="2"/>
    <n v="4"/>
    <n v="99.99"/>
    <x v="1"/>
    <n v="99.99"/>
    <n v="399.96"/>
    <x v="0"/>
    <x v="1"/>
    <x v="1"/>
    <x v="1"/>
    <s v="Comunitat Valenciana"/>
    <x v="1"/>
    <n v="1"/>
    <n v="399.96"/>
    <n v="0"/>
  </r>
  <r>
    <s v="ORD-102148"/>
    <x v="89"/>
    <x v="25"/>
    <x v="4"/>
    <n v="4"/>
    <n v="34.99"/>
    <x v="3"/>
    <n v="31.49"/>
    <n v="125.96"/>
    <x v="1"/>
    <x v="0"/>
    <x v="3"/>
    <x v="13"/>
    <s v="Andalucía"/>
    <x v="0"/>
    <m/>
    <n v="139.96"/>
    <n v="14.000000000000014"/>
  </r>
  <r>
    <s v="ORD-102149"/>
    <x v="301"/>
    <x v="17"/>
    <x v="0"/>
    <n v="4"/>
    <n v="899.99"/>
    <x v="1"/>
    <n v="899.99"/>
    <n v="3599.96"/>
    <x v="0"/>
    <x v="0"/>
    <x v="1"/>
    <x v="14"/>
    <s v="Aragón"/>
    <x v="0"/>
    <n v="3"/>
    <n v="3599.96"/>
    <n v="0"/>
  </r>
  <r>
    <s v="ORD-102150"/>
    <x v="436"/>
    <x v="24"/>
    <x v="3"/>
    <n v="4"/>
    <n v="89.99"/>
    <x v="0"/>
    <n v="76.489999999999995"/>
    <n v="305.95999999999998"/>
    <x v="2"/>
    <x v="2"/>
    <x v="0"/>
    <x v="14"/>
    <s v="Aragón"/>
    <x v="0"/>
    <m/>
    <n v="359.96"/>
    <n v="54"/>
  </r>
  <r>
    <s v="ORD-102151"/>
    <x v="419"/>
    <x v="27"/>
    <x v="1"/>
    <n v="5"/>
    <n v="49.99"/>
    <x v="3"/>
    <n v="44.99"/>
    <n v="224.95"/>
    <x v="1"/>
    <x v="0"/>
    <x v="3"/>
    <x v="1"/>
    <s v="Comunitat Valenciana"/>
    <x v="1"/>
    <m/>
    <n v="249.95000000000002"/>
    <n v="25.000000000000028"/>
  </r>
  <r>
    <s v="ORD-102152"/>
    <x v="411"/>
    <x v="10"/>
    <x v="2"/>
    <n v="3"/>
    <n v="69.989999999999995"/>
    <x v="1"/>
    <n v="69.989999999999995"/>
    <n v="209.97"/>
    <x v="1"/>
    <x v="2"/>
    <x v="1"/>
    <x v="3"/>
    <s v="Comunidad de Madrid"/>
    <x v="2"/>
    <m/>
    <n v="209.96999999999997"/>
    <n v="0"/>
  </r>
  <r>
    <s v="ORD-102153"/>
    <x v="327"/>
    <x v="13"/>
    <x v="3"/>
    <n v="5"/>
    <n v="49.99"/>
    <x v="4"/>
    <n v="39.99"/>
    <n v="199.95"/>
    <x v="0"/>
    <x v="2"/>
    <x v="0"/>
    <x v="3"/>
    <s v="Comunidad de Madrid"/>
    <x v="2"/>
    <n v="3"/>
    <n v="249.95000000000002"/>
    <n v="50.000000000000028"/>
  </r>
  <r>
    <s v="ORD-102154"/>
    <x v="645"/>
    <x v="11"/>
    <x v="0"/>
    <n v="3"/>
    <n v="349.99"/>
    <x v="4"/>
    <n v="279.99"/>
    <n v="839.97"/>
    <x v="0"/>
    <x v="0"/>
    <x v="2"/>
    <x v="6"/>
    <s v="Comunitat Valenciana"/>
    <x v="0"/>
    <n v="1"/>
    <n v="1049.97"/>
    <n v="210"/>
  </r>
  <r>
    <s v="ORD-102155"/>
    <x v="167"/>
    <x v="15"/>
    <x v="3"/>
    <n v="1"/>
    <n v="69.989999999999995"/>
    <x v="2"/>
    <n v="66.489999999999995"/>
    <n v="66.489999999999995"/>
    <x v="0"/>
    <x v="0"/>
    <x v="0"/>
    <x v="5"/>
    <s v="País Vasco"/>
    <x v="0"/>
    <n v="3"/>
    <n v="69.989999999999995"/>
    <n v="3.5"/>
  </r>
  <r>
    <s v="ORD-102156"/>
    <x v="162"/>
    <x v="29"/>
    <x v="0"/>
    <n v="1"/>
    <n v="129.99"/>
    <x v="4"/>
    <n v="103.99"/>
    <n v="103.99"/>
    <x v="0"/>
    <x v="1"/>
    <x v="2"/>
    <x v="7"/>
    <s v="Castilla y León"/>
    <x v="1"/>
    <n v="3"/>
    <n v="129.99"/>
    <n v="26.000000000000014"/>
  </r>
  <r>
    <s v="ORD-102157"/>
    <x v="382"/>
    <x v="0"/>
    <x v="0"/>
    <n v="3"/>
    <n v="45.99"/>
    <x v="4"/>
    <n v="36.79"/>
    <n v="110.37"/>
    <x v="0"/>
    <x v="0"/>
    <x v="3"/>
    <x v="4"/>
    <s v="Castilla y León"/>
    <x v="1"/>
    <n v="5"/>
    <n v="137.97"/>
    <n v="27.599999999999994"/>
  </r>
  <r>
    <s v="ORD-102158"/>
    <x v="5"/>
    <x v="28"/>
    <x v="0"/>
    <n v="1"/>
    <n v="499.99"/>
    <x v="1"/>
    <n v="499.99"/>
    <n v="499.99"/>
    <x v="0"/>
    <x v="1"/>
    <x v="3"/>
    <x v="2"/>
    <s v="Navarra"/>
    <x v="1"/>
    <n v="1"/>
    <n v="499.99"/>
    <n v="0"/>
  </r>
  <r>
    <s v="ORD-102159"/>
    <x v="367"/>
    <x v="5"/>
    <x v="1"/>
    <n v="5"/>
    <n v="149.99"/>
    <x v="4"/>
    <n v="119.99"/>
    <n v="599.95000000000005"/>
    <x v="1"/>
    <x v="2"/>
    <x v="1"/>
    <x v="5"/>
    <s v="País Vasco"/>
    <x v="0"/>
    <m/>
    <n v="749.95"/>
    <n v="150"/>
  </r>
  <r>
    <s v="ORD-102160"/>
    <x v="315"/>
    <x v="23"/>
    <x v="4"/>
    <n v="4"/>
    <n v="24.99"/>
    <x v="4"/>
    <n v="19.989999999999998"/>
    <n v="79.959999999999994"/>
    <x v="3"/>
    <x v="2"/>
    <x v="3"/>
    <x v="5"/>
    <s v="País Vasco"/>
    <x v="0"/>
    <m/>
    <n v="99.96"/>
    <n v="20"/>
  </r>
  <r>
    <s v="ORD-102161"/>
    <x v="447"/>
    <x v="24"/>
    <x v="3"/>
    <n v="3"/>
    <n v="89.99"/>
    <x v="0"/>
    <n v="76.489999999999995"/>
    <n v="229.47"/>
    <x v="0"/>
    <x v="0"/>
    <x v="4"/>
    <x v="11"/>
    <s v="Cataluña"/>
    <x v="2"/>
    <n v="1"/>
    <n v="269.96999999999997"/>
    <n v="40.499999999999972"/>
  </r>
  <r>
    <s v="ORD-102162"/>
    <x v="62"/>
    <x v="23"/>
    <x v="4"/>
    <n v="4"/>
    <n v="24.99"/>
    <x v="1"/>
    <n v="24.99"/>
    <n v="99.96"/>
    <x v="0"/>
    <x v="0"/>
    <x v="0"/>
    <x v="14"/>
    <s v="Aragón"/>
    <x v="0"/>
    <n v="2"/>
    <n v="99.96"/>
    <n v="0"/>
  </r>
  <r>
    <s v="ORD-102163"/>
    <x v="437"/>
    <x v="5"/>
    <x v="1"/>
    <n v="2"/>
    <n v="149.99"/>
    <x v="1"/>
    <n v="149.99"/>
    <n v="299.98"/>
    <x v="0"/>
    <x v="1"/>
    <x v="3"/>
    <x v="6"/>
    <s v="Comunitat Valenciana"/>
    <x v="0"/>
    <n v="1"/>
    <n v="299.98"/>
    <n v="0"/>
  </r>
  <r>
    <s v="ORD-102164"/>
    <x v="333"/>
    <x v="8"/>
    <x v="2"/>
    <n v="1"/>
    <n v="59.99"/>
    <x v="2"/>
    <n v="56.99"/>
    <n v="56.99"/>
    <x v="0"/>
    <x v="0"/>
    <x v="1"/>
    <x v="10"/>
    <s v="Cantabria"/>
    <x v="1"/>
    <n v="5"/>
    <n v="59.99"/>
    <n v="3"/>
  </r>
  <r>
    <s v="ORD-102165"/>
    <x v="75"/>
    <x v="3"/>
    <x v="3"/>
    <n v="1"/>
    <n v="34.99"/>
    <x v="0"/>
    <n v="29.74"/>
    <n v="29.74"/>
    <x v="0"/>
    <x v="1"/>
    <x v="1"/>
    <x v="5"/>
    <s v="País Vasco"/>
    <x v="0"/>
    <n v="2"/>
    <n v="34.99"/>
    <n v="5.2500000000000036"/>
  </r>
  <r>
    <s v="ORD-102166"/>
    <x v="474"/>
    <x v="5"/>
    <x v="1"/>
    <n v="2"/>
    <n v="149.99"/>
    <x v="1"/>
    <n v="149.99"/>
    <n v="299.98"/>
    <x v="0"/>
    <x v="1"/>
    <x v="0"/>
    <x v="1"/>
    <s v="Comunitat Valenciana"/>
    <x v="1"/>
    <n v="5"/>
    <n v="299.98"/>
    <n v="0"/>
  </r>
  <r>
    <s v="ORD-102167"/>
    <x v="687"/>
    <x v="15"/>
    <x v="3"/>
    <n v="2"/>
    <n v="69.989999999999995"/>
    <x v="2"/>
    <n v="66.489999999999995"/>
    <n v="132.97999999999999"/>
    <x v="4"/>
    <x v="2"/>
    <x v="0"/>
    <x v="13"/>
    <s v="Andalucía"/>
    <x v="0"/>
    <m/>
    <n v="139.97999999999999"/>
    <n v="7"/>
  </r>
  <r>
    <s v="ORD-102168"/>
    <x v="364"/>
    <x v="27"/>
    <x v="1"/>
    <n v="1"/>
    <n v="49.99"/>
    <x v="0"/>
    <n v="42.49"/>
    <n v="42.49"/>
    <x v="0"/>
    <x v="1"/>
    <x v="0"/>
    <x v="9"/>
    <s v="Asturias"/>
    <x v="1"/>
    <n v="1"/>
    <n v="49.99"/>
    <n v="7.5"/>
  </r>
  <r>
    <s v="ORD-102169"/>
    <x v="426"/>
    <x v="1"/>
    <x v="1"/>
    <n v="2"/>
    <n v="399.99"/>
    <x v="0"/>
    <n v="339.99"/>
    <n v="679.98"/>
    <x v="0"/>
    <x v="1"/>
    <x v="2"/>
    <x v="6"/>
    <s v="Comunitat Valenciana"/>
    <x v="0"/>
    <n v="5"/>
    <n v="799.98"/>
    <n v="120"/>
  </r>
  <r>
    <s v="ORD-102170"/>
    <x v="688"/>
    <x v="12"/>
    <x v="2"/>
    <n v="2"/>
    <n v="189.99"/>
    <x v="1"/>
    <n v="189.99"/>
    <n v="379.98"/>
    <x v="1"/>
    <x v="3"/>
    <x v="1"/>
    <x v="0"/>
    <s v="Andalucía"/>
    <x v="0"/>
    <m/>
    <n v="379.98"/>
    <n v="0"/>
  </r>
  <r>
    <s v="ORD-102171"/>
    <x v="99"/>
    <x v="12"/>
    <x v="2"/>
    <n v="4"/>
    <n v="189.99"/>
    <x v="1"/>
    <n v="189.99"/>
    <n v="759.96"/>
    <x v="4"/>
    <x v="3"/>
    <x v="3"/>
    <x v="5"/>
    <s v="País Vasco"/>
    <x v="0"/>
    <m/>
    <n v="759.96"/>
    <n v="0"/>
  </r>
  <r>
    <s v="ORD-102172"/>
    <x v="369"/>
    <x v="21"/>
    <x v="0"/>
    <n v="1"/>
    <n v="799.99"/>
    <x v="4"/>
    <n v="639.99"/>
    <n v="639.99"/>
    <x v="1"/>
    <x v="0"/>
    <x v="0"/>
    <x v="13"/>
    <s v="Andalucía"/>
    <x v="0"/>
    <m/>
    <n v="799.99"/>
    <n v="160"/>
  </r>
  <r>
    <s v="ORD-102173"/>
    <x v="267"/>
    <x v="11"/>
    <x v="0"/>
    <n v="1"/>
    <n v="349.99"/>
    <x v="4"/>
    <n v="279.99"/>
    <n v="279.99"/>
    <x v="0"/>
    <x v="0"/>
    <x v="3"/>
    <x v="13"/>
    <s v="Andalucía"/>
    <x v="0"/>
    <n v="3"/>
    <n v="349.99"/>
    <n v="70"/>
  </r>
  <r>
    <s v="ORD-102174"/>
    <x v="478"/>
    <x v="12"/>
    <x v="2"/>
    <n v="2"/>
    <n v="189.99"/>
    <x v="4"/>
    <n v="151.99"/>
    <n v="303.98"/>
    <x v="1"/>
    <x v="0"/>
    <x v="0"/>
    <x v="0"/>
    <s v="Andalucía"/>
    <x v="0"/>
    <m/>
    <n v="379.98"/>
    <n v="76"/>
  </r>
  <r>
    <s v="ORD-102175"/>
    <x v="629"/>
    <x v="4"/>
    <x v="4"/>
    <n v="2"/>
    <n v="349.99"/>
    <x v="2"/>
    <n v="332.49"/>
    <n v="664.98"/>
    <x v="0"/>
    <x v="0"/>
    <x v="0"/>
    <x v="5"/>
    <s v="País Vasco"/>
    <x v="0"/>
    <n v="4"/>
    <n v="699.98"/>
    <n v="35"/>
  </r>
  <r>
    <s v="ORD-102176"/>
    <x v="685"/>
    <x v="29"/>
    <x v="0"/>
    <n v="1"/>
    <n v="129.99"/>
    <x v="4"/>
    <n v="103.99"/>
    <n v="103.99"/>
    <x v="2"/>
    <x v="1"/>
    <x v="3"/>
    <x v="3"/>
    <s v="Comunidad de Madrid"/>
    <x v="2"/>
    <m/>
    <n v="129.99"/>
    <n v="26.000000000000014"/>
  </r>
  <r>
    <s v="ORD-102177"/>
    <x v="41"/>
    <x v="3"/>
    <x v="3"/>
    <n v="1"/>
    <n v="34.99"/>
    <x v="1"/>
    <n v="34.99"/>
    <n v="34.99"/>
    <x v="0"/>
    <x v="0"/>
    <x v="1"/>
    <x v="5"/>
    <s v="País Vasco"/>
    <x v="0"/>
    <n v="4"/>
    <n v="34.99"/>
    <n v="0"/>
  </r>
  <r>
    <s v="ORD-102178"/>
    <x v="254"/>
    <x v="6"/>
    <x v="0"/>
    <n v="5"/>
    <n v="89.99"/>
    <x v="2"/>
    <n v="85.49"/>
    <n v="427.45"/>
    <x v="0"/>
    <x v="0"/>
    <x v="0"/>
    <x v="9"/>
    <s v="Asturias"/>
    <x v="1"/>
    <n v="3"/>
    <n v="449.95"/>
    <n v="22.5"/>
  </r>
  <r>
    <s v="ORD-102179"/>
    <x v="657"/>
    <x v="20"/>
    <x v="3"/>
    <n v="3"/>
    <n v="39.99"/>
    <x v="1"/>
    <n v="39.99"/>
    <n v="119.97"/>
    <x v="0"/>
    <x v="2"/>
    <x v="0"/>
    <x v="12"/>
    <s v="Región de Murcia"/>
    <x v="1"/>
    <n v="2"/>
    <n v="119.97"/>
    <n v="0"/>
  </r>
  <r>
    <s v="ORD-102180"/>
    <x v="266"/>
    <x v="16"/>
    <x v="1"/>
    <n v="4"/>
    <n v="79.989999999999995"/>
    <x v="1"/>
    <n v="79.989999999999995"/>
    <n v="319.95999999999998"/>
    <x v="4"/>
    <x v="1"/>
    <x v="4"/>
    <x v="7"/>
    <s v="Castilla y León"/>
    <x v="1"/>
    <m/>
    <n v="319.95999999999998"/>
    <n v="0"/>
  </r>
  <r>
    <s v="ORD-102181"/>
    <x v="602"/>
    <x v="7"/>
    <x v="3"/>
    <n v="3"/>
    <n v="19.989999999999998"/>
    <x v="3"/>
    <n v="17.989999999999998"/>
    <n v="53.97"/>
    <x v="0"/>
    <x v="0"/>
    <x v="1"/>
    <x v="11"/>
    <s v="Cataluña"/>
    <x v="2"/>
    <n v="3"/>
    <n v="59.97"/>
    <n v="6"/>
  </r>
  <r>
    <s v="ORD-102182"/>
    <x v="370"/>
    <x v="19"/>
    <x v="0"/>
    <n v="1"/>
    <n v="1199.99"/>
    <x v="3"/>
    <n v="1079.99"/>
    <n v="1079.99"/>
    <x v="3"/>
    <x v="0"/>
    <x v="0"/>
    <x v="11"/>
    <s v="Cataluña"/>
    <x v="2"/>
    <m/>
    <n v="1199.99"/>
    <n v="120"/>
  </r>
  <r>
    <s v="ORD-102183"/>
    <x v="38"/>
    <x v="18"/>
    <x v="2"/>
    <n v="5"/>
    <n v="99.99"/>
    <x v="4"/>
    <n v="79.989999999999995"/>
    <n v="399.95"/>
    <x v="1"/>
    <x v="2"/>
    <x v="4"/>
    <x v="2"/>
    <s v="Navarra"/>
    <x v="1"/>
    <m/>
    <n v="499.95"/>
    <n v="100"/>
  </r>
  <r>
    <s v="ORD-102184"/>
    <x v="509"/>
    <x v="16"/>
    <x v="1"/>
    <n v="5"/>
    <n v="79.989999999999995"/>
    <x v="1"/>
    <n v="79.989999999999995"/>
    <n v="399.95"/>
    <x v="0"/>
    <x v="0"/>
    <x v="1"/>
    <x v="3"/>
    <s v="Comunidad de Madrid"/>
    <x v="2"/>
    <n v="5"/>
    <n v="399.95"/>
    <n v="0"/>
  </r>
  <r>
    <s v="ORD-102185"/>
    <x v="138"/>
    <x v="1"/>
    <x v="1"/>
    <n v="3"/>
    <n v="399.99"/>
    <x v="1"/>
    <n v="399.99"/>
    <n v="1199.97"/>
    <x v="0"/>
    <x v="0"/>
    <x v="0"/>
    <x v="6"/>
    <s v="Comunitat Valenciana"/>
    <x v="0"/>
    <n v="4"/>
    <n v="1199.97"/>
    <n v="0"/>
  </r>
  <r>
    <s v="ORD-102186"/>
    <x v="397"/>
    <x v="2"/>
    <x v="2"/>
    <n v="3"/>
    <n v="299.99"/>
    <x v="3"/>
    <n v="269.99"/>
    <n v="809.97"/>
    <x v="0"/>
    <x v="1"/>
    <x v="4"/>
    <x v="13"/>
    <s v="Andalucía"/>
    <x v="0"/>
    <n v="5"/>
    <n v="899.97"/>
    <n v="90"/>
  </r>
  <r>
    <s v="ORD-102187"/>
    <x v="245"/>
    <x v="15"/>
    <x v="3"/>
    <n v="1"/>
    <n v="69.989999999999995"/>
    <x v="2"/>
    <n v="66.489999999999995"/>
    <n v="66.489999999999995"/>
    <x v="0"/>
    <x v="2"/>
    <x v="0"/>
    <x v="0"/>
    <s v="Andalucía"/>
    <x v="0"/>
    <n v="3"/>
    <n v="69.989999999999995"/>
    <n v="3.5"/>
  </r>
  <r>
    <s v="ORD-102188"/>
    <x v="641"/>
    <x v="16"/>
    <x v="1"/>
    <n v="2"/>
    <n v="79.989999999999995"/>
    <x v="3"/>
    <n v="71.989999999999995"/>
    <n v="143.97999999999999"/>
    <x v="0"/>
    <x v="0"/>
    <x v="3"/>
    <x v="0"/>
    <s v="Andalucía"/>
    <x v="0"/>
    <n v="1"/>
    <n v="159.97999999999999"/>
    <n v="16"/>
  </r>
  <r>
    <s v="ORD-102189"/>
    <x v="323"/>
    <x v="1"/>
    <x v="1"/>
    <n v="2"/>
    <n v="399.99"/>
    <x v="1"/>
    <n v="399.99"/>
    <n v="799.98"/>
    <x v="0"/>
    <x v="0"/>
    <x v="3"/>
    <x v="3"/>
    <s v="Comunidad de Madrid"/>
    <x v="2"/>
    <n v="1"/>
    <n v="799.98"/>
    <n v="0"/>
  </r>
  <r>
    <s v="ORD-102190"/>
    <x v="323"/>
    <x v="12"/>
    <x v="2"/>
    <n v="5"/>
    <n v="189.99"/>
    <x v="2"/>
    <n v="180.49"/>
    <n v="902.45"/>
    <x v="1"/>
    <x v="1"/>
    <x v="0"/>
    <x v="0"/>
    <s v="Andalucía"/>
    <x v="0"/>
    <m/>
    <n v="949.95"/>
    <n v="47.5"/>
  </r>
  <r>
    <s v="ORD-102191"/>
    <x v="27"/>
    <x v="17"/>
    <x v="0"/>
    <n v="3"/>
    <n v="899.99"/>
    <x v="1"/>
    <n v="899.99"/>
    <n v="2699.97"/>
    <x v="3"/>
    <x v="0"/>
    <x v="0"/>
    <x v="13"/>
    <s v="Andalucía"/>
    <x v="0"/>
    <m/>
    <n v="2699.9700000000003"/>
    <n v="0"/>
  </r>
  <r>
    <s v="ORD-102192"/>
    <x v="361"/>
    <x v="23"/>
    <x v="4"/>
    <n v="4"/>
    <n v="24.99"/>
    <x v="1"/>
    <n v="24.99"/>
    <n v="99.96"/>
    <x v="0"/>
    <x v="0"/>
    <x v="0"/>
    <x v="4"/>
    <s v="Castilla y León"/>
    <x v="1"/>
    <n v="3"/>
    <n v="99.96"/>
    <n v="0"/>
  </r>
  <r>
    <s v="ORD-102193"/>
    <x v="101"/>
    <x v="5"/>
    <x v="1"/>
    <n v="2"/>
    <n v="149.99"/>
    <x v="1"/>
    <n v="149.99"/>
    <n v="299.98"/>
    <x v="0"/>
    <x v="1"/>
    <x v="1"/>
    <x v="5"/>
    <s v="País Vasco"/>
    <x v="0"/>
    <n v="1"/>
    <n v="299.98"/>
    <n v="0"/>
  </r>
  <r>
    <s v="ORD-102194"/>
    <x v="468"/>
    <x v="25"/>
    <x v="4"/>
    <n v="2"/>
    <n v="34.99"/>
    <x v="4"/>
    <n v="27.99"/>
    <n v="55.98"/>
    <x v="0"/>
    <x v="0"/>
    <x v="3"/>
    <x v="14"/>
    <s v="Aragón"/>
    <x v="0"/>
    <n v="2"/>
    <n v="69.98"/>
    <n v="14.000000000000007"/>
  </r>
  <r>
    <s v="ORD-102195"/>
    <x v="432"/>
    <x v="7"/>
    <x v="3"/>
    <n v="1"/>
    <n v="19.989999999999998"/>
    <x v="2"/>
    <n v="18.989999999999998"/>
    <n v="18.989999999999998"/>
    <x v="1"/>
    <x v="0"/>
    <x v="3"/>
    <x v="4"/>
    <s v="Castilla y León"/>
    <x v="1"/>
    <m/>
    <n v="19.989999999999998"/>
    <n v="1"/>
  </r>
  <r>
    <s v="ORD-102196"/>
    <x v="67"/>
    <x v="29"/>
    <x v="0"/>
    <n v="1"/>
    <n v="129.99"/>
    <x v="0"/>
    <n v="110.49"/>
    <n v="110.49"/>
    <x v="0"/>
    <x v="1"/>
    <x v="1"/>
    <x v="9"/>
    <s v="Asturias"/>
    <x v="1"/>
    <n v="2"/>
    <n v="129.99"/>
    <n v="19.500000000000014"/>
  </r>
  <r>
    <s v="ORD-102197"/>
    <x v="689"/>
    <x v="25"/>
    <x v="4"/>
    <n v="2"/>
    <n v="34.99"/>
    <x v="1"/>
    <n v="34.99"/>
    <n v="69.98"/>
    <x v="1"/>
    <x v="0"/>
    <x v="2"/>
    <x v="10"/>
    <s v="Cantabria"/>
    <x v="1"/>
    <m/>
    <n v="69.98"/>
    <n v="0"/>
  </r>
  <r>
    <s v="ORD-102198"/>
    <x v="291"/>
    <x v="11"/>
    <x v="0"/>
    <n v="3"/>
    <n v="349.99"/>
    <x v="2"/>
    <n v="332.49"/>
    <n v="997.47"/>
    <x v="0"/>
    <x v="0"/>
    <x v="0"/>
    <x v="12"/>
    <s v="Región de Murcia"/>
    <x v="1"/>
    <n v="1"/>
    <n v="1049.97"/>
    <n v="52.5"/>
  </r>
  <r>
    <s v="ORD-102199"/>
    <x v="580"/>
    <x v="15"/>
    <x v="3"/>
    <n v="3"/>
    <n v="69.989999999999995"/>
    <x v="4"/>
    <n v="55.99"/>
    <n v="167.97"/>
    <x v="1"/>
    <x v="1"/>
    <x v="2"/>
    <x v="6"/>
    <s v="Comunitat Valenciana"/>
    <x v="0"/>
    <m/>
    <n v="209.96999999999997"/>
    <n v="41.999999999999972"/>
  </r>
  <r>
    <s v="ORD-102200"/>
    <x v="616"/>
    <x v="16"/>
    <x v="1"/>
    <n v="4"/>
    <n v="79.989999999999995"/>
    <x v="1"/>
    <n v="79.989999999999995"/>
    <n v="319.95999999999998"/>
    <x v="0"/>
    <x v="1"/>
    <x v="1"/>
    <x v="3"/>
    <s v="Comunidad de Madrid"/>
    <x v="2"/>
    <n v="4"/>
    <n v="319.95999999999998"/>
    <n v="0"/>
  </r>
  <r>
    <s v="ORD-102201"/>
    <x v="286"/>
    <x v="6"/>
    <x v="0"/>
    <n v="2"/>
    <n v="89.99"/>
    <x v="1"/>
    <n v="89.99"/>
    <n v="179.98"/>
    <x v="0"/>
    <x v="0"/>
    <x v="0"/>
    <x v="13"/>
    <s v="Andalucía"/>
    <x v="0"/>
    <n v="2"/>
    <n v="179.98"/>
    <n v="0"/>
  </r>
  <r>
    <s v="ORD-102202"/>
    <x v="497"/>
    <x v="2"/>
    <x v="2"/>
    <n v="5"/>
    <n v="299.99"/>
    <x v="0"/>
    <n v="254.99"/>
    <n v="1274.95"/>
    <x v="0"/>
    <x v="1"/>
    <x v="4"/>
    <x v="9"/>
    <s v="Asturias"/>
    <x v="1"/>
    <n v="5"/>
    <n v="1499.95"/>
    <n v="225"/>
  </r>
  <r>
    <s v="ORD-102203"/>
    <x v="577"/>
    <x v="24"/>
    <x v="3"/>
    <n v="4"/>
    <n v="89.99"/>
    <x v="1"/>
    <n v="89.99"/>
    <n v="359.96"/>
    <x v="2"/>
    <x v="1"/>
    <x v="3"/>
    <x v="1"/>
    <s v="Comunitat Valenciana"/>
    <x v="1"/>
    <m/>
    <n v="359.96"/>
    <n v="0"/>
  </r>
  <r>
    <s v="ORD-102204"/>
    <x v="357"/>
    <x v="3"/>
    <x v="3"/>
    <n v="2"/>
    <n v="34.99"/>
    <x v="3"/>
    <n v="31.49"/>
    <n v="62.98"/>
    <x v="2"/>
    <x v="0"/>
    <x v="0"/>
    <x v="12"/>
    <s v="Región de Murcia"/>
    <x v="1"/>
    <m/>
    <n v="69.98"/>
    <n v="7.0000000000000071"/>
  </r>
  <r>
    <s v="ORD-102205"/>
    <x v="671"/>
    <x v="22"/>
    <x v="4"/>
    <n v="1"/>
    <n v="44.99"/>
    <x v="1"/>
    <n v="44.99"/>
    <n v="44.99"/>
    <x v="0"/>
    <x v="2"/>
    <x v="3"/>
    <x v="13"/>
    <s v="Andalucía"/>
    <x v="0"/>
    <n v="1"/>
    <n v="44.99"/>
    <n v="0"/>
  </r>
  <r>
    <s v="ORD-102206"/>
    <x v="308"/>
    <x v="0"/>
    <x v="0"/>
    <n v="2"/>
    <n v="45.99"/>
    <x v="1"/>
    <n v="45.99"/>
    <n v="91.98"/>
    <x v="0"/>
    <x v="1"/>
    <x v="2"/>
    <x v="10"/>
    <s v="Cantabria"/>
    <x v="1"/>
    <n v="5"/>
    <n v="91.98"/>
    <n v="0"/>
  </r>
  <r>
    <s v="ORD-102207"/>
    <x v="234"/>
    <x v="20"/>
    <x v="3"/>
    <n v="5"/>
    <n v="39.99"/>
    <x v="0"/>
    <n v="33.99"/>
    <n v="169.95"/>
    <x v="1"/>
    <x v="0"/>
    <x v="0"/>
    <x v="6"/>
    <s v="Comunitat Valenciana"/>
    <x v="0"/>
    <m/>
    <n v="199.95000000000002"/>
    <n v="30.000000000000028"/>
  </r>
  <r>
    <s v="ORD-102208"/>
    <x v="97"/>
    <x v="8"/>
    <x v="2"/>
    <n v="2"/>
    <n v="59.99"/>
    <x v="1"/>
    <n v="59.99"/>
    <n v="119.98"/>
    <x v="3"/>
    <x v="2"/>
    <x v="3"/>
    <x v="7"/>
    <s v="Castilla y León"/>
    <x v="1"/>
    <m/>
    <n v="119.98"/>
    <n v="0"/>
  </r>
  <r>
    <s v="ORD-102209"/>
    <x v="207"/>
    <x v="28"/>
    <x v="0"/>
    <n v="5"/>
    <n v="499.99"/>
    <x v="3"/>
    <n v="449.99"/>
    <n v="2249.9499999999998"/>
    <x v="0"/>
    <x v="1"/>
    <x v="0"/>
    <x v="7"/>
    <s v="Castilla y León"/>
    <x v="1"/>
    <n v="3"/>
    <n v="2499.9499999999998"/>
    <n v="250"/>
  </r>
  <r>
    <s v="ORD-102210"/>
    <x v="300"/>
    <x v="11"/>
    <x v="0"/>
    <n v="2"/>
    <n v="349.99"/>
    <x v="1"/>
    <n v="349.99"/>
    <n v="699.98"/>
    <x v="0"/>
    <x v="2"/>
    <x v="0"/>
    <x v="8"/>
    <s v="La Rioja"/>
    <x v="1"/>
    <n v="2"/>
    <n v="699.98"/>
    <n v="0"/>
  </r>
  <r>
    <s v="ORD-102211"/>
    <x v="177"/>
    <x v="9"/>
    <x v="2"/>
    <n v="1"/>
    <n v="29.99"/>
    <x v="3"/>
    <n v="26.99"/>
    <n v="26.99"/>
    <x v="0"/>
    <x v="0"/>
    <x v="1"/>
    <x v="12"/>
    <s v="Región de Murcia"/>
    <x v="1"/>
    <n v="5"/>
    <n v="29.99"/>
    <n v="3"/>
  </r>
  <r>
    <s v="ORD-102212"/>
    <x v="35"/>
    <x v="10"/>
    <x v="2"/>
    <n v="3"/>
    <n v="69.989999999999995"/>
    <x v="2"/>
    <n v="66.489999999999995"/>
    <n v="199.47"/>
    <x v="0"/>
    <x v="3"/>
    <x v="0"/>
    <x v="5"/>
    <s v="País Vasco"/>
    <x v="0"/>
    <n v="1"/>
    <n v="209.96999999999997"/>
    <n v="10.499999999999972"/>
  </r>
  <r>
    <s v="ORD-102213"/>
    <x v="15"/>
    <x v="18"/>
    <x v="2"/>
    <n v="1"/>
    <n v="99.99"/>
    <x v="4"/>
    <n v="79.989999999999995"/>
    <n v="79.989999999999995"/>
    <x v="1"/>
    <x v="2"/>
    <x v="1"/>
    <x v="3"/>
    <s v="Comunidad de Madrid"/>
    <x v="2"/>
    <m/>
    <n v="99.99"/>
    <n v="20"/>
  </r>
  <r>
    <s v="ORD-102214"/>
    <x v="71"/>
    <x v="24"/>
    <x v="3"/>
    <n v="2"/>
    <n v="89.99"/>
    <x v="4"/>
    <n v="71.989999999999995"/>
    <n v="143.97999999999999"/>
    <x v="1"/>
    <x v="1"/>
    <x v="0"/>
    <x v="9"/>
    <s v="Asturias"/>
    <x v="1"/>
    <m/>
    <n v="179.98"/>
    <n v="36"/>
  </r>
  <r>
    <s v="ORD-102215"/>
    <x v="129"/>
    <x v="16"/>
    <x v="1"/>
    <n v="1"/>
    <n v="79.989999999999995"/>
    <x v="2"/>
    <n v="75.989999999999995"/>
    <n v="75.989999999999995"/>
    <x v="1"/>
    <x v="1"/>
    <x v="0"/>
    <x v="7"/>
    <s v="Castilla y León"/>
    <x v="1"/>
    <m/>
    <n v="79.989999999999995"/>
    <n v="4"/>
  </r>
  <r>
    <s v="ORD-102216"/>
    <x v="333"/>
    <x v="10"/>
    <x v="2"/>
    <n v="5"/>
    <n v="69.989999999999995"/>
    <x v="1"/>
    <n v="69.989999999999995"/>
    <n v="349.95"/>
    <x v="1"/>
    <x v="0"/>
    <x v="1"/>
    <x v="14"/>
    <s v="Aragón"/>
    <x v="0"/>
    <m/>
    <n v="349.95"/>
    <n v="0"/>
  </r>
  <r>
    <s v="ORD-102217"/>
    <x v="224"/>
    <x v="9"/>
    <x v="2"/>
    <n v="3"/>
    <n v="29.99"/>
    <x v="4"/>
    <n v="23.99"/>
    <n v="71.97"/>
    <x v="0"/>
    <x v="0"/>
    <x v="2"/>
    <x v="6"/>
    <s v="Comunitat Valenciana"/>
    <x v="0"/>
    <n v="5"/>
    <n v="89.97"/>
    <n v="18"/>
  </r>
  <r>
    <s v="ORD-102218"/>
    <x v="262"/>
    <x v="1"/>
    <x v="1"/>
    <n v="5"/>
    <n v="399.99"/>
    <x v="2"/>
    <n v="379.99"/>
    <n v="1899.95"/>
    <x v="0"/>
    <x v="2"/>
    <x v="0"/>
    <x v="7"/>
    <s v="Castilla y León"/>
    <x v="1"/>
    <n v="2"/>
    <n v="1999.95"/>
    <n v="100"/>
  </r>
  <r>
    <s v="ORD-102219"/>
    <x v="231"/>
    <x v="14"/>
    <x v="1"/>
    <n v="5"/>
    <n v="249.99"/>
    <x v="4"/>
    <n v="199.99"/>
    <n v="999.95"/>
    <x v="0"/>
    <x v="1"/>
    <x v="3"/>
    <x v="13"/>
    <s v="Andalucía"/>
    <x v="0"/>
    <n v="4"/>
    <n v="1249.95"/>
    <n v="250"/>
  </r>
  <r>
    <s v="ORD-102220"/>
    <x v="209"/>
    <x v="17"/>
    <x v="0"/>
    <n v="5"/>
    <n v="899.99"/>
    <x v="1"/>
    <n v="899.99"/>
    <n v="4499.95"/>
    <x v="0"/>
    <x v="2"/>
    <x v="3"/>
    <x v="5"/>
    <s v="País Vasco"/>
    <x v="0"/>
    <n v="3"/>
    <n v="4499.95"/>
    <n v="0"/>
  </r>
  <r>
    <s v="ORD-102221"/>
    <x v="661"/>
    <x v="15"/>
    <x v="3"/>
    <n v="5"/>
    <n v="69.989999999999995"/>
    <x v="1"/>
    <n v="69.989999999999995"/>
    <n v="349.95"/>
    <x v="0"/>
    <x v="0"/>
    <x v="0"/>
    <x v="13"/>
    <s v="Andalucía"/>
    <x v="0"/>
    <n v="4"/>
    <n v="349.95"/>
    <n v="0"/>
  </r>
  <r>
    <s v="ORD-102222"/>
    <x v="504"/>
    <x v="8"/>
    <x v="2"/>
    <n v="3"/>
    <n v="59.99"/>
    <x v="3"/>
    <n v="53.99"/>
    <n v="161.97"/>
    <x v="0"/>
    <x v="0"/>
    <x v="0"/>
    <x v="14"/>
    <s v="Aragón"/>
    <x v="0"/>
    <n v="3"/>
    <n v="179.97"/>
    <n v="18"/>
  </r>
  <r>
    <s v="ORD-102223"/>
    <x v="124"/>
    <x v="8"/>
    <x v="2"/>
    <n v="5"/>
    <n v="59.99"/>
    <x v="2"/>
    <n v="56.99"/>
    <n v="284.95"/>
    <x v="1"/>
    <x v="1"/>
    <x v="1"/>
    <x v="7"/>
    <s v="Castilla y León"/>
    <x v="1"/>
    <m/>
    <n v="299.95"/>
    <n v="15"/>
  </r>
  <r>
    <s v="ORD-102224"/>
    <x v="516"/>
    <x v="3"/>
    <x v="3"/>
    <n v="2"/>
    <n v="34.99"/>
    <x v="1"/>
    <n v="34.99"/>
    <n v="69.98"/>
    <x v="0"/>
    <x v="1"/>
    <x v="3"/>
    <x v="8"/>
    <s v="La Rioja"/>
    <x v="1"/>
    <n v="3"/>
    <n v="69.98"/>
    <n v="0"/>
  </r>
  <r>
    <s v="ORD-102225"/>
    <x v="667"/>
    <x v="18"/>
    <x v="2"/>
    <n v="5"/>
    <n v="99.99"/>
    <x v="4"/>
    <n v="79.989999999999995"/>
    <n v="399.95"/>
    <x v="1"/>
    <x v="2"/>
    <x v="0"/>
    <x v="8"/>
    <s v="La Rioja"/>
    <x v="1"/>
    <m/>
    <n v="499.95"/>
    <n v="100"/>
  </r>
  <r>
    <s v="ORD-102226"/>
    <x v="92"/>
    <x v="17"/>
    <x v="0"/>
    <n v="3"/>
    <n v="899.99"/>
    <x v="4"/>
    <n v="719.99"/>
    <n v="2159.9699999999998"/>
    <x v="0"/>
    <x v="2"/>
    <x v="0"/>
    <x v="11"/>
    <s v="Cataluña"/>
    <x v="2"/>
    <n v="5"/>
    <n v="2699.9700000000003"/>
    <n v="540.00000000000045"/>
  </r>
  <r>
    <s v="ORD-102227"/>
    <x v="100"/>
    <x v="23"/>
    <x v="4"/>
    <n v="5"/>
    <n v="24.99"/>
    <x v="3"/>
    <n v="22.49"/>
    <n v="112.45"/>
    <x v="1"/>
    <x v="1"/>
    <x v="0"/>
    <x v="5"/>
    <s v="País Vasco"/>
    <x v="0"/>
    <m/>
    <n v="124.94999999999999"/>
    <n v="12.499999999999986"/>
  </r>
  <r>
    <s v="ORD-102228"/>
    <x v="675"/>
    <x v="29"/>
    <x v="0"/>
    <n v="5"/>
    <n v="129.99"/>
    <x v="2"/>
    <n v="123.49"/>
    <n v="617.45000000000005"/>
    <x v="0"/>
    <x v="0"/>
    <x v="0"/>
    <x v="4"/>
    <s v="Castilla y León"/>
    <x v="1"/>
    <n v="2"/>
    <n v="649.95000000000005"/>
    <n v="32.5"/>
  </r>
  <r>
    <s v="ORD-102229"/>
    <x v="553"/>
    <x v="9"/>
    <x v="2"/>
    <n v="1"/>
    <n v="29.99"/>
    <x v="2"/>
    <n v="28.49"/>
    <n v="28.49"/>
    <x v="0"/>
    <x v="1"/>
    <x v="0"/>
    <x v="6"/>
    <s v="Comunitat Valenciana"/>
    <x v="0"/>
    <n v="4"/>
    <n v="29.99"/>
    <n v="1.5"/>
  </r>
  <r>
    <s v="ORD-102230"/>
    <x v="400"/>
    <x v="12"/>
    <x v="2"/>
    <n v="3"/>
    <n v="189.99"/>
    <x v="0"/>
    <n v="161.49"/>
    <n v="484.47"/>
    <x v="0"/>
    <x v="1"/>
    <x v="1"/>
    <x v="1"/>
    <s v="Comunitat Valenciana"/>
    <x v="1"/>
    <n v="3"/>
    <n v="569.97"/>
    <n v="85.5"/>
  </r>
  <r>
    <s v="ORD-102231"/>
    <x v="639"/>
    <x v="13"/>
    <x v="3"/>
    <n v="2"/>
    <n v="49.99"/>
    <x v="1"/>
    <n v="49.99"/>
    <n v="99.98"/>
    <x v="0"/>
    <x v="2"/>
    <x v="0"/>
    <x v="13"/>
    <s v="Andalucía"/>
    <x v="0"/>
    <n v="5"/>
    <n v="99.98"/>
    <n v="0"/>
  </r>
  <r>
    <s v="ORD-102232"/>
    <x v="585"/>
    <x v="21"/>
    <x v="0"/>
    <n v="1"/>
    <n v="799.99"/>
    <x v="1"/>
    <n v="799.99"/>
    <n v="799.99"/>
    <x v="4"/>
    <x v="0"/>
    <x v="2"/>
    <x v="5"/>
    <s v="País Vasco"/>
    <x v="0"/>
    <m/>
    <n v="799.99"/>
    <n v="0"/>
  </r>
  <r>
    <s v="ORD-102233"/>
    <x v="32"/>
    <x v="13"/>
    <x v="3"/>
    <n v="4"/>
    <n v="49.99"/>
    <x v="1"/>
    <n v="49.99"/>
    <n v="199.96"/>
    <x v="0"/>
    <x v="0"/>
    <x v="0"/>
    <x v="2"/>
    <s v="Navarra"/>
    <x v="1"/>
    <n v="1"/>
    <n v="199.96"/>
    <n v="0"/>
  </r>
  <r>
    <s v="ORD-102234"/>
    <x v="542"/>
    <x v="20"/>
    <x v="3"/>
    <n v="2"/>
    <n v="39.99"/>
    <x v="0"/>
    <n v="33.99"/>
    <n v="67.98"/>
    <x v="1"/>
    <x v="1"/>
    <x v="0"/>
    <x v="14"/>
    <s v="Aragón"/>
    <x v="0"/>
    <m/>
    <n v="79.98"/>
    <n v="12"/>
  </r>
  <r>
    <s v="ORD-102235"/>
    <x v="561"/>
    <x v="4"/>
    <x v="4"/>
    <n v="1"/>
    <n v="349.99"/>
    <x v="0"/>
    <n v="297.49"/>
    <n v="297.49"/>
    <x v="0"/>
    <x v="0"/>
    <x v="1"/>
    <x v="13"/>
    <s v="Andalucía"/>
    <x v="0"/>
    <n v="3"/>
    <n v="349.99"/>
    <n v="52.5"/>
  </r>
  <r>
    <s v="ORD-102236"/>
    <x v="566"/>
    <x v="1"/>
    <x v="1"/>
    <n v="5"/>
    <n v="399.99"/>
    <x v="3"/>
    <n v="359.99"/>
    <n v="1799.95"/>
    <x v="3"/>
    <x v="2"/>
    <x v="1"/>
    <x v="3"/>
    <s v="Comunidad de Madrid"/>
    <x v="2"/>
    <m/>
    <n v="1999.95"/>
    <n v="200"/>
  </r>
  <r>
    <s v="ORD-102237"/>
    <x v="690"/>
    <x v="28"/>
    <x v="0"/>
    <n v="5"/>
    <n v="499.99"/>
    <x v="0"/>
    <n v="424.99"/>
    <n v="2124.9499999999998"/>
    <x v="0"/>
    <x v="2"/>
    <x v="0"/>
    <x v="6"/>
    <s v="Comunitat Valenciana"/>
    <x v="0"/>
    <n v="2"/>
    <n v="2499.9499999999998"/>
    <n v="375"/>
  </r>
  <r>
    <s v="ORD-102238"/>
    <x v="57"/>
    <x v="27"/>
    <x v="1"/>
    <n v="1"/>
    <n v="49.99"/>
    <x v="0"/>
    <n v="42.49"/>
    <n v="42.49"/>
    <x v="1"/>
    <x v="0"/>
    <x v="1"/>
    <x v="3"/>
    <s v="Comunidad de Madrid"/>
    <x v="2"/>
    <m/>
    <n v="49.99"/>
    <n v="7.5"/>
  </r>
  <r>
    <s v="ORD-102239"/>
    <x v="691"/>
    <x v="28"/>
    <x v="0"/>
    <n v="2"/>
    <n v="499.99"/>
    <x v="1"/>
    <n v="499.99"/>
    <n v="999.98"/>
    <x v="0"/>
    <x v="2"/>
    <x v="0"/>
    <x v="2"/>
    <s v="Navarra"/>
    <x v="1"/>
    <n v="5"/>
    <n v="999.98"/>
    <n v="0"/>
  </r>
  <r>
    <s v="ORD-102240"/>
    <x v="496"/>
    <x v="1"/>
    <x v="1"/>
    <n v="3"/>
    <n v="399.99"/>
    <x v="0"/>
    <n v="339.99"/>
    <n v="1019.97"/>
    <x v="0"/>
    <x v="0"/>
    <x v="0"/>
    <x v="10"/>
    <s v="Cantabria"/>
    <x v="1"/>
    <n v="1"/>
    <n v="1199.97"/>
    <n v="180"/>
  </r>
  <r>
    <s v="ORD-102241"/>
    <x v="131"/>
    <x v="0"/>
    <x v="0"/>
    <n v="5"/>
    <n v="45.99"/>
    <x v="2"/>
    <n v="43.69"/>
    <n v="218.45"/>
    <x v="0"/>
    <x v="2"/>
    <x v="0"/>
    <x v="10"/>
    <s v="Cantabria"/>
    <x v="1"/>
    <n v="1"/>
    <n v="229.95000000000002"/>
    <n v="11.500000000000028"/>
  </r>
  <r>
    <s v="ORD-102242"/>
    <x v="22"/>
    <x v="21"/>
    <x v="0"/>
    <n v="2"/>
    <n v="799.99"/>
    <x v="3"/>
    <n v="719.99"/>
    <n v="1439.98"/>
    <x v="0"/>
    <x v="0"/>
    <x v="0"/>
    <x v="9"/>
    <s v="Asturias"/>
    <x v="1"/>
    <n v="4"/>
    <n v="1599.98"/>
    <n v="160"/>
  </r>
  <r>
    <s v="ORD-102243"/>
    <x v="675"/>
    <x v="24"/>
    <x v="3"/>
    <n v="2"/>
    <n v="89.99"/>
    <x v="1"/>
    <n v="89.99"/>
    <n v="179.98"/>
    <x v="2"/>
    <x v="0"/>
    <x v="0"/>
    <x v="8"/>
    <s v="La Rioja"/>
    <x v="1"/>
    <m/>
    <n v="179.98"/>
    <n v="0"/>
  </r>
  <r>
    <s v="ORD-102244"/>
    <x v="71"/>
    <x v="22"/>
    <x v="4"/>
    <n v="5"/>
    <n v="44.99"/>
    <x v="4"/>
    <n v="35.99"/>
    <n v="179.95"/>
    <x v="0"/>
    <x v="3"/>
    <x v="4"/>
    <x v="2"/>
    <s v="Navarra"/>
    <x v="1"/>
    <n v="1"/>
    <n v="224.95000000000002"/>
    <n v="45.000000000000028"/>
  </r>
  <r>
    <s v="ORD-102245"/>
    <x v="684"/>
    <x v="14"/>
    <x v="1"/>
    <n v="4"/>
    <n v="249.99"/>
    <x v="4"/>
    <n v="199.99"/>
    <n v="799.96"/>
    <x v="0"/>
    <x v="1"/>
    <x v="0"/>
    <x v="8"/>
    <s v="La Rioja"/>
    <x v="1"/>
    <n v="2"/>
    <n v="999.96"/>
    <n v="200"/>
  </r>
  <r>
    <s v="ORD-102246"/>
    <x v="678"/>
    <x v="25"/>
    <x v="4"/>
    <n v="1"/>
    <n v="34.99"/>
    <x v="4"/>
    <n v="27.99"/>
    <n v="27.99"/>
    <x v="0"/>
    <x v="0"/>
    <x v="3"/>
    <x v="11"/>
    <s v="Cataluña"/>
    <x v="2"/>
    <n v="5"/>
    <n v="34.99"/>
    <n v="7.0000000000000036"/>
  </r>
  <r>
    <s v="ORD-102247"/>
    <x v="178"/>
    <x v="25"/>
    <x v="4"/>
    <n v="5"/>
    <n v="34.99"/>
    <x v="3"/>
    <n v="31.49"/>
    <n v="157.44999999999999"/>
    <x v="3"/>
    <x v="1"/>
    <x v="0"/>
    <x v="0"/>
    <s v="Andalucía"/>
    <x v="0"/>
    <m/>
    <n v="174.95000000000002"/>
    <n v="17.500000000000028"/>
  </r>
  <r>
    <s v="ORD-102248"/>
    <x v="417"/>
    <x v="2"/>
    <x v="2"/>
    <n v="4"/>
    <n v="299.99"/>
    <x v="1"/>
    <n v="299.99"/>
    <n v="1199.96"/>
    <x v="1"/>
    <x v="3"/>
    <x v="0"/>
    <x v="8"/>
    <s v="La Rioja"/>
    <x v="1"/>
    <m/>
    <n v="1199.96"/>
    <n v="0"/>
  </r>
  <r>
    <s v="ORD-102249"/>
    <x v="601"/>
    <x v="22"/>
    <x v="4"/>
    <n v="1"/>
    <n v="44.99"/>
    <x v="3"/>
    <n v="40.49"/>
    <n v="40.49"/>
    <x v="1"/>
    <x v="0"/>
    <x v="1"/>
    <x v="13"/>
    <s v="Andalucía"/>
    <x v="0"/>
    <m/>
    <n v="44.99"/>
    <n v="4.5"/>
  </r>
  <r>
    <s v="ORD-102250"/>
    <x v="467"/>
    <x v="23"/>
    <x v="4"/>
    <n v="1"/>
    <n v="24.99"/>
    <x v="1"/>
    <n v="24.99"/>
    <n v="24.99"/>
    <x v="0"/>
    <x v="2"/>
    <x v="2"/>
    <x v="11"/>
    <s v="Cataluña"/>
    <x v="2"/>
    <n v="5"/>
    <n v="24.99"/>
    <n v="0"/>
  </r>
  <r>
    <s v="ORD-102251"/>
    <x v="439"/>
    <x v="0"/>
    <x v="0"/>
    <n v="5"/>
    <n v="45.99"/>
    <x v="1"/>
    <n v="45.99"/>
    <n v="229.95"/>
    <x v="0"/>
    <x v="1"/>
    <x v="0"/>
    <x v="13"/>
    <s v="Andalucía"/>
    <x v="0"/>
    <n v="1"/>
    <n v="229.95000000000002"/>
    <n v="0"/>
  </r>
  <r>
    <s v="ORD-102252"/>
    <x v="154"/>
    <x v="11"/>
    <x v="0"/>
    <n v="4"/>
    <n v="349.99"/>
    <x v="1"/>
    <n v="349.99"/>
    <n v="1399.96"/>
    <x v="0"/>
    <x v="0"/>
    <x v="0"/>
    <x v="10"/>
    <s v="Cantabria"/>
    <x v="1"/>
    <n v="5"/>
    <n v="1399.96"/>
    <n v="0"/>
  </r>
  <r>
    <s v="ORD-102253"/>
    <x v="222"/>
    <x v="11"/>
    <x v="0"/>
    <n v="1"/>
    <n v="349.99"/>
    <x v="1"/>
    <n v="349.99"/>
    <n v="349.99"/>
    <x v="0"/>
    <x v="0"/>
    <x v="0"/>
    <x v="14"/>
    <s v="Aragón"/>
    <x v="0"/>
    <n v="3"/>
    <n v="349.99"/>
    <n v="0"/>
  </r>
  <r>
    <s v="ORD-102254"/>
    <x v="682"/>
    <x v="2"/>
    <x v="2"/>
    <n v="3"/>
    <n v="299.99"/>
    <x v="1"/>
    <n v="299.99"/>
    <n v="899.97"/>
    <x v="0"/>
    <x v="2"/>
    <x v="0"/>
    <x v="13"/>
    <s v="Andalucía"/>
    <x v="0"/>
    <n v="3"/>
    <n v="899.97"/>
    <n v="0"/>
  </r>
  <r>
    <s v="ORD-102255"/>
    <x v="333"/>
    <x v="19"/>
    <x v="0"/>
    <n v="3"/>
    <n v="1199.99"/>
    <x v="1"/>
    <n v="1199.99"/>
    <n v="3599.97"/>
    <x v="0"/>
    <x v="0"/>
    <x v="4"/>
    <x v="13"/>
    <s v="Andalucía"/>
    <x v="0"/>
    <n v="1"/>
    <n v="3599.9700000000003"/>
    <n v="0"/>
  </r>
  <r>
    <s v="ORD-102256"/>
    <x v="225"/>
    <x v="2"/>
    <x v="2"/>
    <n v="1"/>
    <n v="299.99"/>
    <x v="1"/>
    <n v="299.99"/>
    <n v="299.99"/>
    <x v="1"/>
    <x v="2"/>
    <x v="0"/>
    <x v="13"/>
    <s v="Andalucía"/>
    <x v="0"/>
    <m/>
    <n v="299.99"/>
    <n v="0"/>
  </r>
  <r>
    <s v="ORD-102257"/>
    <x v="164"/>
    <x v="21"/>
    <x v="0"/>
    <n v="1"/>
    <n v="799.99"/>
    <x v="3"/>
    <n v="719.99"/>
    <n v="719.99"/>
    <x v="2"/>
    <x v="0"/>
    <x v="2"/>
    <x v="14"/>
    <s v="Aragón"/>
    <x v="0"/>
    <m/>
    <n v="799.99"/>
    <n v="80"/>
  </r>
  <r>
    <s v="ORD-102258"/>
    <x v="661"/>
    <x v="25"/>
    <x v="4"/>
    <n v="1"/>
    <n v="34.99"/>
    <x v="2"/>
    <n v="33.24"/>
    <n v="33.24"/>
    <x v="0"/>
    <x v="0"/>
    <x v="4"/>
    <x v="12"/>
    <s v="Región de Murcia"/>
    <x v="1"/>
    <n v="2"/>
    <n v="34.99"/>
    <n v="1.75"/>
  </r>
  <r>
    <s v="ORD-102259"/>
    <x v="315"/>
    <x v="29"/>
    <x v="0"/>
    <n v="2"/>
    <n v="129.99"/>
    <x v="1"/>
    <n v="129.99"/>
    <n v="259.98"/>
    <x v="2"/>
    <x v="0"/>
    <x v="3"/>
    <x v="14"/>
    <s v="Aragón"/>
    <x v="0"/>
    <m/>
    <n v="259.98"/>
    <n v="0"/>
  </r>
  <r>
    <s v="ORD-102260"/>
    <x v="237"/>
    <x v="29"/>
    <x v="0"/>
    <n v="4"/>
    <n v="129.99"/>
    <x v="3"/>
    <n v="116.99"/>
    <n v="467.96"/>
    <x v="0"/>
    <x v="2"/>
    <x v="3"/>
    <x v="9"/>
    <s v="Asturias"/>
    <x v="1"/>
    <n v="5"/>
    <n v="519.96"/>
    <n v="52.000000000000057"/>
  </r>
  <r>
    <s v="ORD-102261"/>
    <x v="675"/>
    <x v="23"/>
    <x v="4"/>
    <n v="2"/>
    <n v="24.99"/>
    <x v="3"/>
    <n v="22.49"/>
    <n v="44.98"/>
    <x v="0"/>
    <x v="2"/>
    <x v="0"/>
    <x v="7"/>
    <s v="Castilla y León"/>
    <x v="1"/>
    <n v="1"/>
    <n v="49.98"/>
    <n v="5"/>
  </r>
  <r>
    <s v="ORD-102262"/>
    <x v="40"/>
    <x v="28"/>
    <x v="0"/>
    <n v="3"/>
    <n v="499.99"/>
    <x v="3"/>
    <n v="449.99"/>
    <n v="1349.97"/>
    <x v="0"/>
    <x v="3"/>
    <x v="1"/>
    <x v="7"/>
    <s v="Castilla y León"/>
    <x v="1"/>
    <n v="3"/>
    <n v="1499.97"/>
    <n v="150"/>
  </r>
  <r>
    <s v="ORD-102263"/>
    <x v="113"/>
    <x v="28"/>
    <x v="0"/>
    <n v="4"/>
    <n v="499.99"/>
    <x v="4"/>
    <n v="399.99"/>
    <n v="1599.96"/>
    <x v="1"/>
    <x v="1"/>
    <x v="3"/>
    <x v="7"/>
    <s v="Castilla y León"/>
    <x v="1"/>
    <m/>
    <n v="1999.96"/>
    <n v="400"/>
  </r>
  <r>
    <s v="ORD-102264"/>
    <x v="639"/>
    <x v="17"/>
    <x v="0"/>
    <n v="2"/>
    <n v="899.99"/>
    <x v="1"/>
    <n v="899.99"/>
    <n v="1799.98"/>
    <x v="1"/>
    <x v="1"/>
    <x v="0"/>
    <x v="1"/>
    <s v="Comunitat Valenciana"/>
    <x v="1"/>
    <m/>
    <n v="1799.98"/>
    <n v="0"/>
  </r>
  <r>
    <s v="ORD-102265"/>
    <x v="208"/>
    <x v="15"/>
    <x v="3"/>
    <n v="4"/>
    <n v="69.989999999999995"/>
    <x v="0"/>
    <n v="59.49"/>
    <n v="237.96"/>
    <x v="1"/>
    <x v="2"/>
    <x v="3"/>
    <x v="1"/>
    <s v="Comunitat Valenciana"/>
    <x v="1"/>
    <m/>
    <n v="279.95999999999998"/>
    <n v="41.999999999999972"/>
  </r>
  <r>
    <s v="ORD-102266"/>
    <x v="170"/>
    <x v="1"/>
    <x v="1"/>
    <n v="1"/>
    <n v="399.99"/>
    <x v="4"/>
    <n v="319.99"/>
    <n v="319.99"/>
    <x v="0"/>
    <x v="0"/>
    <x v="0"/>
    <x v="1"/>
    <s v="Comunitat Valenciana"/>
    <x v="1"/>
    <n v="4"/>
    <n v="399.99"/>
    <n v="80"/>
  </r>
  <r>
    <s v="ORD-102267"/>
    <x v="592"/>
    <x v="1"/>
    <x v="1"/>
    <n v="2"/>
    <n v="399.99"/>
    <x v="2"/>
    <n v="379.99"/>
    <n v="759.98"/>
    <x v="1"/>
    <x v="1"/>
    <x v="4"/>
    <x v="10"/>
    <s v="Cantabria"/>
    <x v="1"/>
    <m/>
    <n v="799.98"/>
    <n v="40"/>
  </r>
  <r>
    <s v="ORD-102268"/>
    <x v="55"/>
    <x v="18"/>
    <x v="2"/>
    <n v="5"/>
    <n v="99.99"/>
    <x v="3"/>
    <n v="89.99"/>
    <n v="449.95"/>
    <x v="2"/>
    <x v="2"/>
    <x v="0"/>
    <x v="8"/>
    <s v="La Rioja"/>
    <x v="1"/>
    <m/>
    <n v="499.95"/>
    <n v="50"/>
  </r>
  <r>
    <s v="ORD-102269"/>
    <x v="572"/>
    <x v="9"/>
    <x v="2"/>
    <n v="5"/>
    <n v="29.99"/>
    <x v="4"/>
    <n v="23.99"/>
    <n v="119.95"/>
    <x v="1"/>
    <x v="1"/>
    <x v="1"/>
    <x v="10"/>
    <s v="Cantabria"/>
    <x v="1"/>
    <m/>
    <n v="149.94999999999999"/>
    <n v="29.999999999999986"/>
  </r>
  <r>
    <s v="ORD-102270"/>
    <x v="384"/>
    <x v="6"/>
    <x v="0"/>
    <n v="5"/>
    <n v="89.99"/>
    <x v="1"/>
    <n v="89.99"/>
    <n v="449.95"/>
    <x v="0"/>
    <x v="0"/>
    <x v="3"/>
    <x v="2"/>
    <s v="Navarra"/>
    <x v="1"/>
    <n v="5"/>
    <n v="449.95"/>
    <n v="0"/>
  </r>
  <r>
    <s v="ORD-102271"/>
    <x v="47"/>
    <x v="11"/>
    <x v="0"/>
    <n v="3"/>
    <n v="349.99"/>
    <x v="3"/>
    <n v="314.99"/>
    <n v="944.97"/>
    <x v="0"/>
    <x v="2"/>
    <x v="2"/>
    <x v="3"/>
    <s v="Comunidad de Madrid"/>
    <x v="2"/>
    <n v="5"/>
    <n v="1049.97"/>
    <n v="105"/>
  </r>
  <r>
    <s v="ORD-102272"/>
    <x v="400"/>
    <x v="8"/>
    <x v="2"/>
    <n v="2"/>
    <n v="59.99"/>
    <x v="1"/>
    <n v="59.99"/>
    <n v="119.98"/>
    <x v="2"/>
    <x v="0"/>
    <x v="1"/>
    <x v="11"/>
    <s v="Cataluña"/>
    <x v="2"/>
    <m/>
    <n v="119.98"/>
    <n v="0"/>
  </r>
  <r>
    <s v="ORD-102273"/>
    <x v="415"/>
    <x v="13"/>
    <x v="3"/>
    <n v="2"/>
    <n v="49.99"/>
    <x v="4"/>
    <n v="39.99"/>
    <n v="79.98"/>
    <x v="4"/>
    <x v="1"/>
    <x v="4"/>
    <x v="13"/>
    <s v="Andalucía"/>
    <x v="0"/>
    <m/>
    <n v="99.98"/>
    <n v="20"/>
  </r>
  <r>
    <s v="ORD-102274"/>
    <x v="161"/>
    <x v="3"/>
    <x v="3"/>
    <n v="5"/>
    <n v="34.99"/>
    <x v="0"/>
    <n v="29.74"/>
    <n v="148.69999999999999"/>
    <x v="0"/>
    <x v="1"/>
    <x v="3"/>
    <x v="7"/>
    <s v="Castilla y León"/>
    <x v="1"/>
    <n v="1"/>
    <n v="174.95000000000002"/>
    <n v="26.250000000000028"/>
  </r>
  <r>
    <s v="ORD-102275"/>
    <x v="463"/>
    <x v="18"/>
    <x v="2"/>
    <n v="4"/>
    <n v="99.99"/>
    <x v="1"/>
    <n v="99.99"/>
    <n v="399.96"/>
    <x v="1"/>
    <x v="1"/>
    <x v="0"/>
    <x v="6"/>
    <s v="Comunitat Valenciana"/>
    <x v="0"/>
    <m/>
    <n v="399.96"/>
    <n v="0"/>
  </r>
  <r>
    <s v="ORD-102276"/>
    <x v="227"/>
    <x v="14"/>
    <x v="1"/>
    <n v="5"/>
    <n v="249.99"/>
    <x v="1"/>
    <n v="249.99"/>
    <n v="1249.95"/>
    <x v="0"/>
    <x v="1"/>
    <x v="3"/>
    <x v="9"/>
    <s v="Asturias"/>
    <x v="1"/>
    <n v="2"/>
    <n v="1249.95"/>
    <n v="0"/>
  </r>
  <r>
    <s v="ORD-102277"/>
    <x v="422"/>
    <x v="11"/>
    <x v="0"/>
    <n v="5"/>
    <n v="349.99"/>
    <x v="4"/>
    <n v="279.99"/>
    <n v="1399.95"/>
    <x v="0"/>
    <x v="3"/>
    <x v="2"/>
    <x v="8"/>
    <s v="La Rioja"/>
    <x v="1"/>
    <n v="3"/>
    <n v="1749.95"/>
    <n v="350"/>
  </r>
  <r>
    <s v="ORD-102278"/>
    <x v="639"/>
    <x v="23"/>
    <x v="4"/>
    <n v="1"/>
    <n v="24.99"/>
    <x v="1"/>
    <n v="24.99"/>
    <n v="24.99"/>
    <x v="3"/>
    <x v="1"/>
    <x v="0"/>
    <x v="1"/>
    <s v="Comunitat Valenciana"/>
    <x v="1"/>
    <m/>
    <n v="24.99"/>
    <n v="0"/>
  </r>
  <r>
    <s v="ORD-102279"/>
    <x v="300"/>
    <x v="8"/>
    <x v="2"/>
    <n v="2"/>
    <n v="59.99"/>
    <x v="2"/>
    <n v="56.99"/>
    <n v="113.98"/>
    <x v="0"/>
    <x v="1"/>
    <x v="0"/>
    <x v="14"/>
    <s v="Aragón"/>
    <x v="0"/>
    <n v="3"/>
    <n v="119.98"/>
    <n v="6"/>
  </r>
  <r>
    <s v="ORD-102280"/>
    <x v="350"/>
    <x v="8"/>
    <x v="2"/>
    <n v="5"/>
    <n v="59.99"/>
    <x v="2"/>
    <n v="56.99"/>
    <n v="284.95"/>
    <x v="0"/>
    <x v="0"/>
    <x v="0"/>
    <x v="14"/>
    <s v="Aragón"/>
    <x v="0"/>
    <n v="2"/>
    <n v="299.95"/>
    <n v="15"/>
  </r>
  <r>
    <s v="ORD-102281"/>
    <x v="692"/>
    <x v="5"/>
    <x v="1"/>
    <n v="4"/>
    <n v="149.99"/>
    <x v="4"/>
    <n v="119.99"/>
    <n v="479.96"/>
    <x v="0"/>
    <x v="2"/>
    <x v="2"/>
    <x v="9"/>
    <s v="Asturias"/>
    <x v="1"/>
    <n v="2"/>
    <n v="599.96"/>
    <n v="120.00000000000006"/>
  </r>
  <r>
    <s v="ORD-102282"/>
    <x v="553"/>
    <x v="24"/>
    <x v="3"/>
    <n v="5"/>
    <n v="89.99"/>
    <x v="1"/>
    <n v="89.99"/>
    <n v="449.95"/>
    <x v="4"/>
    <x v="0"/>
    <x v="2"/>
    <x v="2"/>
    <s v="Navarra"/>
    <x v="1"/>
    <m/>
    <n v="449.95"/>
    <n v="0"/>
  </r>
  <r>
    <s v="ORD-102283"/>
    <x v="8"/>
    <x v="20"/>
    <x v="3"/>
    <n v="5"/>
    <n v="39.99"/>
    <x v="1"/>
    <n v="39.99"/>
    <n v="199.95"/>
    <x v="0"/>
    <x v="2"/>
    <x v="2"/>
    <x v="2"/>
    <s v="Navarra"/>
    <x v="1"/>
    <n v="3"/>
    <n v="199.95000000000002"/>
    <n v="0"/>
  </r>
  <r>
    <s v="ORD-102284"/>
    <x v="65"/>
    <x v="23"/>
    <x v="4"/>
    <n v="1"/>
    <n v="24.99"/>
    <x v="4"/>
    <n v="19.989999999999998"/>
    <n v="19.989999999999998"/>
    <x v="0"/>
    <x v="1"/>
    <x v="0"/>
    <x v="6"/>
    <s v="Comunitat Valenciana"/>
    <x v="0"/>
    <n v="1"/>
    <n v="24.99"/>
    <n v="5"/>
  </r>
  <r>
    <s v="ORD-102285"/>
    <x v="208"/>
    <x v="4"/>
    <x v="4"/>
    <n v="5"/>
    <n v="349.99"/>
    <x v="2"/>
    <n v="332.49"/>
    <n v="1662.45"/>
    <x v="1"/>
    <x v="2"/>
    <x v="0"/>
    <x v="4"/>
    <s v="Castilla y León"/>
    <x v="1"/>
    <m/>
    <n v="1749.95"/>
    <n v="87.5"/>
  </r>
  <r>
    <s v="ORD-102286"/>
    <x v="161"/>
    <x v="0"/>
    <x v="0"/>
    <n v="4"/>
    <n v="45.99"/>
    <x v="3"/>
    <n v="41.39"/>
    <n v="165.56"/>
    <x v="0"/>
    <x v="1"/>
    <x v="2"/>
    <x v="11"/>
    <s v="Cataluña"/>
    <x v="2"/>
    <n v="3"/>
    <n v="183.96"/>
    <n v="18.400000000000006"/>
  </r>
  <r>
    <s v="ORD-102287"/>
    <x v="209"/>
    <x v="17"/>
    <x v="0"/>
    <n v="1"/>
    <n v="899.99"/>
    <x v="2"/>
    <n v="854.99"/>
    <n v="854.99"/>
    <x v="0"/>
    <x v="1"/>
    <x v="0"/>
    <x v="1"/>
    <s v="Comunitat Valenciana"/>
    <x v="1"/>
    <n v="5"/>
    <n v="899.99"/>
    <n v="45"/>
  </r>
  <r>
    <s v="ORD-102288"/>
    <x v="534"/>
    <x v="4"/>
    <x v="4"/>
    <n v="3"/>
    <n v="349.99"/>
    <x v="1"/>
    <n v="349.99"/>
    <n v="1049.97"/>
    <x v="0"/>
    <x v="0"/>
    <x v="1"/>
    <x v="2"/>
    <s v="Navarra"/>
    <x v="1"/>
    <n v="2"/>
    <n v="1049.97"/>
    <n v="0"/>
  </r>
  <r>
    <s v="ORD-102289"/>
    <x v="693"/>
    <x v="26"/>
    <x v="1"/>
    <n v="4"/>
    <n v="599.99"/>
    <x v="0"/>
    <n v="509.99"/>
    <n v="2039.96"/>
    <x v="0"/>
    <x v="0"/>
    <x v="1"/>
    <x v="10"/>
    <s v="Cantabria"/>
    <x v="1"/>
    <n v="3"/>
    <n v="2399.96"/>
    <n v="360"/>
  </r>
  <r>
    <s v="ORD-102290"/>
    <x v="667"/>
    <x v="23"/>
    <x v="4"/>
    <n v="4"/>
    <n v="24.99"/>
    <x v="2"/>
    <n v="23.74"/>
    <n v="94.96"/>
    <x v="0"/>
    <x v="0"/>
    <x v="0"/>
    <x v="5"/>
    <s v="País Vasco"/>
    <x v="0"/>
    <n v="4"/>
    <n v="99.96"/>
    <n v="5"/>
  </r>
  <r>
    <s v="ORD-102291"/>
    <x v="29"/>
    <x v="10"/>
    <x v="2"/>
    <n v="4"/>
    <n v="69.989999999999995"/>
    <x v="4"/>
    <n v="55.99"/>
    <n v="223.96"/>
    <x v="2"/>
    <x v="0"/>
    <x v="0"/>
    <x v="9"/>
    <s v="Asturias"/>
    <x v="1"/>
    <m/>
    <n v="279.95999999999998"/>
    <n v="55.999999999999972"/>
  </r>
  <r>
    <s v="ORD-102292"/>
    <x v="377"/>
    <x v="5"/>
    <x v="1"/>
    <n v="1"/>
    <n v="149.99"/>
    <x v="0"/>
    <n v="127.49"/>
    <n v="127.49"/>
    <x v="2"/>
    <x v="1"/>
    <x v="3"/>
    <x v="10"/>
    <s v="Cantabria"/>
    <x v="1"/>
    <m/>
    <n v="149.99"/>
    <n v="22.500000000000014"/>
  </r>
  <r>
    <s v="ORD-102293"/>
    <x v="424"/>
    <x v="22"/>
    <x v="4"/>
    <n v="1"/>
    <n v="44.99"/>
    <x v="1"/>
    <n v="44.99"/>
    <n v="44.99"/>
    <x v="0"/>
    <x v="1"/>
    <x v="1"/>
    <x v="4"/>
    <s v="Castilla y León"/>
    <x v="1"/>
    <n v="3"/>
    <n v="44.99"/>
    <n v="0"/>
  </r>
  <r>
    <s v="ORD-102294"/>
    <x v="550"/>
    <x v="20"/>
    <x v="3"/>
    <n v="5"/>
    <n v="39.99"/>
    <x v="0"/>
    <n v="33.99"/>
    <n v="169.95"/>
    <x v="0"/>
    <x v="3"/>
    <x v="0"/>
    <x v="11"/>
    <s v="Cataluña"/>
    <x v="2"/>
    <n v="4"/>
    <n v="199.95000000000002"/>
    <n v="30.000000000000028"/>
  </r>
  <r>
    <s v="ORD-102295"/>
    <x v="97"/>
    <x v="6"/>
    <x v="0"/>
    <n v="2"/>
    <n v="89.99"/>
    <x v="1"/>
    <n v="89.99"/>
    <n v="179.98"/>
    <x v="0"/>
    <x v="0"/>
    <x v="0"/>
    <x v="4"/>
    <s v="Castilla y León"/>
    <x v="1"/>
    <n v="4"/>
    <n v="179.98"/>
    <n v="0"/>
  </r>
  <r>
    <s v="ORD-102296"/>
    <x v="286"/>
    <x v="26"/>
    <x v="1"/>
    <n v="5"/>
    <n v="599.99"/>
    <x v="1"/>
    <n v="599.99"/>
    <n v="2999.95"/>
    <x v="0"/>
    <x v="2"/>
    <x v="2"/>
    <x v="0"/>
    <s v="Andalucía"/>
    <x v="0"/>
    <n v="2"/>
    <n v="2999.95"/>
    <n v="0"/>
  </r>
  <r>
    <s v="ORD-102297"/>
    <x v="160"/>
    <x v="0"/>
    <x v="0"/>
    <n v="1"/>
    <n v="45.99"/>
    <x v="3"/>
    <n v="41.39"/>
    <n v="41.39"/>
    <x v="0"/>
    <x v="0"/>
    <x v="1"/>
    <x v="13"/>
    <s v="Andalucía"/>
    <x v="0"/>
    <n v="2"/>
    <n v="45.99"/>
    <n v="4.6000000000000014"/>
  </r>
  <r>
    <s v="ORD-102298"/>
    <x v="566"/>
    <x v="12"/>
    <x v="2"/>
    <n v="3"/>
    <n v="189.99"/>
    <x v="1"/>
    <n v="189.99"/>
    <n v="569.97"/>
    <x v="0"/>
    <x v="1"/>
    <x v="0"/>
    <x v="7"/>
    <s v="Castilla y León"/>
    <x v="1"/>
    <n v="1"/>
    <n v="569.97"/>
    <n v="0"/>
  </r>
  <r>
    <s v="ORD-102299"/>
    <x v="129"/>
    <x v="21"/>
    <x v="0"/>
    <n v="4"/>
    <n v="799.99"/>
    <x v="1"/>
    <n v="799.99"/>
    <n v="3199.96"/>
    <x v="2"/>
    <x v="0"/>
    <x v="0"/>
    <x v="7"/>
    <s v="Castilla y León"/>
    <x v="1"/>
    <m/>
    <n v="3199.96"/>
    <n v="0"/>
  </r>
  <r>
    <s v="ORD-102300"/>
    <x v="472"/>
    <x v="10"/>
    <x v="2"/>
    <n v="2"/>
    <n v="69.989999999999995"/>
    <x v="4"/>
    <n v="55.99"/>
    <n v="111.98"/>
    <x v="0"/>
    <x v="0"/>
    <x v="3"/>
    <x v="3"/>
    <s v="Comunidad de Madrid"/>
    <x v="2"/>
    <n v="5"/>
    <n v="139.97999999999999"/>
    <n v="27.999999999999986"/>
  </r>
  <r>
    <s v="ORD-102301"/>
    <x v="147"/>
    <x v="25"/>
    <x v="4"/>
    <n v="1"/>
    <n v="34.99"/>
    <x v="2"/>
    <n v="33.24"/>
    <n v="33.24"/>
    <x v="0"/>
    <x v="0"/>
    <x v="0"/>
    <x v="3"/>
    <s v="Comunidad de Madrid"/>
    <x v="2"/>
    <n v="3"/>
    <n v="34.99"/>
    <n v="1.75"/>
  </r>
  <r>
    <s v="ORD-102302"/>
    <x v="480"/>
    <x v="20"/>
    <x v="3"/>
    <n v="4"/>
    <n v="39.99"/>
    <x v="3"/>
    <n v="35.99"/>
    <n v="143.96"/>
    <x v="0"/>
    <x v="2"/>
    <x v="1"/>
    <x v="6"/>
    <s v="Comunitat Valenciana"/>
    <x v="0"/>
    <n v="4"/>
    <n v="159.96"/>
    <n v="16"/>
  </r>
  <r>
    <s v="ORD-102303"/>
    <x v="208"/>
    <x v="14"/>
    <x v="1"/>
    <n v="2"/>
    <n v="249.99"/>
    <x v="1"/>
    <n v="249.99"/>
    <n v="499.98"/>
    <x v="0"/>
    <x v="0"/>
    <x v="0"/>
    <x v="8"/>
    <s v="La Rioja"/>
    <x v="1"/>
    <n v="4"/>
    <n v="499.98"/>
    <n v="0"/>
  </r>
  <r>
    <s v="ORD-102304"/>
    <x v="344"/>
    <x v="5"/>
    <x v="1"/>
    <n v="2"/>
    <n v="149.99"/>
    <x v="1"/>
    <n v="149.99"/>
    <n v="299.98"/>
    <x v="1"/>
    <x v="1"/>
    <x v="4"/>
    <x v="5"/>
    <s v="País Vasco"/>
    <x v="0"/>
    <m/>
    <n v="299.98"/>
    <n v="0"/>
  </r>
  <r>
    <s v="ORD-102305"/>
    <x v="694"/>
    <x v="1"/>
    <x v="1"/>
    <n v="5"/>
    <n v="399.99"/>
    <x v="1"/>
    <n v="399.99"/>
    <n v="1999.95"/>
    <x v="1"/>
    <x v="2"/>
    <x v="1"/>
    <x v="12"/>
    <s v="Región de Murcia"/>
    <x v="1"/>
    <m/>
    <n v="1999.95"/>
    <n v="0"/>
  </r>
  <r>
    <s v="ORD-102306"/>
    <x v="108"/>
    <x v="28"/>
    <x v="0"/>
    <n v="4"/>
    <n v="499.99"/>
    <x v="4"/>
    <n v="399.99"/>
    <n v="1599.96"/>
    <x v="2"/>
    <x v="2"/>
    <x v="0"/>
    <x v="8"/>
    <s v="La Rioja"/>
    <x v="1"/>
    <m/>
    <n v="1999.96"/>
    <n v="400"/>
  </r>
  <r>
    <s v="ORD-102307"/>
    <x v="554"/>
    <x v="4"/>
    <x v="4"/>
    <n v="5"/>
    <n v="349.99"/>
    <x v="1"/>
    <n v="349.99"/>
    <n v="1749.95"/>
    <x v="0"/>
    <x v="0"/>
    <x v="0"/>
    <x v="14"/>
    <s v="Aragón"/>
    <x v="0"/>
    <n v="5"/>
    <n v="1749.95"/>
    <n v="0"/>
  </r>
  <r>
    <s v="ORD-102308"/>
    <x v="173"/>
    <x v="10"/>
    <x v="2"/>
    <n v="1"/>
    <n v="69.989999999999995"/>
    <x v="2"/>
    <n v="66.489999999999995"/>
    <n v="66.489999999999995"/>
    <x v="1"/>
    <x v="1"/>
    <x v="1"/>
    <x v="1"/>
    <s v="Comunitat Valenciana"/>
    <x v="1"/>
    <m/>
    <n v="69.989999999999995"/>
    <n v="3.5"/>
  </r>
  <r>
    <s v="ORD-102309"/>
    <x v="307"/>
    <x v="12"/>
    <x v="2"/>
    <n v="1"/>
    <n v="189.99"/>
    <x v="2"/>
    <n v="180.49"/>
    <n v="180.49"/>
    <x v="0"/>
    <x v="0"/>
    <x v="4"/>
    <x v="3"/>
    <s v="Comunidad de Madrid"/>
    <x v="2"/>
    <n v="2"/>
    <n v="189.99"/>
    <n v="9.5"/>
  </r>
  <r>
    <s v="ORD-102310"/>
    <x v="165"/>
    <x v="14"/>
    <x v="1"/>
    <n v="2"/>
    <n v="249.99"/>
    <x v="4"/>
    <n v="199.99"/>
    <n v="399.98"/>
    <x v="1"/>
    <x v="2"/>
    <x v="3"/>
    <x v="14"/>
    <s v="Aragón"/>
    <x v="0"/>
    <m/>
    <n v="499.98"/>
    <n v="100"/>
  </r>
  <r>
    <s v="ORD-102311"/>
    <x v="267"/>
    <x v="6"/>
    <x v="0"/>
    <n v="2"/>
    <n v="89.99"/>
    <x v="1"/>
    <n v="89.99"/>
    <n v="179.98"/>
    <x v="0"/>
    <x v="0"/>
    <x v="0"/>
    <x v="14"/>
    <s v="Aragón"/>
    <x v="0"/>
    <n v="4"/>
    <n v="179.98"/>
    <n v="0"/>
  </r>
  <r>
    <s v="ORD-102312"/>
    <x v="50"/>
    <x v="4"/>
    <x v="4"/>
    <n v="3"/>
    <n v="349.99"/>
    <x v="1"/>
    <n v="349.99"/>
    <n v="1049.97"/>
    <x v="1"/>
    <x v="3"/>
    <x v="4"/>
    <x v="7"/>
    <s v="Castilla y León"/>
    <x v="1"/>
    <m/>
    <n v="1049.97"/>
    <n v="0"/>
  </r>
  <r>
    <s v="ORD-102313"/>
    <x v="53"/>
    <x v="7"/>
    <x v="3"/>
    <n v="4"/>
    <n v="19.989999999999998"/>
    <x v="3"/>
    <n v="17.989999999999998"/>
    <n v="71.959999999999994"/>
    <x v="0"/>
    <x v="1"/>
    <x v="1"/>
    <x v="11"/>
    <s v="Cataluña"/>
    <x v="2"/>
    <n v="2"/>
    <n v="79.959999999999994"/>
    <n v="8"/>
  </r>
  <r>
    <s v="ORD-102314"/>
    <x v="534"/>
    <x v="1"/>
    <x v="1"/>
    <n v="2"/>
    <n v="399.99"/>
    <x v="1"/>
    <n v="399.99"/>
    <n v="799.98"/>
    <x v="0"/>
    <x v="2"/>
    <x v="4"/>
    <x v="12"/>
    <s v="Región de Murcia"/>
    <x v="1"/>
    <n v="5"/>
    <n v="799.98"/>
    <n v="0"/>
  </r>
  <r>
    <s v="ORD-102315"/>
    <x v="387"/>
    <x v="5"/>
    <x v="1"/>
    <n v="3"/>
    <n v="149.99"/>
    <x v="1"/>
    <n v="149.99"/>
    <n v="449.97"/>
    <x v="0"/>
    <x v="1"/>
    <x v="1"/>
    <x v="1"/>
    <s v="Comunitat Valenciana"/>
    <x v="1"/>
    <n v="1"/>
    <n v="449.97"/>
    <n v="0"/>
  </r>
  <r>
    <s v="ORD-102316"/>
    <x v="616"/>
    <x v="11"/>
    <x v="0"/>
    <n v="1"/>
    <n v="349.99"/>
    <x v="4"/>
    <n v="279.99"/>
    <n v="279.99"/>
    <x v="0"/>
    <x v="3"/>
    <x v="1"/>
    <x v="3"/>
    <s v="Comunidad de Madrid"/>
    <x v="2"/>
    <n v="2"/>
    <n v="349.99"/>
    <n v="70"/>
  </r>
  <r>
    <s v="ORD-102317"/>
    <x v="105"/>
    <x v="25"/>
    <x v="4"/>
    <n v="5"/>
    <n v="34.99"/>
    <x v="2"/>
    <n v="33.24"/>
    <n v="166.2"/>
    <x v="4"/>
    <x v="1"/>
    <x v="0"/>
    <x v="1"/>
    <s v="Comunitat Valenciana"/>
    <x v="1"/>
    <m/>
    <n v="174.95000000000002"/>
    <n v="8.7500000000000284"/>
  </r>
  <r>
    <s v="ORD-102318"/>
    <x v="691"/>
    <x v="9"/>
    <x v="2"/>
    <n v="2"/>
    <n v="29.99"/>
    <x v="1"/>
    <n v="29.99"/>
    <n v="59.98"/>
    <x v="2"/>
    <x v="2"/>
    <x v="1"/>
    <x v="14"/>
    <s v="Aragón"/>
    <x v="0"/>
    <m/>
    <n v="59.98"/>
    <n v="0"/>
  </r>
  <r>
    <s v="ORD-102319"/>
    <x v="90"/>
    <x v="9"/>
    <x v="2"/>
    <n v="1"/>
    <n v="29.99"/>
    <x v="0"/>
    <n v="25.49"/>
    <n v="25.49"/>
    <x v="0"/>
    <x v="1"/>
    <x v="3"/>
    <x v="14"/>
    <s v="Aragón"/>
    <x v="0"/>
    <n v="4"/>
    <n v="29.99"/>
    <n v="4.5"/>
  </r>
  <r>
    <s v="ORD-102320"/>
    <x v="635"/>
    <x v="2"/>
    <x v="2"/>
    <n v="4"/>
    <n v="299.99"/>
    <x v="1"/>
    <n v="299.99"/>
    <n v="1199.96"/>
    <x v="0"/>
    <x v="0"/>
    <x v="3"/>
    <x v="6"/>
    <s v="Comunitat Valenciana"/>
    <x v="0"/>
    <n v="4"/>
    <n v="1199.96"/>
    <n v="0"/>
  </r>
  <r>
    <s v="ORD-102321"/>
    <x v="32"/>
    <x v="16"/>
    <x v="1"/>
    <n v="2"/>
    <n v="79.989999999999995"/>
    <x v="3"/>
    <n v="71.989999999999995"/>
    <n v="143.97999999999999"/>
    <x v="1"/>
    <x v="0"/>
    <x v="4"/>
    <x v="9"/>
    <s v="Asturias"/>
    <x v="1"/>
    <m/>
    <n v="159.97999999999999"/>
    <n v="16"/>
  </r>
  <r>
    <s v="ORD-102322"/>
    <x v="172"/>
    <x v="7"/>
    <x v="3"/>
    <n v="4"/>
    <n v="19.989999999999998"/>
    <x v="4"/>
    <n v="15.99"/>
    <n v="63.96"/>
    <x v="0"/>
    <x v="0"/>
    <x v="1"/>
    <x v="1"/>
    <s v="Comunitat Valenciana"/>
    <x v="1"/>
    <n v="4"/>
    <n v="79.959999999999994"/>
    <n v="15.999999999999993"/>
  </r>
  <r>
    <s v="ORD-102323"/>
    <x v="61"/>
    <x v="27"/>
    <x v="1"/>
    <n v="5"/>
    <n v="49.99"/>
    <x v="2"/>
    <n v="47.49"/>
    <n v="237.45"/>
    <x v="0"/>
    <x v="2"/>
    <x v="3"/>
    <x v="6"/>
    <s v="Comunitat Valenciana"/>
    <x v="0"/>
    <n v="4"/>
    <n v="249.95000000000002"/>
    <n v="12.500000000000028"/>
  </r>
  <r>
    <s v="ORD-102324"/>
    <x v="222"/>
    <x v="16"/>
    <x v="1"/>
    <n v="2"/>
    <n v="79.989999999999995"/>
    <x v="4"/>
    <n v="63.99"/>
    <n v="127.98"/>
    <x v="2"/>
    <x v="1"/>
    <x v="0"/>
    <x v="14"/>
    <s v="Aragón"/>
    <x v="0"/>
    <m/>
    <n v="159.97999999999999"/>
    <n v="31.999999999999986"/>
  </r>
  <r>
    <s v="ORD-102325"/>
    <x v="637"/>
    <x v="8"/>
    <x v="2"/>
    <n v="5"/>
    <n v="59.99"/>
    <x v="1"/>
    <n v="59.99"/>
    <n v="299.95"/>
    <x v="1"/>
    <x v="0"/>
    <x v="0"/>
    <x v="3"/>
    <s v="Comunidad de Madrid"/>
    <x v="2"/>
    <m/>
    <n v="299.95"/>
    <n v="0"/>
  </r>
  <r>
    <s v="ORD-102326"/>
    <x v="98"/>
    <x v="8"/>
    <x v="2"/>
    <n v="2"/>
    <n v="59.99"/>
    <x v="1"/>
    <n v="59.99"/>
    <n v="119.98"/>
    <x v="0"/>
    <x v="2"/>
    <x v="1"/>
    <x v="5"/>
    <s v="País Vasco"/>
    <x v="0"/>
    <n v="3"/>
    <n v="119.98"/>
    <n v="0"/>
  </r>
  <r>
    <s v="ORD-102327"/>
    <x v="32"/>
    <x v="20"/>
    <x v="3"/>
    <n v="5"/>
    <n v="39.99"/>
    <x v="1"/>
    <n v="39.99"/>
    <n v="199.95"/>
    <x v="1"/>
    <x v="0"/>
    <x v="1"/>
    <x v="1"/>
    <s v="Comunitat Valenciana"/>
    <x v="1"/>
    <m/>
    <n v="199.95000000000002"/>
    <n v="0"/>
  </r>
  <r>
    <s v="ORD-102328"/>
    <x v="76"/>
    <x v="7"/>
    <x v="3"/>
    <n v="5"/>
    <n v="19.989999999999998"/>
    <x v="1"/>
    <n v="19.989999999999998"/>
    <n v="99.95"/>
    <x v="1"/>
    <x v="2"/>
    <x v="0"/>
    <x v="14"/>
    <s v="Aragón"/>
    <x v="0"/>
    <m/>
    <n v="99.949999999999989"/>
    <n v="0"/>
  </r>
  <r>
    <s v="ORD-102329"/>
    <x v="195"/>
    <x v="22"/>
    <x v="4"/>
    <n v="5"/>
    <n v="44.99"/>
    <x v="2"/>
    <n v="42.74"/>
    <n v="213.7"/>
    <x v="0"/>
    <x v="0"/>
    <x v="3"/>
    <x v="13"/>
    <s v="Andalucía"/>
    <x v="0"/>
    <n v="5"/>
    <n v="224.95000000000002"/>
    <n v="11.250000000000028"/>
  </r>
  <r>
    <s v="ORD-102330"/>
    <x v="86"/>
    <x v="29"/>
    <x v="0"/>
    <n v="2"/>
    <n v="129.99"/>
    <x v="0"/>
    <n v="110.49"/>
    <n v="220.98"/>
    <x v="3"/>
    <x v="1"/>
    <x v="3"/>
    <x v="9"/>
    <s v="Asturias"/>
    <x v="1"/>
    <m/>
    <n v="259.98"/>
    <n v="39.000000000000028"/>
  </r>
  <r>
    <s v="ORD-102331"/>
    <x v="356"/>
    <x v="8"/>
    <x v="2"/>
    <n v="4"/>
    <n v="59.99"/>
    <x v="4"/>
    <n v="47.99"/>
    <n v="191.96"/>
    <x v="2"/>
    <x v="2"/>
    <x v="3"/>
    <x v="8"/>
    <s v="La Rioja"/>
    <x v="1"/>
    <m/>
    <n v="239.96"/>
    <n v="48"/>
  </r>
  <r>
    <s v="ORD-102332"/>
    <x v="240"/>
    <x v="22"/>
    <x v="4"/>
    <n v="1"/>
    <n v="44.99"/>
    <x v="1"/>
    <n v="44.99"/>
    <n v="44.99"/>
    <x v="0"/>
    <x v="0"/>
    <x v="1"/>
    <x v="5"/>
    <s v="País Vasco"/>
    <x v="0"/>
    <n v="3"/>
    <n v="44.99"/>
    <n v="0"/>
  </r>
  <r>
    <s v="ORD-102333"/>
    <x v="542"/>
    <x v="5"/>
    <x v="1"/>
    <n v="3"/>
    <n v="149.99"/>
    <x v="0"/>
    <n v="127.49"/>
    <n v="382.47"/>
    <x v="4"/>
    <x v="0"/>
    <x v="4"/>
    <x v="12"/>
    <s v="Región de Murcia"/>
    <x v="1"/>
    <m/>
    <n v="449.97"/>
    <n v="67.5"/>
  </r>
  <r>
    <s v="ORD-102334"/>
    <x v="272"/>
    <x v="29"/>
    <x v="0"/>
    <n v="5"/>
    <n v="129.99"/>
    <x v="1"/>
    <n v="129.99"/>
    <n v="649.95000000000005"/>
    <x v="0"/>
    <x v="0"/>
    <x v="1"/>
    <x v="1"/>
    <s v="Comunitat Valenciana"/>
    <x v="1"/>
    <n v="3"/>
    <n v="649.95000000000005"/>
    <n v="0"/>
  </r>
  <r>
    <s v="ORD-102335"/>
    <x v="254"/>
    <x v="27"/>
    <x v="1"/>
    <n v="3"/>
    <n v="49.99"/>
    <x v="1"/>
    <n v="49.99"/>
    <n v="149.97"/>
    <x v="0"/>
    <x v="0"/>
    <x v="1"/>
    <x v="7"/>
    <s v="Castilla y León"/>
    <x v="1"/>
    <n v="3"/>
    <n v="149.97"/>
    <n v="0"/>
  </r>
  <r>
    <s v="ORD-102336"/>
    <x v="132"/>
    <x v="19"/>
    <x v="0"/>
    <n v="4"/>
    <n v="1199.99"/>
    <x v="3"/>
    <n v="1079.99"/>
    <n v="4319.96"/>
    <x v="0"/>
    <x v="2"/>
    <x v="3"/>
    <x v="13"/>
    <s v="Andalucía"/>
    <x v="0"/>
    <n v="1"/>
    <n v="4799.96"/>
    <n v="480"/>
  </r>
  <r>
    <s v="ORD-102337"/>
    <x v="230"/>
    <x v="24"/>
    <x v="3"/>
    <n v="4"/>
    <n v="89.99"/>
    <x v="4"/>
    <n v="71.989999999999995"/>
    <n v="287.95999999999998"/>
    <x v="1"/>
    <x v="0"/>
    <x v="0"/>
    <x v="8"/>
    <s v="La Rioja"/>
    <x v="1"/>
    <m/>
    <n v="359.96"/>
    <n v="72"/>
  </r>
  <r>
    <s v="ORD-102338"/>
    <x v="695"/>
    <x v="9"/>
    <x v="2"/>
    <n v="5"/>
    <n v="29.99"/>
    <x v="1"/>
    <n v="29.99"/>
    <n v="149.94999999999999"/>
    <x v="2"/>
    <x v="1"/>
    <x v="3"/>
    <x v="4"/>
    <s v="Castilla y León"/>
    <x v="1"/>
    <m/>
    <n v="149.94999999999999"/>
    <n v="0"/>
  </r>
  <r>
    <s v="ORD-102339"/>
    <x v="238"/>
    <x v="22"/>
    <x v="4"/>
    <n v="4"/>
    <n v="44.99"/>
    <x v="3"/>
    <n v="40.49"/>
    <n v="161.96"/>
    <x v="0"/>
    <x v="0"/>
    <x v="2"/>
    <x v="3"/>
    <s v="Comunidad de Madrid"/>
    <x v="2"/>
    <n v="3"/>
    <n v="179.96"/>
    <n v="18"/>
  </r>
  <r>
    <s v="ORD-102340"/>
    <x v="308"/>
    <x v="28"/>
    <x v="0"/>
    <n v="3"/>
    <n v="499.99"/>
    <x v="4"/>
    <n v="399.99"/>
    <n v="1199.97"/>
    <x v="0"/>
    <x v="0"/>
    <x v="3"/>
    <x v="8"/>
    <s v="La Rioja"/>
    <x v="1"/>
    <n v="1"/>
    <n v="1499.97"/>
    <n v="300"/>
  </r>
  <r>
    <s v="ORD-102341"/>
    <x v="281"/>
    <x v="13"/>
    <x v="3"/>
    <n v="4"/>
    <n v="49.99"/>
    <x v="1"/>
    <n v="49.99"/>
    <n v="199.96"/>
    <x v="0"/>
    <x v="0"/>
    <x v="0"/>
    <x v="14"/>
    <s v="Aragón"/>
    <x v="0"/>
    <n v="2"/>
    <n v="199.96"/>
    <n v="0"/>
  </r>
  <r>
    <s v="ORD-102342"/>
    <x v="132"/>
    <x v="27"/>
    <x v="1"/>
    <n v="2"/>
    <n v="49.99"/>
    <x v="4"/>
    <n v="39.99"/>
    <n v="79.98"/>
    <x v="0"/>
    <x v="2"/>
    <x v="3"/>
    <x v="10"/>
    <s v="Cantabria"/>
    <x v="1"/>
    <n v="2"/>
    <n v="99.98"/>
    <n v="20"/>
  </r>
  <r>
    <s v="ORD-102343"/>
    <x v="148"/>
    <x v="26"/>
    <x v="1"/>
    <n v="3"/>
    <n v="599.99"/>
    <x v="1"/>
    <n v="599.99"/>
    <n v="1799.97"/>
    <x v="0"/>
    <x v="0"/>
    <x v="2"/>
    <x v="1"/>
    <s v="Comunitat Valenciana"/>
    <x v="1"/>
    <n v="1"/>
    <n v="1799.97"/>
    <n v="0"/>
  </r>
  <r>
    <s v="ORD-102344"/>
    <x v="213"/>
    <x v="18"/>
    <x v="2"/>
    <n v="1"/>
    <n v="99.99"/>
    <x v="1"/>
    <n v="99.99"/>
    <n v="99.99"/>
    <x v="1"/>
    <x v="1"/>
    <x v="1"/>
    <x v="6"/>
    <s v="Comunitat Valenciana"/>
    <x v="0"/>
    <m/>
    <n v="99.99"/>
    <n v="0"/>
  </r>
  <r>
    <s v="ORD-102345"/>
    <x v="63"/>
    <x v="2"/>
    <x v="2"/>
    <n v="5"/>
    <n v="299.99"/>
    <x v="3"/>
    <n v="269.99"/>
    <n v="1349.95"/>
    <x v="0"/>
    <x v="1"/>
    <x v="2"/>
    <x v="3"/>
    <s v="Comunidad de Madrid"/>
    <x v="2"/>
    <n v="4"/>
    <n v="1499.95"/>
    <n v="150"/>
  </r>
  <r>
    <s v="ORD-102346"/>
    <x v="455"/>
    <x v="7"/>
    <x v="3"/>
    <n v="3"/>
    <n v="19.989999999999998"/>
    <x v="1"/>
    <n v="19.989999999999998"/>
    <n v="59.97"/>
    <x v="0"/>
    <x v="1"/>
    <x v="2"/>
    <x v="7"/>
    <s v="Castilla y León"/>
    <x v="1"/>
    <n v="3"/>
    <n v="59.97"/>
    <n v="0"/>
  </r>
  <r>
    <s v="ORD-102347"/>
    <x v="696"/>
    <x v="29"/>
    <x v="0"/>
    <n v="2"/>
    <n v="129.99"/>
    <x v="1"/>
    <n v="129.99"/>
    <n v="259.98"/>
    <x v="0"/>
    <x v="2"/>
    <x v="3"/>
    <x v="4"/>
    <s v="Castilla y León"/>
    <x v="1"/>
    <n v="1"/>
    <n v="259.98"/>
    <n v="0"/>
  </r>
  <r>
    <s v="ORD-102348"/>
    <x v="453"/>
    <x v="4"/>
    <x v="4"/>
    <n v="5"/>
    <n v="349.99"/>
    <x v="3"/>
    <n v="314.99"/>
    <n v="1574.95"/>
    <x v="0"/>
    <x v="0"/>
    <x v="3"/>
    <x v="2"/>
    <s v="Navarra"/>
    <x v="1"/>
    <n v="3"/>
    <n v="1749.95"/>
    <n v="175"/>
  </r>
  <r>
    <s v="ORD-102349"/>
    <x v="76"/>
    <x v="11"/>
    <x v="0"/>
    <n v="4"/>
    <n v="349.99"/>
    <x v="0"/>
    <n v="297.49"/>
    <n v="1189.96"/>
    <x v="0"/>
    <x v="3"/>
    <x v="2"/>
    <x v="14"/>
    <s v="Aragón"/>
    <x v="0"/>
    <n v="3"/>
    <n v="1399.96"/>
    <n v="210"/>
  </r>
  <r>
    <s v="ORD-102350"/>
    <x v="121"/>
    <x v="9"/>
    <x v="2"/>
    <n v="3"/>
    <n v="29.99"/>
    <x v="0"/>
    <n v="25.49"/>
    <n v="76.47"/>
    <x v="0"/>
    <x v="2"/>
    <x v="0"/>
    <x v="14"/>
    <s v="Aragón"/>
    <x v="0"/>
    <n v="5"/>
    <n v="89.97"/>
    <n v="13.5"/>
  </r>
  <r>
    <s v="ORD-102351"/>
    <x v="460"/>
    <x v="29"/>
    <x v="0"/>
    <n v="5"/>
    <n v="129.99"/>
    <x v="1"/>
    <n v="129.99"/>
    <n v="649.95000000000005"/>
    <x v="0"/>
    <x v="2"/>
    <x v="4"/>
    <x v="1"/>
    <s v="Comunitat Valenciana"/>
    <x v="1"/>
    <n v="4"/>
    <n v="649.95000000000005"/>
    <n v="0"/>
  </r>
  <r>
    <s v="ORD-102352"/>
    <x v="257"/>
    <x v="19"/>
    <x v="0"/>
    <n v="2"/>
    <n v="1199.99"/>
    <x v="4"/>
    <n v="959.99"/>
    <n v="1919.98"/>
    <x v="0"/>
    <x v="0"/>
    <x v="2"/>
    <x v="3"/>
    <s v="Comunidad de Madrid"/>
    <x v="2"/>
    <n v="3"/>
    <n v="2399.98"/>
    <n v="480"/>
  </r>
  <r>
    <s v="ORD-102353"/>
    <x v="0"/>
    <x v="28"/>
    <x v="0"/>
    <n v="5"/>
    <n v="499.99"/>
    <x v="0"/>
    <n v="424.99"/>
    <n v="2124.9499999999998"/>
    <x v="2"/>
    <x v="3"/>
    <x v="0"/>
    <x v="11"/>
    <s v="Cataluña"/>
    <x v="2"/>
    <m/>
    <n v="2499.9499999999998"/>
    <n v="375"/>
  </r>
  <r>
    <s v="ORD-102354"/>
    <x v="40"/>
    <x v="8"/>
    <x v="2"/>
    <n v="3"/>
    <n v="59.99"/>
    <x v="4"/>
    <n v="47.99"/>
    <n v="143.97"/>
    <x v="0"/>
    <x v="0"/>
    <x v="0"/>
    <x v="0"/>
    <s v="Andalucía"/>
    <x v="0"/>
    <n v="1"/>
    <n v="179.97"/>
    <n v="36"/>
  </r>
  <r>
    <s v="ORD-102355"/>
    <x v="420"/>
    <x v="21"/>
    <x v="0"/>
    <n v="4"/>
    <n v="799.99"/>
    <x v="3"/>
    <n v="719.99"/>
    <n v="2879.96"/>
    <x v="1"/>
    <x v="0"/>
    <x v="0"/>
    <x v="9"/>
    <s v="Asturias"/>
    <x v="1"/>
    <m/>
    <n v="3199.96"/>
    <n v="320"/>
  </r>
  <r>
    <s v="ORD-102356"/>
    <x v="422"/>
    <x v="14"/>
    <x v="1"/>
    <n v="5"/>
    <n v="249.99"/>
    <x v="2"/>
    <n v="237.49"/>
    <n v="1187.45"/>
    <x v="0"/>
    <x v="3"/>
    <x v="3"/>
    <x v="1"/>
    <s v="Comunitat Valenciana"/>
    <x v="1"/>
    <n v="4"/>
    <n v="1249.95"/>
    <n v="62.5"/>
  </r>
  <r>
    <s v="ORD-102357"/>
    <x v="662"/>
    <x v="22"/>
    <x v="4"/>
    <n v="2"/>
    <n v="44.99"/>
    <x v="2"/>
    <n v="42.74"/>
    <n v="85.48"/>
    <x v="0"/>
    <x v="2"/>
    <x v="1"/>
    <x v="9"/>
    <s v="Asturias"/>
    <x v="1"/>
    <n v="3"/>
    <n v="89.98"/>
    <n v="4.5"/>
  </r>
  <r>
    <s v="ORD-102358"/>
    <x v="658"/>
    <x v="3"/>
    <x v="3"/>
    <n v="2"/>
    <n v="34.99"/>
    <x v="0"/>
    <n v="29.74"/>
    <n v="59.48"/>
    <x v="0"/>
    <x v="2"/>
    <x v="4"/>
    <x v="14"/>
    <s v="Aragón"/>
    <x v="0"/>
    <n v="2"/>
    <n v="69.98"/>
    <n v="10.500000000000007"/>
  </r>
  <r>
    <s v="ORD-102359"/>
    <x v="690"/>
    <x v="13"/>
    <x v="3"/>
    <n v="2"/>
    <n v="49.99"/>
    <x v="1"/>
    <n v="49.99"/>
    <n v="99.98"/>
    <x v="0"/>
    <x v="2"/>
    <x v="1"/>
    <x v="2"/>
    <s v="Navarra"/>
    <x v="1"/>
    <n v="1"/>
    <n v="99.98"/>
    <n v="0"/>
  </r>
  <r>
    <s v="ORD-102360"/>
    <x v="697"/>
    <x v="21"/>
    <x v="0"/>
    <n v="1"/>
    <n v="799.99"/>
    <x v="1"/>
    <n v="799.99"/>
    <n v="799.99"/>
    <x v="0"/>
    <x v="2"/>
    <x v="1"/>
    <x v="6"/>
    <s v="Comunitat Valenciana"/>
    <x v="0"/>
    <n v="3"/>
    <n v="799.99"/>
    <n v="0"/>
  </r>
  <r>
    <s v="ORD-102361"/>
    <x v="575"/>
    <x v="6"/>
    <x v="0"/>
    <n v="1"/>
    <n v="89.99"/>
    <x v="2"/>
    <n v="85.49"/>
    <n v="85.49"/>
    <x v="1"/>
    <x v="0"/>
    <x v="0"/>
    <x v="4"/>
    <s v="Castilla y León"/>
    <x v="1"/>
    <m/>
    <n v="89.99"/>
    <n v="4.5"/>
  </r>
  <r>
    <s v="ORD-102362"/>
    <x v="636"/>
    <x v="16"/>
    <x v="1"/>
    <n v="2"/>
    <n v="79.989999999999995"/>
    <x v="1"/>
    <n v="79.989999999999995"/>
    <n v="159.97999999999999"/>
    <x v="1"/>
    <x v="0"/>
    <x v="3"/>
    <x v="12"/>
    <s v="Región de Murcia"/>
    <x v="1"/>
    <m/>
    <n v="159.97999999999999"/>
    <n v="0"/>
  </r>
  <r>
    <s v="ORD-102363"/>
    <x v="318"/>
    <x v="20"/>
    <x v="3"/>
    <n v="5"/>
    <n v="39.99"/>
    <x v="0"/>
    <n v="33.99"/>
    <n v="169.95"/>
    <x v="0"/>
    <x v="0"/>
    <x v="0"/>
    <x v="12"/>
    <s v="Región de Murcia"/>
    <x v="1"/>
    <n v="3"/>
    <n v="199.95000000000002"/>
    <n v="30.000000000000028"/>
  </r>
  <r>
    <s v="ORD-102364"/>
    <x v="660"/>
    <x v="26"/>
    <x v="1"/>
    <n v="3"/>
    <n v="599.99"/>
    <x v="1"/>
    <n v="599.99"/>
    <n v="1799.97"/>
    <x v="1"/>
    <x v="1"/>
    <x v="0"/>
    <x v="14"/>
    <s v="Aragón"/>
    <x v="0"/>
    <m/>
    <n v="1799.97"/>
    <n v="0"/>
  </r>
  <r>
    <s v="ORD-102365"/>
    <x v="305"/>
    <x v="20"/>
    <x v="3"/>
    <n v="2"/>
    <n v="39.99"/>
    <x v="4"/>
    <n v="31.99"/>
    <n v="63.98"/>
    <x v="0"/>
    <x v="0"/>
    <x v="1"/>
    <x v="3"/>
    <s v="Comunidad de Madrid"/>
    <x v="2"/>
    <n v="5"/>
    <n v="79.98"/>
    <n v="16.000000000000007"/>
  </r>
  <r>
    <s v="ORD-102366"/>
    <x v="612"/>
    <x v="10"/>
    <x v="2"/>
    <n v="4"/>
    <n v="69.989999999999995"/>
    <x v="2"/>
    <n v="66.489999999999995"/>
    <n v="265.95999999999998"/>
    <x v="2"/>
    <x v="0"/>
    <x v="0"/>
    <x v="7"/>
    <s v="Castilla y León"/>
    <x v="1"/>
    <m/>
    <n v="279.95999999999998"/>
    <n v="14"/>
  </r>
  <r>
    <s v="ORD-102367"/>
    <x v="516"/>
    <x v="5"/>
    <x v="1"/>
    <n v="2"/>
    <n v="149.99"/>
    <x v="0"/>
    <n v="127.49"/>
    <n v="254.98"/>
    <x v="0"/>
    <x v="1"/>
    <x v="0"/>
    <x v="11"/>
    <s v="Cataluña"/>
    <x v="2"/>
    <n v="4"/>
    <n v="299.98"/>
    <n v="45.000000000000028"/>
  </r>
  <r>
    <s v="ORD-102368"/>
    <x v="53"/>
    <x v="21"/>
    <x v="0"/>
    <n v="2"/>
    <n v="799.99"/>
    <x v="2"/>
    <n v="759.99"/>
    <n v="1519.98"/>
    <x v="1"/>
    <x v="0"/>
    <x v="3"/>
    <x v="10"/>
    <s v="Cantabria"/>
    <x v="1"/>
    <m/>
    <n v="1599.98"/>
    <n v="80"/>
  </r>
  <r>
    <s v="ORD-102369"/>
    <x v="693"/>
    <x v="29"/>
    <x v="0"/>
    <n v="1"/>
    <n v="129.99"/>
    <x v="1"/>
    <n v="129.99"/>
    <n v="129.99"/>
    <x v="0"/>
    <x v="1"/>
    <x v="3"/>
    <x v="6"/>
    <s v="Comunitat Valenciana"/>
    <x v="0"/>
    <n v="5"/>
    <n v="129.99"/>
    <n v="0"/>
  </r>
  <r>
    <s v="ORD-102370"/>
    <x v="671"/>
    <x v="10"/>
    <x v="2"/>
    <n v="4"/>
    <n v="69.989999999999995"/>
    <x v="1"/>
    <n v="69.989999999999995"/>
    <n v="279.95999999999998"/>
    <x v="3"/>
    <x v="0"/>
    <x v="0"/>
    <x v="10"/>
    <s v="Cantabria"/>
    <x v="1"/>
    <m/>
    <n v="279.95999999999998"/>
    <n v="0"/>
  </r>
  <r>
    <s v="ORD-102371"/>
    <x v="577"/>
    <x v="6"/>
    <x v="0"/>
    <n v="3"/>
    <n v="89.99"/>
    <x v="1"/>
    <n v="89.99"/>
    <n v="269.97000000000003"/>
    <x v="0"/>
    <x v="0"/>
    <x v="0"/>
    <x v="6"/>
    <s v="Comunitat Valenciana"/>
    <x v="0"/>
    <n v="3"/>
    <n v="269.96999999999997"/>
    <n v="0"/>
  </r>
  <r>
    <s v="ORD-102372"/>
    <x v="543"/>
    <x v="28"/>
    <x v="0"/>
    <n v="5"/>
    <n v="499.99"/>
    <x v="4"/>
    <n v="399.99"/>
    <n v="1999.95"/>
    <x v="2"/>
    <x v="0"/>
    <x v="4"/>
    <x v="0"/>
    <s v="Andalucía"/>
    <x v="0"/>
    <m/>
    <n v="2499.9499999999998"/>
    <n v="499.99999999999977"/>
  </r>
  <r>
    <s v="ORD-102373"/>
    <x v="8"/>
    <x v="3"/>
    <x v="3"/>
    <n v="1"/>
    <n v="34.99"/>
    <x v="2"/>
    <n v="33.24"/>
    <n v="33.24"/>
    <x v="1"/>
    <x v="1"/>
    <x v="2"/>
    <x v="12"/>
    <s v="Región de Murcia"/>
    <x v="1"/>
    <m/>
    <n v="34.99"/>
    <n v="1.75"/>
  </r>
  <r>
    <s v="ORD-102374"/>
    <x v="13"/>
    <x v="29"/>
    <x v="0"/>
    <n v="4"/>
    <n v="129.99"/>
    <x v="1"/>
    <n v="129.99"/>
    <n v="519.96"/>
    <x v="0"/>
    <x v="1"/>
    <x v="0"/>
    <x v="3"/>
    <s v="Comunidad de Madrid"/>
    <x v="2"/>
    <n v="3"/>
    <n v="519.96"/>
    <n v="0"/>
  </r>
  <r>
    <s v="ORD-102375"/>
    <x v="292"/>
    <x v="8"/>
    <x v="2"/>
    <n v="4"/>
    <n v="59.99"/>
    <x v="3"/>
    <n v="53.99"/>
    <n v="215.96"/>
    <x v="1"/>
    <x v="0"/>
    <x v="3"/>
    <x v="11"/>
    <s v="Cataluña"/>
    <x v="2"/>
    <m/>
    <n v="239.96"/>
    <n v="24"/>
  </r>
  <r>
    <s v="ORD-102376"/>
    <x v="693"/>
    <x v="26"/>
    <x v="1"/>
    <n v="1"/>
    <n v="599.99"/>
    <x v="1"/>
    <n v="599.99"/>
    <n v="599.99"/>
    <x v="0"/>
    <x v="0"/>
    <x v="0"/>
    <x v="12"/>
    <s v="Región de Murcia"/>
    <x v="1"/>
    <n v="2"/>
    <n v="599.99"/>
    <n v="0"/>
  </r>
  <r>
    <s v="ORD-102377"/>
    <x v="514"/>
    <x v="23"/>
    <x v="4"/>
    <n v="5"/>
    <n v="24.99"/>
    <x v="2"/>
    <n v="23.74"/>
    <n v="118.7"/>
    <x v="1"/>
    <x v="1"/>
    <x v="0"/>
    <x v="4"/>
    <s v="Castilla y León"/>
    <x v="1"/>
    <m/>
    <n v="124.94999999999999"/>
    <n v="6.2499999999999858"/>
  </r>
  <r>
    <s v="ORD-102378"/>
    <x v="528"/>
    <x v="2"/>
    <x v="2"/>
    <n v="3"/>
    <n v="299.99"/>
    <x v="1"/>
    <n v="299.99"/>
    <n v="899.97"/>
    <x v="0"/>
    <x v="2"/>
    <x v="3"/>
    <x v="7"/>
    <s v="Castilla y León"/>
    <x v="1"/>
    <n v="2"/>
    <n v="899.97"/>
    <n v="0"/>
  </r>
  <r>
    <s v="ORD-102379"/>
    <x v="504"/>
    <x v="19"/>
    <x v="0"/>
    <n v="1"/>
    <n v="1199.99"/>
    <x v="1"/>
    <n v="1199.99"/>
    <n v="1199.99"/>
    <x v="1"/>
    <x v="1"/>
    <x v="1"/>
    <x v="13"/>
    <s v="Andalucía"/>
    <x v="0"/>
    <m/>
    <n v="1199.99"/>
    <n v="0"/>
  </r>
  <r>
    <s v="ORD-102380"/>
    <x v="698"/>
    <x v="5"/>
    <x v="1"/>
    <n v="2"/>
    <n v="149.99"/>
    <x v="1"/>
    <n v="149.99"/>
    <n v="299.98"/>
    <x v="0"/>
    <x v="0"/>
    <x v="3"/>
    <x v="3"/>
    <s v="Comunidad de Madrid"/>
    <x v="2"/>
    <n v="5"/>
    <n v="299.98"/>
    <n v="0"/>
  </r>
  <r>
    <s v="ORD-102381"/>
    <x v="651"/>
    <x v="23"/>
    <x v="4"/>
    <n v="4"/>
    <n v="24.99"/>
    <x v="3"/>
    <n v="22.49"/>
    <n v="89.96"/>
    <x v="0"/>
    <x v="1"/>
    <x v="0"/>
    <x v="8"/>
    <s v="La Rioja"/>
    <x v="1"/>
    <n v="2"/>
    <n v="99.96"/>
    <n v="10"/>
  </r>
  <r>
    <s v="ORD-102382"/>
    <x v="181"/>
    <x v="10"/>
    <x v="2"/>
    <n v="3"/>
    <n v="69.989999999999995"/>
    <x v="0"/>
    <n v="59.49"/>
    <n v="178.47"/>
    <x v="0"/>
    <x v="0"/>
    <x v="3"/>
    <x v="6"/>
    <s v="Comunitat Valenciana"/>
    <x v="0"/>
    <n v="1"/>
    <n v="209.96999999999997"/>
    <n v="31.499999999999972"/>
  </r>
  <r>
    <s v="ORD-102383"/>
    <x v="449"/>
    <x v="21"/>
    <x v="0"/>
    <n v="1"/>
    <n v="799.99"/>
    <x v="1"/>
    <n v="799.99"/>
    <n v="799.99"/>
    <x v="4"/>
    <x v="2"/>
    <x v="1"/>
    <x v="0"/>
    <s v="Andalucía"/>
    <x v="0"/>
    <m/>
    <n v="799.99"/>
    <n v="0"/>
  </r>
  <r>
    <s v="ORD-102384"/>
    <x v="240"/>
    <x v="4"/>
    <x v="4"/>
    <n v="5"/>
    <n v="349.99"/>
    <x v="1"/>
    <n v="349.99"/>
    <n v="1749.95"/>
    <x v="0"/>
    <x v="0"/>
    <x v="2"/>
    <x v="11"/>
    <s v="Cataluña"/>
    <x v="2"/>
    <n v="2"/>
    <n v="1749.95"/>
    <n v="0"/>
  </r>
  <r>
    <s v="ORD-102385"/>
    <x v="184"/>
    <x v="23"/>
    <x v="4"/>
    <n v="1"/>
    <n v="24.99"/>
    <x v="1"/>
    <n v="24.99"/>
    <n v="24.99"/>
    <x v="1"/>
    <x v="1"/>
    <x v="1"/>
    <x v="9"/>
    <s v="Asturias"/>
    <x v="1"/>
    <m/>
    <n v="24.99"/>
    <n v="0"/>
  </r>
  <r>
    <s v="ORD-102386"/>
    <x v="154"/>
    <x v="10"/>
    <x v="2"/>
    <n v="3"/>
    <n v="69.989999999999995"/>
    <x v="0"/>
    <n v="59.49"/>
    <n v="178.47"/>
    <x v="0"/>
    <x v="0"/>
    <x v="0"/>
    <x v="5"/>
    <s v="País Vasco"/>
    <x v="0"/>
    <n v="5"/>
    <n v="209.96999999999997"/>
    <n v="31.499999999999972"/>
  </r>
  <r>
    <s v="ORD-102387"/>
    <x v="88"/>
    <x v="17"/>
    <x v="0"/>
    <n v="5"/>
    <n v="899.99"/>
    <x v="4"/>
    <n v="719.99"/>
    <n v="3599.95"/>
    <x v="0"/>
    <x v="1"/>
    <x v="4"/>
    <x v="3"/>
    <s v="Comunidad de Madrid"/>
    <x v="2"/>
    <n v="1"/>
    <n v="4499.95"/>
    <n v="900"/>
  </r>
  <r>
    <s v="ORD-102388"/>
    <x v="431"/>
    <x v="12"/>
    <x v="2"/>
    <n v="5"/>
    <n v="189.99"/>
    <x v="2"/>
    <n v="180.49"/>
    <n v="902.45"/>
    <x v="0"/>
    <x v="0"/>
    <x v="0"/>
    <x v="11"/>
    <s v="Cataluña"/>
    <x v="2"/>
    <n v="2"/>
    <n v="949.95"/>
    <n v="47.5"/>
  </r>
  <r>
    <s v="ORD-102389"/>
    <x v="608"/>
    <x v="0"/>
    <x v="0"/>
    <n v="2"/>
    <n v="45.99"/>
    <x v="1"/>
    <n v="45.99"/>
    <n v="91.98"/>
    <x v="0"/>
    <x v="2"/>
    <x v="4"/>
    <x v="9"/>
    <s v="Asturias"/>
    <x v="1"/>
    <n v="4"/>
    <n v="91.98"/>
    <n v="0"/>
  </r>
  <r>
    <s v="ORD-102390"/>
    <x v="219"/>
    <x v="18"/>
    <x v="2"/>
    <n v="2"/>
    <n v="99.99"/>
    <x v="1"/>
    <n v="99.99"/>
    <n v="199.98"/>
    <x v="0"/>
    <x v="1"/>
    <x v="0"/>
    <x v="2"/>
    <s v="Navarra"/>
    <x v="1"/>
    <n v="1"/>
    <n v="199.98"/>
    <n v="0"/>
  </r>
  <r>
    <s v="ORD-102391"/>
    <x v="495"/>
    <x v="20"/>
    <x v="3"/>
    <n v="1"/>
    <n v="39.99"/>
    <x v="1"/>
    <n v="39.99"/>
    <n v="39.99"/>
    <x v="3"/>
    <x v="0"/>
    <x v="1"/>
    <x v="3"/>
    <s v="Comunidad de Madrid"/>
    <x v="2"/>
    <m/>
    <n v="39.99"/>
    <n v="0"/>
  </r>
  <r>
    <s v="ORD-102392"/>
    <x v="201"/>
    <x v="11"/>
    <x v="0"/>
    <n v="3"/>
    <n v="349.99"/>
    <x v="0"/>
    <n v="297.49"/>
    <n v="892.47"/>
    <x v="1"/>
    <x v="2"/>
    <x v="4"/>
    <x v="7"/>
    <s v="Castilla y León"/>
    <x v="1"/>
    <m/>
    <n v="1049.97"/>
    <n v="157.5"/>
  </r>
  <r>
    <s v="ORD-102393"/>
    <x v="291"/>
    <x v="22"/>
    <x v="4"/>
    <n v="5"/>
    <n v="44.99"/>
    <x v="0"/>
    <n v="38.24"/>
    <n v="191.2"/>
    <x v="1"/>
    <x v="0"/>
    <x v="0"/>
    <x v="3"/>
    <s v="Comunidad de Madrid"/>
    <x v="2"/>
    <m/>
    <n v="224.95000000000002"/>
    <n v="33.750000000000028"/>
  </r>
  <r>
    <s v="ORD-102394"/>
    <x v="7"/>
    <x v="24"/>
    <x v="3"/>
    <n v="2"/>
    <n v="89.99"/>
    <x v="3"/>
    <n v="80.989999999999995"/>
    <n v="161.97999999999999"/>
    <x v="0"/>
    <x v="1"/>
    <x v="2"/>
    <x v="6"/>
    <s v="Comunitat Valenciana"/>
    <x v="0"/>
    <n v="3"/>
    <n v="179.98"/>
    <n v="18"/>
  </r>
  <r>
    <s v="ORD-102395"/>
    <x v="276"/>
    <x v="0"/>
    <x v="0"/>
    <n v="2"/>
    <n v="45.99"/>
    <x v="4"/>
    <n v="36.79"/>
    <n v="73.58"/>
    <x v="1"/>
    <x v="0"/>
    <x v="0"/>
    <x v="6"/>
    <s v="Comunitat Valenciana"/>
    <x v="0"/>
    <m/>
    <n v="91.98"/>
    <n v="18.400000000000006"/>
  </r>
  <r>
    <s v="ORD-102396"/>
    <x v="451"/>
    <x v="12"/>
    <x v="2"/>
    <n v="4"/>
    <n v="189.99"/>
    <x v="0"/>
    <n v="161.49"/>
    <n v="645.96"/>
    <x v="0"/>
    <x v="0"/>
    <x v="0"/>
    <x v="4"/>
    <s v="Castilla y León"/>
    <x v="1"/>
    <n v="3"/>
    <n v="759.96"/>
    <n v="114"/>
  </r>
  <r>
    <s v="ORD-102397"/>
    <x v="467"/>
    <x v="11"/>
    <x v="0"/>
    <n v="5"/>
    <n v="349.99"/>
    <x v="1"/>
    <n v="349.99"/>
    <n v="1749.95"/>
    <x v="0"/>
    <x v="2"/>
    <x v="3"/>
    <x v="3"/>
    <s v="Comunidad de Madrid"/>
    <x v="2"/>
    <n v="3"/>
    <n v="1749.95"/>
    <n v="0"/>
  </r>
  <r>
    <s v="ORD-102398"/>
    <x v="595"/>
    <x v="10"/>
    <x v="2"/>
    <n v="4"/>
    <n v="69.989999999999995"/>
    <x v="4"/>
    <n v="55.99"/>
    <n v="223.96"/>
    <x v="1"/>
    <x v="1"/>
    <x v="1"/>
    <x v="2"/>
    <s v="Navarra"/>
    <x v="1"/>
    <m/>
    <n v="279.95999999999998"/>
    <n v="55.999999999999972"/>
  </r>
  <r>
    <s v="ORD-102399"/>
    <x v="671"/>
    <x v="2"/>
    <x v="2"/>
    <n v="5"/>
    <n v="299.99"/>
    <x v="3"/>
    <n v="269.99"/>
    <n v="1349.95"/>
    <x v="0"/>
    <x v="1"/>
    <x v="3"/>
    <x v="2"/>
    <s v="Navarra"/>
    <x v="1"/>
    <n v="1"/>
    <n v="1499.95"/>
    <n v="150"/>
  </r>
  <r>
    <s v="ORD-102400"/>
    <x v="27"/>
    <x v="28"/>
    <x v="0"/>
    <n v="4"/>
    <n v="499.99"/>
    <x v="1"/>
    <n v="499.99"/>
    <n v="1999.96"/>
    <x v="0"/>
    <x v="0"/>
    <x v="3"/>
    <x v="0"/>
    <s v="Andalucía"/>
    <x v="0"/>
    <n v="3"/>
    <n v="1999.96"/>
    <n v="0"/>
  </r>
  <r>
    <s v="ORD-102401"/>
    <x v="26"/>
    <x v="15"/>
    <x v="3"/>
    <n v="4"/>
    <n v="69.989999999999995"/>
    <x v="1"/>
    <n v="69.989999999999995"/>
    <n v="279.95999999999998"/>
    <x v="1"/>
    <x v="0"/>
    <x v="0"/>
    <x v="6"/>
    <s v="Comunitat Valenciana"/>
    <x v="0"/>
    <m/>
    <n v="279.95999999999998"/>
    <n v="0"/>
  </r>
  <r>
    <s v="ORD-102402"/>
    <x v="119"/>
    <x v="23"/>
    <x v="4"/>
    <n v="2"/>
    <n v="24.99"/>
    <x v="1"/>
    <n v="24.99"/>
    <n v="49.98"/>
    <x v="0"/>
    <x v="2"/>
    <x v="3"/>
    <x v="12"/>
    <s v="Región de Murcia"/>
    <x v="1"/>
    <n v="3"/>
    <n v="49.98"/>
    <n v="0"/>
  </r>
  <r>
    <s v="ORD-102403"/>
    <x v="413"/>
    <x v="29"/>
    <x v="0"/>
    <n v="4"/>
    <n v="129.99"/>
    <x v="1"/>
    <n v="129.99"/>
    <n v="519.96"/>
    <x v="0"/>
    <x v="0"/>
    <x v="3"/>
    <x v="5"/>
    <s v="País Vasco"/>
    <x v="0"/>
    <n v="1"/>
    <n v="519.96"/>
    <n v="0"/>
  </r>
  <r>
    <s v="ORD-102404"/>
    <x v="680"/>
    <x v="10"/>
    <x v="2"/>
    <n v="1"/>
    <n v="69.989999999999995"/>
    <x v="2"/>
    <n v="66.489999999999995"/>
    <n v="66.489999999999995"/>
    <x v="0"/>
    <x v="0"/>
    <x v="0"/>
    <x v="1"/>
    <s v="Comunitat Valenciana"/>
    <x v="1"/>
    <n v="2"/>
    <n v="69.989999999999995"/>
    <n v="3.5"/>
  </r>
  <r>
    <s v="ORD-102405"/>
    <x v="475"/>
    <x v="14"/>
    <x v="1"/>
    <n v="1"/>
    <n v="249.99"/>
    <x v="1"/>
    <n v="249.99"/>
    <n v="249.99"/>
    <x v="0"/>
    <x v="0"/>
    <x v="2"/>
    <x v="8"/>
    <s v="La Rioja"/>
    <x v="1"/>
    <n v="1"/>
    <n v="249.99"/>
    <n v="0"/>
  </r>
  <r>
    <s v="ORD-102406"/>
    <x v="48"/>
    <x v="2"/>
    <x v="2"/>
    <n v="3"/>
    <n v="299.99"/>
    <x v="1"/>
    <n v="299.99"/>
    <n v="899.97"/>
    <x v="0"/>
    <x v="0"/>
    <x v="3"/>
    <x v="11"/>
    <s v="Cataluña"/>
    <x v="2"/>
    <n v="4"/>
    <n v="899.97"/>
    <n v="0"/>
  </r>
  <r>
    <s v="ORD-102407"/>
    <x v="128"/>
    <x v="1"/>
    <x v="1"/>
    <n v="4"/>
    <n v="399.99"/>
    <x v="1"/>
    <n v="399.99"/>
    <n v="1599.96"/>
    <x v="0"/>
    <x v="0"/>
    <x v="0"/>
    <x v="2"/>
    <s v="Navarra"/>
    <x v="1"/>
    <n v="4"/>
    <n v="1599.96"/>
    <n v="0"/>
  </r>
  <r>
    <s v="ORD-102408"/>
    <x v="387"/>
    <x v="12"/>
    <x v="2"/>
    <n v="3"/>
    <n v="189.99"/>
    <x v="1"/>
    <n v="189.99"/>
    <n v="569.97"/>
    <x v="0"/>
    <x v="0"/>
    <x v="0"/>
    <x v="8"/>
    <s v="La Rioja"/>
    <x v="1"/>
    <n v="4"/>
    <n v="569.97"/>
    <n v="0"/>
  </r>
  <r>
    <s v="ORD-102409"/>
    <x v="501"/>
    <x v="11"/>
    <x v="0"/>
    <n v="3"/>
    <n v="349.99"/>
    <x v="2"/>
    <n v="332.49"/>
    <n v="997.47"/>
    <x v="0"/>
    <x v="0"/>
    <x v="0"/>
    <x v="11"/>
    <s v="Cataluña"/>
    <x v="2"/>
    <n v="1"/>
    <n v="1049.97"/>
    <n v="52.5"/>
  </r>
  <r>
    <s v="ORD-102410"/>
    <x v="106"/>
    <x v="0"/>
    <x v="0"/>
    <n v="1"/>
    <n v="45.99"/>
    <x v="1"/>
    <n v="45.99"/>
    <n v="45.99"/>
    <x v="0"/>
    <x v="1"/>
    <x v="3"/>
    <x v="4"/>
    <s v="Castilla y León"/>
    <x v="1"/>
    <n v="2"/>
    <n v="45.99"/>
    <n v="0"/>
  </r>
  <r>
    <s v="ORD-102411"/>
    <x v="315"/>
    <x v="26"/>
    <x v="1"/>
    <n v="4"/>
    <n v="599.99"/>
    <x v="1"/>
    <n v="599.99"/>
    <n v="2399.96"/>
    <x v="1"/>
    <x v="1"/>
    <x v="3"/>
    <x v="11"/>
    <s v="Cataluña"/>
    <x v="2"/>
    <m/>
    <n v="2399.96"/>
    <n v="0"/>
  </r>
  <r>
    <s v="ORD-102412"/>
    <x v="164"/>
    <x v="5"/>
    <x v="1"/>
    <n v="1"/>
    <n v="149.99"/>
    <x v="3"/>
    <n v="134.99"/>
    <n v="134.99"/>
    <x v="0"/>
    <x v="1"/>
    <x v="3"/>
    <x v="10"/>
    <s v="Cantabria"/>
    <x v="1"/>
    <n v="2"/>
    <n v="149.99"/>
    <n v="15"/>
  </r>
  <r>
    <s v="ORD-102413"/>
    <x v="282"/>
    <x v="19"/>
    <x v="0"/>
    <n v="1"/>
    <n v="1199.99"/>
    <x v="1"/>
    <n v="1199.99"/>
    <n v="1199.99"/>
    <x v="1"/>
    <x v="0"/>
    <x v="3"/>
    <x v="12"/>
    <s v="Región de Murcia"/>
    <x v="1"/>
    <m/>
    <n v="1199.99"/>
    <n v="0"/>
  </r>
  <r>
    <s v="ORD-102414"/>
    <x v="104"/>
    <x v="26"/>
    <x v="1"/>
    <n v="1"/>
    <n v="599.99"/>
    <x v="1"/>
    <n v="599.99"/>
    <n v="599.99"/>
    <x v="0"/>
    <x v="0"/>
    <x v="0"/>
    <x v="10"/>
    <s v="Cantabria"/>
    <x v="1"/>
    <n v="1"/>
    <n v="599.99"/>
    <n v="0"/>
  </r>
  <r>
    <s v="ORD-102415"/>
    <x v="460"/>
    <x v="15"/>
    <x v="3"/>
    <n v="5"/>
    <n v="69.989999999999995"/>
    <x v="1"/>
    <n v="69.989999999999995"/>
    <n v="349.95"/>
    <x v="0"/>
    <x v="2"/>
    <x v="0"/>
    <x v="0"/>
    <s v="Andalucía"/>
    <x v="0"/>
    <n v="2"/>
    <n v="349.95"/>
    <n v="0"/>
  </r>
  <r>
    <s v="ORD-102416"/>
    <x v="513"/>
    <x v="19"/>
    <x v="0"/>
    <n v="5"/>
    <n v="1199.99"/>
    <x v="2"/>
    <n v="1139.99"/>
    <n v="5699.95"/>
    <x v="0"/>
    <x v="2"/>
    <x v="1"/>
    <x v="7"/>
    <s v="Castilla y León"/>
    <x v="1"/>
    <n v="4"/>
    <n v="5999.95"/>
    <n v="300"/>
  </r>
  <r>
    <s v="ORD-102417"/>
    <x v="148"/>
    <x v="2"/>
    <x v="2"/>
    <n v="4"/>
    <n v="299.99"/>
    <x v="3"/>
    <n v="269.99"/>
    <n v="1079.96"/>
    <x v="0"/>
    <x v="0"/>
    <x v="3"/>
    <x v="3"/>
    <s v="Comunidad de Madrid"/>
    <x v="2"/>
    <n v="3"/>
    <n v="1199.96"/>
    <n v="120"/>
  </r>
  <r>
    <s v="ORD-102418"/>
    <x v="2"/>
    <x v="12"/>
    <x v="2"/>
    <n v="2"/>
    <n v="189.99"/>
    <x v="3"/>
    <n v="170.99"/>
    <n v="341.98"/>
    <x v="0"/>
    <x v="2"/>
    <x v="4"/>
    <x v="8"/>
    <s v="La Rioja"/>
    <x v="1"/>
    <n v="3"/>
    <n v="379.98"/>
    <n v="38"/>
  </r>
  <r>
    <s v="ORD-102419"/>
    <x v="653"/>
    <x v="23"/>
    <x v="4"/>
    <n v="4"/>
    <n v="24.99"/>
    <x v="2"/>
    <n v="23.74"/>
    <n v="94.96"/>
    <x v="2"/>
    <x v="0"/>
    <x v="0"/>
    <x v="11"/>
    <s v="Cataluña"/>
    <x v="2"/>
    <m/>
    <n v="99.96"/>
    <n v="5"/>
  </r>
  <r>
    <s v="ORD-102420"/>
    <x v="192"/>
    <x v="25"/>
    <x v="4"/>
    <n v="2"/>
    <n v="34.99"/>
    <x v="0"/>
    <n v="29.74"/>
    <n v="59.48"/>
    <x v="2"/>
    <x v="0"/>
    <x v="4"/>
    <x v="3"/>
    <s v="Comunidad de Madrid"/>
    <x v="2"/>
    <m/>
    <n v="69.98"/>
    <n v="10.500000000000007"/>
  </r>
  <r>
    <s v="ORD-102421"/>
    <x v="307"/>
    <x v="3"/>
    <x v="3"/>
    <n v="4"/>
    <n v="34.99"/>
    <x v="1"/>
    <n v="34.99"/>
    <n v="139.96"/>
    <x v="0"/>
    <x v="1"/>
    <x v="0"/>
    <x v="14"/>
    <s v="Aragón"/>
    <x v="0"/>
    <n v="1"/>
    <n v="139.96"/>
    <n v="0"/>
  </r>
  <r>
    <s v="ORD-102422"/>
    <x v="295"/>
    <x v="17"/>
    <x v="0"/>
    <n v="4"/>
    <n v="899.99"/>
    <x v="3"/>
    <n v="809.99"/>
    <n v="3239.96"/>
    <x v="0"/>
    <x v="0"/>
    <x v="0"/>
    <x v="12"/>
    <s v="Región de Murcia"/>
    <x v="1"/>
    <n v="1"/>
    <n v="3599.96"/>
    <n v="360"/>
  </r>
  <r>
    <s v="ORD-102423"/>
    <x v="699"/>
    <x v="7"/>
    <x v="3"/>
    <n v="5"/>
    <n v="19.989999999999998"/>
    <x v="1"/>
    <n v="19.989999999999998"/>
    <n v="99.95"/>
    <x v="0"/>
    <x v="0"/>
    <x v="1"/>
    <x v="7"/>
    <s v="Castilla y León"/>
    <x v="1"/>
    <n v="3"/>
    <n v="99.949999999999989"/>
    <n v="0"/>
  </r>
  <r>
    <s v="ORD-102424"/>
    <x v="204"/>
    <x v="19"/>
    <x v="0"/>
    <n v="3"/>
    <n v="1199.99"/>
    <x v="1"/>
    <n v="1199.99"/>
    <n v="3599.97"/>
    <x v="1"/>
    <x v="0"/>
    <x v="1"/>
    <x v="10"/>
    <s v="Cantabria"/>
    <x v="1"/>
    <m/>
    <n v="3599.9700000000003"/>
    <n v="0"/>
  </r>
  <r>
    <s v="ORD-102425"/>
    <x v="164"/>
    <x v="7"/>
    <x v="3"/>
    <n v="5"/>
    <n v="19.989999999999998"/>
    <x v="3"/>
    <n v="17.989999999999998"/>
    <n v="89.95"/>
    <x v="0"/>
    <x v="1"/>
    <x v="1"/>
    <x v="2"/>
    <s v="Navarra"/>
    <x v="1"/>
    <n v="5"/>
    <n v="99.949999999999989"/>
    <n v="9.9999999999999858"/>
  </r>
  <r>
    <s v="ORD-102426"/>
    <x v="128"/>
    <x v="22"/>
    <x v="4"/>
    <n v="4"/>
    <n v="44.99"/>
    <x v="4"/>
    <n v="35.99"/>
    <n v="143.96"/>
    <x v="1"/>
    <x v="1"/>
    <x v="1"/>
    <x v="12"/>
    <s v="Región de Murcia"/>
    <x v="1"/>
    <m/>
    <n v="179.96"/>
    <n v="36"/>
  </r>
  <r>
    <s v="ORD-102427"/>
    <x v="2"/>
    <x v="26"/>
    <x v="1"/>
    <n v="5"/>
    <n v="599.99"/>
    <x v="2"/>
    <n v="569.99"/>
    <n v="2849.95"/>
    <x v="1"/>
    <x v="0"/>
    <x v="1"/>
    <x v="8"/>
    <s v="La Rioja"/>
    <x v="1"/>
    <m/>
    <n v="2999.95"/>
    <n v="150"/>
  </r>
  <r>
    <s v="ORD-102428"/>
    <x v="687"/>
    <x v="0"/>
    <x v="0"/>
    <n v="4"/>
    <n v="45.99"/>
    <x v="2"/>
    <n v="43.69"/>
    <n v="174.76"/>
    <x v="3"/>
    <x v="0"/>
    <x v="0"/>
    <x v="6"/>
    <s v="Comunitat Valenciana"/>
    <x v="0"/>
    <m/>
    <n v="183.96"/>
    <n v="9.2000000000000171"/>
  </r>
  <r>
    <s v="ORD-102429"/>
    <x v="472"/>
    <x v="16"/>
    <x v="1"/>
    <n v="4"/>
    <n v="79.989999999999995"/>
    <x v="3"/>
    <n v="71.989999999999995"/>
    <n v="287.95999999999998"/>
    <x v="0"/>
    <x v="2"/>
    <x v="1"/>
    <x v="0"/>
    <s v="Andalucía"/>
    <x v="0"/>
    <n v="4"/>
    <n v="319.95999999999998"/>
    <n v="32"/>
  </r>
  <r>
    <s v="ORD-102430"/>
    <x v="593"/>
    <x v="21"/>
    <x v="0"/>
    <n v="5"/>
    <n v="799.99"/>
    <x v="0"/>
    <n v="679.99"/>
    <n v="3399.95"/>
    <x v="0"/>
    <x v="1"/>
    <x v="4"/>
    <x v="5"/>
    <s v="País Vasco"/>
    <x v="0"/>
    <n v="5"/>
    <n v="3999.95"/>
    <n v="600"/>
  </r>
  <r>
    <s v="ORD-102431"/>
    <x v="206"/>
    <x v="8"/>
    <x v="2"/>
    <n v="1"/>
    <n v="59.99"/>
    <x v="1"/>
    <n v="59.99"/>
    <n v="59.99"/>
    <x v="1"/>
    <x v="0"/>
    <x v="2"/>
    <x v="4"/>
    <s v="Castilla y León"/>
    <x v="1"/>
    <m/>
    <n v="59.99"/>
    <n v="0"/>
  </r>
  <r>
    <s v="ORD-102432"/>
    <x v="586"/>
    <x v="11"/>
    <x v="0"/>
    <n v="1"/>
    <n v="349.99"/>
    <x v="1"/>
    <n v="349.99"/>
    <n v="349.99"/>
    <x v="0"/>
    <x v="1"/>
    <x v="4"/>
    <x v="7"/>
    <s v="Castilla y León"/>
    <x v="1"/>
    <n v="2"/>
    <n v="349.99"/>
    <n v="0"/>
  </r>
  <r>
    <s v="ORD-102433"/>
    <x v="501"/>
    <x v="6"/>
    <x v="0"/>
    <n v="4"/>
    <n v="89.99"/>
    <x v="1"/>
    <n v="89.99"/>
    <n v="359.96"/>
    <x v="2"/>
    <x v="1"/>
    <x v="0"/>
    <x v="9"/>
    <s v="Asturias"/>
    <x v="1"/>
    <m/>
    <n v="359.96"/>
    <n v="0"/>
  </r>
  <r>
    <s v="ORD-102434"/>
    <x v="586"/>
    <x v="9"/>
    <x v="2"/>
    <n v="3"/>
    <n v="29.99"/>
    <x v="1"/>
    <n v="29.99"/>
    <n v="89.97"/>
    <x v="2"/>
    <x v="2"/>
    <x v="4"/>
    <x v="4"/>
    <s v="Castilla y León"/>
    <x v="1"/>
    <m/>
    <n v="89.97"/>
    <n v="0"/>
  </r>
  <r>
    <s v="ORD-102435"/>
    <x v="71"/>
    <x v="28"/>
    <x v="0"/>
    <n v="3"/>
    <n v="499.99"/>
    <x v="0"/>
    <n v="424.99"/>
    <n v="1274.97"/>
    <x v="1"/>
    <x v="1"/>
    <x v="3"/>
    <x v="1"/>
    <s v="Comunitat Valenciana"/>
    <x v="1"/>
    <m/>
    <n v="1499.97"/>
    <n v="225"/>
  </r>
  <r>
    <s v="ORD-102436"/>
    <x v="135"/>
    <x v="26"/>
    <x v="1"/>
    <n v="2"/>
    <n v="599.99"/>
    <x v="1"/>
    <n v="599.99"/>
    <n v="1199.98"/>
    <x v="0"/>
    <x v="3"/>
    <x v="1"/>
    <x v="12"/>
    <s v="Región de Murcia"/>
    <x v="1"/>
    <n v="5"/>
    <n v="1199.98"/>
    <n v="0"/>
  </r>
  <r>
    <s v="ORD-102437"/>
    <x v="429"/>
    <x v="9"/>
    <x v="2"/>
    <n v="5"/>
    <n v="29.99"/>
    <x v="1"/>
    <n v="29.99"/>
    <n v="149.94999999999999"/>
    <x v="3"/>
    <x v="0"/>
    <x v="2"/>
    <x v="7"/>
    <s v="Castilla y León"/>
    <x v="1"/>
    <m/>
    <n v="149.94999999999999"/>
    <n v="0"/>
  </r>
  <r>
    <s v="ORD-102438"/>
    <x v="448"/>
    <x v="5"/>
    <x v="1"/>
    <n v="4"/>
    <n v="149.99"/>
    <x v="1"/>
    <n v="149.99"/>
    <n v="599.96"/>
    <x v="0"/>
    <x v="0"/>
    <x v="0"/>
    <x v="6"/>
    <s v="Comunitat Valenciana"/>
    <x v="0"/>
    <n v="3"/>
    <n v="599.96"/>
    <n v="0"/>
  </r>
  <r>
    <s v="ORD-102439"/>
    <x v="420"/>
    <x v="14"/>
    <x v="1"/>
    <n v="2"/>
    <n v="249.99"/>
    <x v="3"/>
    <n v="224.99"/>
    <n v="449.98"/>
    <x v="4"/>
    <x v="0"/>
    <x v="4"/>
    <x v="7"/>
    <s v="Castilla y León"/>
    <x v="1"/>
    <m/>
    <n v="499.98"/>
    <n v="50"/>
  </r>
  <r>
    <s v="ORD-102440"/>
    <x v="26"/>
    <x v="29"/>
    <x v="0"/>
    <n v="1"/>
    <n v="129.99"/>
    <x v="4"/>
    <n v="103.99"/>
    <n v="103.99"/>
    <x v="0"/>
    <x v="0"/>
    <x v="3"/>
    <x v="7"/>
    <s v="Castilla y León"/>
    <x v="1"/>
    <n v="4"/>
    <n v="129.99"/>
    <n v="26.000000000000014"/>
  </r>
  <r>
    <s v="ORD-102441"/>
    <x v="514"/>
    <x v="6"/>
    <x v="0"/>
    <n v="2"/>
    <n v="89.99"/>
    <x v="4"/>
    <n v="71.989999999999995"/>
    <n v="143.97999999999999"/>
    <x v="0"/>
    <x v="0"/>
    <x v="3"/>
    <x v="1"/>
    <s v="Comunitat Valenciana"/>
    <x v="1"/>
    <n v="1"/>
    <n v="179.98"/>
    <n v="36"/>
  </r>
  <r>
    <s v="ORD-102442"/>
    <x v="80"/>
    <x v="12"/>
    <x v="2"/>
    <n v="1"/>
    <n v="189.99"/>
    <x v="1"/>
    <n v="189.99"/>
    <n v="189.99"/>
    <x v="0"/>
    <x v="1"/>
    <x v="3"/>
    <x v="12"/>
    <s v="Región de Murcia"/>
    <x v="1"/>
    <n v="2"/>
    <n v="189.99"/>
    <n v="0"/>
  </r>
  <r>
    <s v="ORD-102443"/>
    <x v="569"/>
    <x v="12"/>
    <x v="2"/>
    <n v="4"/>
    <n v="189.99"/>
    <x v="3"/>
    <n v="170.99"/>
    <n v="683.96"/>
    <x v="3"/>
    <x v="1"/>
    <x v="1"/>
    <x v="6"/>
    <s v="Comunitat Valenciana"/>
    <x v="0"/>
    <m/>
    <n v="759.96"/>
    <n v="76"/>
  </r>
  <r>
    <s v="ORD-102444"/>
    <x v="521"/>
    <x v="12"/>
    <x v="2"/>
    <n v="4"/>
    <n v="189.99"/>
    <x v="0"/>
    <n v="161.49"/>
    <n v="645.96"/>
    <x v="1"/>
    <x v="0"/>
    <x v="3"/>
    <x v="5"/>
    <s v="País Vasco"/>
    <x v="0"/>
    <m/>
    <n v="759.96"/>
    <n v="114"/>
  </r>
  <r>
    <s v="ORD-102445"/>
    <x v="371"/>
    <x v="0"/>
    <x v="0"/>
    <n v="3"/>
    <n v="45.99"/>
    <x v="4"/>
    <n v="36.79"/>
    <n v="110.37"/>
    <x v="0"/>
    <x v="0"/>
    <x v="3"/>
    <x v="1"/>
    <s v="Comunitat Valenciana"/>
    <x v="1"/>
    <n v="1"/>
    <n v="137.97"/>
    <n v="27.599999999999994"/>
  </r>
  <r>
    <s v="ORD-102446"/>
    <x v="61"/>
    <x v="23"/>
    <x v="4"/>
    <n v="5"/>
    <n v="24.99"/>
    <x v="0"/>
    <n v="21.24"/>
    <n v="106.2"/>
    <x v="0"/>
    <x v="0"/>
    <x v="2"/>
    <x v="12"/>
    <s v="Región de Murcia"/>
    <x v="1"/>
    <n v="5"/>
    <n v="124.94999999999999"/>
    <n v="18.749999999999986"/>
  </r>
  <r>
    <s v="ORD-102447"/>
    <x v="451"/>
    <x v="28"/>
    <x v="0"/>
    <n v="3"/>
    <n v="499.99"/>
    <x v="0"/>
    <n v="424.99"/>
    <n v="1274.97"/>
    <x v="0"/>
    <x v="2"/>
    <x v="3"/>
    <x v="11"/>
    <s v="Cataluña"/>
    <x v="2"/>
    <n v="4"/>
    <n v="1499.97"/>
    <n v="225"/>
  </r>
  <r>
    <s v="ORD-102448"/>
    <x v="195"/>
    <x v="13"/>
    <x v="3"/>
    <n v="1"/>
    <n v="49.99"/>
    <x v="3"/>
    <n v="44.99"/>
    <n v="44.99"/>
    <x v="3"/>
    <x v="1"/>
    <x v="2"/>
    <x v="10"/>
    <s v="Cantabria"/>
    <x v="1"/>
    <m/>
    <n v="49.99"/>
    <n v="5"/>
  </r>
  <r>
    <s v="ORD-102449"/>
    <x v="527"/>
    <x v="20"/>
    <x v="3"/>
    <n v="5"/>
    <n v="39.99"/>
    <x v="1"/>
    <n v="39.99"/>
    <n v="199.95"/>
    <x v="1"/>
    <x v="1"/>
    <x v="0"/>
    <x v="4"/>
    <s v="Castilla y León"/>
    <x v="1"/>
    <m/>
    <n v="199.95000000000002"/>
    <n v="0"/>
  </r>
  <r>
    <s v="ORD-102450"/>
    <x v="508"/>
    <x v="14"/>
    <x v="1"/>
    <n v="3"/>
    <n v="249.99"/>
    <x v="1"/>
    <n v="249.99"/>
    <n v="749.97"/>
    <x v="0"/>
    <x v="0"/>
    <x v="0"/>
    <x v="3"/>
    <s v="Comunidad de Madrid"/>
    <x v="2"/>
    <n v="4"/>
    <n v="749.97"/>
    <n v="0"/>
  </r>
  <r>
    <s v="ORD-102451"/>
    <x v="306"/>
    <x v="29"/>
    <x v="0"/>
    <n v="3"/>
    <n v="129.99"/>
    <x v="3"/>
    <n v="116.99"/>
    <n v="350.97"/>
    <x v="1"/>
    <x v="1"/>
    <x v="0"/>
    <x v="8"/>
    <s v="La Rioja"/>
    <x v="1"/>
    <m/>
    <n v="389.97"/>
    <n v="39"/>
  </r>
  <r>
    <s v="ORD-102452"/>
    <x v="571"/>
    <x v="11"/>
    <x v="0"/>
    <n v="1"/>
    <n v="349.99"/>
    <x v="3"/>
    <n v="314.99"/>
    <n v="314.99"/>
    <x v="4"/>
    <x v="2"/>
    <x v="0"/>
    <x v="2"/>
    <s v="Navarra"/>
    <x v="1"/>
    <m/>
    <n v="349.99"/>
    <n v="35"/>
  </r>
  <r>
    <s v="ORD-102453"/>
    <x v="700"/>
    <x v="5"/>
    <x v="1"/>
    <n v="5"/>
    <n v="149.99"/>
    <x v="1"/>
    <n v="149.99"/>
    <n v="749.95"/>
    <x v="1"/>
    <x v="0"/>
    <x v="4"/>
    <x v="4"/>
    <s v="Castilla y León"/>
    <x v="1"/>
    <m/>
    <n v="749.95"/>
    <n v="0"/>
  </r>
  <r>
    <s v="ORD-102454"/>
    <x v="555"/>
    <x v="16"/>
    <x v="1"/>
    <n v="2"/>
    <n v="79.989999999999995"/>
    <x v="4"/>
    <n v="63.99"/>
    <n v="127.98"/>
    <x v="0"/>
    <x v="1"/>
    <x v="3"/>
    <x v="1"/>
    <s v="Comunitat Valenciana"/>
    <x v="1"/>
    <n v="5"/>
    <n v="159.97999999999999"/>
    <n v="31.999999999999986"/>
  </r>
  <r>
    <s v="ORD-102455"/>
    <x v="309"/>
    <x v="6"/>
    <x v="0"/>
    <n v="3"/>
    <n v="89.99"/>
    <x v="1"/>
    <n v="89.99"/>
    <n v="269.97000000000003"/>
    <x v="0"/>
    <x v="0"/>
    <x v="2"/>
    <x v="8"/>
    <s v="La Rioja"/>
    <x v="1"/>
    <n v="2"/>
    <n v="269.96999999999997"/>
    <n v="0"/>
  </r>
  <r>
    <s v="ORD-102456"/>
    <x v="45"/>
    <x v="12"/>
    <x v="2"/>
    <n v="5"/>
    <n v="189.99"/>
    <x v="0"/>
    <n v="161.49"/>
    <n v="807.45"/>
    <x v="2"/>
    <x v="2"/>
    <x v="1"/>
    <x v="8"/>
    <s v="La Rioja"/>
    <x v="1"/>
    <m/>
    <n v="949.95"/>
    <n v="142.5"/>
  </r>
  <r>
    <s v="ORD-102457"/>
    <x v="77"/>
    <x v="28"/>
    <x v="0"/>
    <n v="2"/>
    <n v="499.99"/>
    <x v="2"/>
    <n v="474.99"/>
    <n v="949.98"/>
    <x v="1"/>
    <x v="0"/>
    <x v="0"/>
    <x v="4"/>
    <s v="Castilla y León"/>
    <x v="1"/>
    <m/>
    <n v="999.98"/>
    <n v="50"/>
  </r>
  <r>
    <s v="ORD-102458"/>
    <x v="47"/>
    <x v="17"/>
    <x v="0"/>
    <n v="3"/>
    <n v="899.99"/>
    <x v="1"/>
    <n v="899.99"/>
    <n v="2699.97"/>
    <x v="0"/>
    <x v="0"/>
    <x v="1"/>
    <x v="11"/>
    <s v="Cataluña"/>
    <x v="2"/>
    <n v="1"/>
    <n v="2699.9700000000003"/>
    <n v="0"/>
  </r>
  <r>
    <s v="ORD-102459"/>
    <x v="679"/>
    <x v="15"/>
    <x v="3"/>
    <n v="3"/>
    <n v="69.989999999999995"/>
    <x v="4"/>
    <n v="55.99"/>
    <n v="167.97"/>
    <x v="0"/>
    <x v="0"/>
    <x v="1"/>
    <x v="6"/>
    <s v="Comunitat Valenciana"/>
    <x v="0"/>
    <n v="4"/>
    <n v="209.96999999999997"/>
    <n v="41.999999999999972"/>
  </r>
  <r>
    <s v="ORD-102460"/>
    <x v="329"/>
    <x v="9"/>
    <x v="2"/>
    <n v="1"/>
    <n v="29.99"/>
    <x v="4"/>
    <n v="23.99"/>
    <n v="23.99"/>
    <x v="0"/>
    <x v="0"/>
    <x v="1"/>
    <x v="5"/>
    <s v="País Vasco"/>
    <x v="0"/>
    <n v="4"/>
    <n v="29.99"/>
    <n v="6"/>
  </r>
  <r>
    <s v="ORD-102461"/>
    <x v="696"/>
    <x v="4"/>
    <x v="4"/>
    <n v="1"/>
    <n v="349.99"/>
    <x v="2"/>
    <n v="332.49"/>
    <n v="332.49"/>
    <x v="1"/>
    <x v="2"/>
    <x v="4"/>
    <x v="12"/>
    <s v="Región de Murcia"/>
    <x v="1"/>
    <m/>
    <n v="349.99"/>
    <n v="17.5"/>
  </r>
  <r>
    <s v="ORD-102462"/>
    <x v="92"/>
    <x v="18"/>
    <x v="2"/>
    <n v="5"/>
    <n v="99.99"/>
    <x v="1"/>
    <n v="99.99"/>
    <n v="499.95"/>
    <x v="1"/>
    <x v="1"/>
    <x v="1"/>
    <x v="1"/>
    <s v="Comunitat Valenciana"/>
    <x v="1"/>
    <m/>
    <n v="499.95"/>
    <n v="0"/>
  </r>
  <r>
    <s v="ORD-102463"/>
    <x v="333"/>
    <x v="17"/>
    <x v="0"/>
    <n v="5"/>
    <n v="899.99"/>
    <x v="3"/>
    <n v="809.99"/>
    <n v="4049.95"/>
    <x v="3"/>
    <x v="0"/>
    <x v="3"/>
    <x v="10"/>
    <s v="Cantabria"/>
    <x v="1"/>
    <m/>
    <n v="4499.95"/>
    <n v="450"/>
  </r>
  <r>
    <s v="ORD-102464"/>
    <x v="411"/>
    <x v="11"/>
    <x v="0"/>
    <n v="1"/>
    <n v="349.99"/>
    <x v="1"/>
    <n v="349.99"/>
    <n v="349.99"/>
    <x v="0"/>
    <x v="0"/>
    <x v="2"/>
    <x v="5"/>
    <s v="País Vasco"/>
    <x v="0"/>
    <n v="1"/>
    <n v="349.99"/>
    <n v="0"/>
  </r>
  <r>
    <s v="ORD-102465"/>
    <x v="524"/>
    <x v="25"/>
    <x v="4"/>
    <n v="3"/>
    <n v="34.99"/>
    <x v="3"/>
    <n v="31.49"/>
    <n v="94.47"/>
    <x v="0"/>
    <x v="1"/>
    <x v="4"/>
    <x v="13"/>
    <s v="Andalucía"/>
    <x v="0"/>
    <n v="5"/>
    <n v="104.97"/>
    <n v="10.5"/>
  </r>
  <r>
    <s v="ORD-102466"/>
    <x v="314"/>
    <x v="27"/>
    <x v="1"/>
    <n v="5"/>
    <n v="49.99"/>
    <x v="3"/>
    <n v="44.99"/>
    <n v="224.95"/>
    <x v="2"/>
    <x v="1"/>
    <x v="3"/>
    <x v="0"/>
    <s v="Andalucía"/>
    <x v="0"/>
    <m/>
    <n v="249.95000000000002"/>
    <n v="25.000000000000028"/>
  </r>
  <r>
    <s v="ORD-102467"/>
    <x v="423"/>
    <x v="27"/>
    <x v="1"/>
    <n v="5"/>
    <n v="49.99"/>
    <x v="2"/>
    <n v="47.49"/>
    <n v="237.45"/>
    <x v="0"/>
    <x v="0"/>
    <x v="0"/>
    <x v="7"/>
    <s v="Castilla y León"/>
    <x v="1"/>
    <n v="1"/>
    <n v="249.95000000000002"/>
    <n v="12.500000000000028"/>
  </r>
  <r>
    <s v="ORD-102468"/>
    <x v="162"/>
    <x v="24"/>
    <x v="3"/>
    <n v="5"/>
    <n v="89.99"/>
    <x v="1"/>
    <n v="89.99"/>
    <n v="449.95"/>
    <x v="4"/>
    <x v="1"/>
    <x v="0"/>
    <x v="2"/>
    <s v="Navarra"/>
    <x v="1"/>
    <m/>
    <n v="449.95"/>
    <n v="0"/>
  </r>
  <r>
    <s v="ORD-102469"/>
    <x v="413"/>
    <x v="11"/>
    <x v="0"/>
    <n v="5"/>
    <n v="349.99"/>
    <x v="0"/>
    <n v="297.49"/>
    <n v="1487.45"/>
    <x v="0"/>
    <x v="1"/>
    <x v="3"/>
    <x v="8"/>
    <s v="La Rioja"/>
    <x v="1"/>
    <n v="3"/>
    <n v="1749.95"/>
    <n v="262.5"/>
  </r>
  <r>
    <s v="ORD-102470"/>
    <x v="12"/>
    <x v="2"/>
    <x v="2"/>
    <n v="4"/>
    <n v="299.99"/>
    <x v="0"/>
    <n v="254.99"/>
    <n v="1019.96"/>
    <x v="0"/>
    <x v="0"/>
    <x v="0"/>
    <x v="11"/>
    <s v="Cataluña"/>
    <x v="2"/>
    <n v="1"/>
    <n v="1199.96"/>
    <n v="180"/>
  </r>
  <r>
    <s v="ORD-102471"/>
    <x v="89"/>
    <x v="25"/>
    <x v="4"/>
    <n v="5"/>
    <n v="34.99"/>
    <x v="3"/>
    <n v="31.49"/>
    <n v="157.44999999999999"/>
    <x v="1"/>
    <x v="2"/>
    <x v="0"/>
    <x v="7"/>
    <s v="Castilla y León"/>
    <x v="1"/>
    <m/>
    <n v="174.95000000000002"/>
    <n v="17.500000000000028"/>
  </r>
  <r>
    <s v="ORD-102472"/>
    <x v="34"/>
    <x v="28"/>
    <x v="0"/>
    <n v="4"/>
    <n v="499.99"/>
    <x v="0"/>
    <n v="424.99"/>
    <n v="1699.96"/>
    <x v="1"/>
    <x v="1"/>
    <x v="0"/>
    <x v="11"/>
    <s v="Cataluña"/>
    <x v="2"/>
    <m/>
    <n v="1999.96"/>
    <n v="300"/>
  </r>
  <r>
    <s v="ORD-102473"/>
    <x v="331"/>
    <x v="27"/>
    <x v="1"/>
    <n v="1"/>
    <n v="49.99"/>
    <x v="2"/>
    <n v="47.49"/>
    <n v="47.49"/>
    <x v="0"/>
    <x v="0"/>
    <x v="1"/>
    <x v="3"/>
    <s v="Comunidad de Madrid"/>
    <x v="2"/>
    <n v="5"/>
    <n v="49.99"/>
    <n v="2.5"/>
  </r>
  <r>
    <s v="ORD-102474"/>
    <x v="576"/>
    <x v="8"/>
    <x v="2"/>
    <n v="2"/>
    <n v="59.99"/>
    <x v="1"/>
    <n v="59.99"/>
    <n v="119.98"/>
    <x v="0"/>
    <x v="0"/>
    <x v="0"/>
    <x v="1"/>
    <s v="Comunitat Valenciana"/>
    <x v="1"/>
    <n v="4"/>
    <n v="119.98"/>
    <n v="0"/>
  </r>
  <r>
    <s v="ORD-102475"/>
    <x v="630"/>
    <x v="12"/>
    <x v="2"/>
    <n v="3"/>
    <n v="189.99"/>
    <x v="4"/>
    <n v="151.99"/>
    <n v="455.97"/>
    <x v="3"/>
    <x v="1"/>
    <x v="3"/>
    <x v="8"/>
    <s v="La Rioja"/>
    <x v="1"/>
    <m/>
    <n v="569.97"/>
    <n v="114"/>
  </r>
  <r>
    <s v="ORD-102476"/>
    <x v="259"/>
    <x v="3"/>
    <x v="3"/>
    <n v="1"/>
    <n v="34.99"/>
    <x v="1"/>
    <n v="34.99"/>
    <n v="34.99"/>
    <x v="1"/>
    <x v="0"/>
    <x v="2"/>
    <x v="5"/>
    <s v="País Vasco"/>
    <x v="0"/>
    <m/>
    <n v="34.99"/>
    <n v="0"/>
  </r>
  <r>
    <s v="ORD-102477"/>
    <x v="109"/>
    <x v="24"/>
    <x v="3"/>
    <n v="4"/>
    <n v="89.99"/>
    <x v="4"/>
    <n v="71.989999999999995"/>
    <n v="287.95999999999998"/>
    <x v="0"/>
    <x v="0"/>
    <x v="3"/>
    <x v="2"/>
    <s v="Navarra"/>
    <x v="1"/>
    <n v="1"/>
    <n v="359.96"/>
    <n v="72"/>
  </r>
  <r>
    <s v="ORD-102478"/>
    <x v="184"/>
    <x v="26"/>
    <x v="1"/>
    <n v="3"/>
    <n v="599.99"/>
    <x v="4"/>
    <n v="479.99"/>
    <n v="1439.97"/>
    <x v="0"/>
    <x v="0"/>
    <x v="3"/>
    <x v="0"/>
    <s v="Andalucía"/>
    <x v="0"/>
    <n v="5"/>
    <n v="1799.97"/>
    <n v="360"/>
  </r>
  <r>
    <s v="ORD-102479"/>
    <x v="83"/>
    <x v="3"/>
    <x v="3"/>
    <n v="2"/>
    <n v="34.99"/>
    <x v="1"/>
    <n v="34.99"/>
    <n v="69.98"/>
    <x v="2"/>
    <x v="0"/>
    <x v="3"/>
    <x v="14"/>
    <s v="Aragón"/>
    <x v="0"/>
    <m/>
    <n v="69.98"/>
    <n v="0"/>
  </r>
  <r>
    <s v="ORD-102480"/>
    <x v="396"/>
    <x v="8"/>
    <x v="2"/>
    <n v="2"/>
    <n v="59.99"/>
    <x v="4"/>
    <n v="47.99"/>
    <n v="95.98"/>
    <x v="1"/>
    <x v="0"/>
    <x v="1"/>
    <x v="2"/>
    <s v="Navarra"/>
    <x v="1"/>
    <m/>
    <n v="119.98"/>
    <n v="24"/>
  </r>
  <r>
    <s v="ORD-102481"/>
    <x v="698"/>
    <x v="0"/>
    <x v="0"/>
    <n v="4"/>
    <n v="45.99"/>
    <x v="0"/>
    <n v="39.090000000000003"/>
    <n v="156.36000000000001"/>
    <x v="0"/>
    <x v="0"/>
    <x v="4"/>
    <x v="1"/>
    <s v="Comunitat Valenciana"/>
    <x v="1"/>
    <n v="1"/>
    <n v="183.96"/>
    <n v="27.599999999999994"/>
  </r>
  <r>
    <s v="ORD-102482"/>
    <x v="676"/>
    <x v="22"/>
    <x v="4"/>
    <n v="4"/>
    <n v="44.99"/>
    <x v="1"/>
    <n v="44.99"/>
    <n v="179.96"/>
    <x v="2"/>
    <x v="0"/>
    <x v="0"/>
    <x v="11"/>
    <s v="Cataluña"/>
    <x v="2"/>
    <m/>
    <n v="179.96"/>
    <n v="0"/>
  </r>
  <r>
    <s v="ORD-102483"/>
    <x v="172"/>
    <x v="3"/>
    <x v="3"/>
    <n v="4"/>
    <n v="34.99"/>
    <x v="0"/>
    <n v="29.74"/>
    <n v="118.96"/>
    <x v="1"/>
    <x v="0"/>
    <x v="1"/>
    <x v="5"/>
    <s v="País Vasco"/>
    <x v="0"/>
    <m/>
    <n v="139.96"/>
    <n v="21.000000000000014"/>
  </r>
  <r>
    <s v="ORD-102484"/>
    <x v="64"/>
    <x v="6"/>
    <x v="0"/>
    <n v="4"/>
    <n v="89.99"/>
    <x v="1"/>
    <n v="89.99"/>
    <n v="359.96"/>
    <x v="0"/>
    <x v="0"/>
    <x v="4"/>
    <x v="6"/>
    <s v="Comunitat Valenciana"/>
    <x v="0"/>
    <n v="1"/>
    <n v="359.96"/>
    <n v="0"/>
  </r>
  <r>
    <s v="ORD-102485"/>
    <x v="331"/>
    <x v="22"/>
    <x v="4"/>
    <n v="5"/>
    <n v="44.99"/>
    <x v="4"/>
    <n v="35.99"/>
    <n v="179.95"/>
    <x v="3"/>
    <x v="2"/>
    <x v="1"/>
    <x v="7"/>
    <s v="Castilla y León"/>
    <x v="1"/>
    <m/>
    <n v="224.95000000000002"/>
    <n v="45.000000000000028"/>
  </r>
  <r>
    <s v="ORD-102486"/>
    <x v="95"/>
    <x v="19"/>
    <x v="0"/>
    <n v="5"/>
    <n v="1199.99"/>
    <x v="1"/>
    <n v="1199.99"/>
    <n v="5999.95"/>
    <x v="0"/>
    <x v="1"/>
    <x v="3"/>
    <x v="1"/>
    <s v="Comunitat Valenciana"/>
    <x v="1"/>
    <n v="4"/>
    <n v="5999.95"/>
    <n v="0"/>
  </r>
  <r>
    <s v="ORD-102487"/>
    <x v="427"/>
    <x v="11"/>
    <x v="0"/>
    <n v="2"/>
    <n v="349.99"/>
    <x v="4"/>
    <n v="279.99"/>
    <n v="559.98"/>
    <x v="0"/>
    <x v="1"/>
    <x v="4"/>
    <x v="1"/>
    <s v="Comunitat Valenciana"/>
    <x v="1"/>
    <n v="4"/>
    <n v="699.98"/>
    <n v="140"/>
  </r>
  <r>
    <s v="ORD-102488"/>
    <x v="578"/>
    <x v="22"/>
    <x v="4"/>
    <n v="3"/>
    <n v="44.99"/>
    <x v="2"/>
    <n v="42.74"/>
    <n v="128.22"/>
    <x v="0"/>
    <x v="0"/>
    <x v="0"/>
    <x v="10"/>
    <s v="Cantabria"/>
    <x v="1"/>
    <n v="2"/>
    <n v="134.97"/>
    <n v="6.75"/>
  </r>
  <r>
    <s v="ORD-102489"/>
    <x v="652"/>
    <x v="8"/>
    <x v="2"/>
    <n v="4"/>
    <n v="59.99"/>
    <x v="1"/>
    <n v="59.99"/>
    <n v="239.96"/>
    <x v="0"/>
    <x v="2"/>
    <x v="0"/>
    <x v="11"/>
    <s v="Cataluña"/>
    <x v="2"/>
    <n v="5"/>
    <n v="239.96"/>
    <n v="0"/>
  </r>
  <r>
    <s v="ORD-102490"/>
    <x v="397"/>
    <x v="28"/>
    <x v="0"/>
    <n v="4"/>
    <n v="499.99"/>
    <x v="1"/>
    <n v="499.99"/>
    <n v="1999.96"/>
    <x v="0"/>
    <x v="1"/>
    <x v="1"/>
    <x v="14"/>
    <s v="Aragón"/>
    <x v="0"/>
    <n v="5"/>
    <n v="1999.96"/>
    <n v="0"/>
  </r>
  <r>
    <s v="ORD-102491"/>
    <x v="380"/>
    <x v="26"/>
    <x v="1"/>
    <n v="5"/>
    <n v="599.99"/>
    <x v="1"/>
    <n v="599.99"/>
    <n v="2999.95"/>
    <x v="4"/>
    <x v="0"/>
    <x v="4"/>
    <x v="9"/>
    <s v="Asturias"/>
    <x v="1"/>
    <m/>
    <n v="2999.95"/>
    <n v="0"/>
  </r>
  <r>
    <s v="ORD-102492"/>
    <x v="106"/>
    <x v="29"/>
    <x v="0"/>
    <n v="3"/>
    <n v="129.99"/>
    <x v="1"/>
    <n v="129.99"/>
    <n v="389.97"/>
    <x v="0"/>
    <x v="1"/>
    <x v="0"/>
    <x v="7"/>
    <s v="Castilla y León"/>
    <x v="1"/>
    <n v="3"/>
    <n v="389.97"/>
    <n v="0"/>
  </r>
  <r>
    <s v="ORD-102493"/>
    <x v="701"/>
    <x v="15"/>
    <x v="3"/>
    <n v="3"/>
    <n v="69.989999999999995"/>
    <x v="1"/>
    <n v="69.989999999999995"/>
    <n v="209.97"/>
    <x v="0"/>
    <x v="0"/>
    <x v="1"/>
    <x v="13"/>
    <s v="Andalucía"/>
    <x v="0"/>
    <n v="3"/>
    <n v="209.96999999999997"/>
    <n v="0"/>
  </r>
  <r>
    <s v="ORD-102494"/>
    <x v="369"/>
    <x v="26"/>
    <x v="1"/>
    <n v="3"/>
    <n v="599.99"/>
    <x v="0"/>
    <n v="509.99"/>
    <n v="1529.97"/>
    <x v="0"/>
    <x v="2"/>
    <x v="0"/>
    <x v="0"/>
    <s v="Andalucía"/>
    <x v="0"/>
    <n v="2"/>
    <n v="1799.97"/>
    <n v="270"/>
  </r>
  <r>
    <s v="ORD-102495"/>
    <x v="409"/>
    <x v="11"/>
    <x v="0"/>
    <n v="4"/>
    <n v="349.99"/>
    <x v="1"/>
    <n v="349.99"/>
    <n v="1399.96"/>
    <x v="1"/>
    <x v="2"/>
    <x v="1"/>
    <x v="1"/>
    <s v="Comunitat Valenciana"/>
    <x v="1"/>
    <m/>
    <n v="1399.96"/>
    <n v="0"/>
  </r>
  <r>
    <s v="ORD-102496"/>
    <x v="389"/>
    <x v="12"/>
    <x v="2"/>
    <n v="5"/>
    <n v="189.99"/>
    <x v="0"/>
    <n v="161.49"/>
    <n v="807.45"/>
    <x v="2"/>
    <x v="1"/>
    <x v="4"/>
    <x v="11"/>
    <s v="Cataluña"/>
    <x v="2"/>
    <m/>
    <n v="949.95"/>
    <n v="142.5"/>
  </r>
  <r>
    <s v="ORD-102497"/>
    <x v="280"/>
    <x v="18"/>
    <x v="2"/>
    <n v="2"/>
    <n v="99.99"/>
    <x v="1"/>
    <n v="99.99"/>
    <n v="199.98"/>
    <x v="1"/>
    <x v="1"/>
    <x v="1"/>
    <x v="9"/>
    <s v="Asturias"/>
    <x v="1"/>
    <m/>
    <n v="199.98"/>
    <n v="0"/>
  </r>
  <r>
    <s v="ORD-102498"/>
    <x v="468"/>
    <x v="29"/>
    <x v="0"/>
    <n v="1"/>
    <n v="129.99"/>
    <x v="1"/>
    <n v="129.99"/>
    <n v="129.99"/>
    <x v="2"/>
    <x v="1"/>
    <x v="1"/>
    <x v="7"/>
    <s v="Castilla y León"/>
    <x v="1"/>
    <m/>
    <n v="129.99"/>
    <n v="0"/>
  </r>
  <r>
    <s v="ORD-102499"/>
    <x v="534"/>
    <x v="23"/>
    <x v="4"/>
    <n v="4"/>
    <n v="24.99"/>
    <x v="1"/>
    <n v="24.99"/>
    <n v="99.96"/>
    <x v="1"/>
    <x v="1"/>
    <x v="2"/>
    <x v="9"/>
    <s v="Asturias"/>
    <x v="1"/>
    <m/>
    <n v="99.96"/>
    <n v="0"/>
  </r>
  <r>
    <s v="ORD-102500"/>
    <x v="359"/>
    <x v="27"/>
    <x v="1"/>
    <n v="4"/>
    <n v="49.99"/>
    <x v="1"/>
    <n v="49.99"/>
    <n v="199.96"/>
    <x v="2"/>
    <x v="0"/>
    <x v="1"/>
    <x v="5"/>
    <s v="País Vasco"/>
    <x v="0"/>
    <m/>
    <n v="199.96"/>
    <n v="0"/>
  </r>
  <r>
    <s v="ORD-102501"/>
    <x v="518"/>
    <x v="20"/>
    <x v="3"/>
    <n v="5"/>
    <n v="39.99"/>
    <x v="4"/>
    <n v="31.99"/>
    <n v="159.94999999999999"/>
    <x v="4"/>
    <x v="1"/>
    <x v="3"/>
    <x v="14"/>
    <s v="Aragón"/>
    <x v="0"/>
    <m/>
    <n v="199.95000000000002"/>
    <n v="40.000000000000028"/>
  </r>
  <r>
    <s v="ORD-102502"/>
    <x v="702"/>
    <x v="7"/>
    <x v="3"/>
    <n v="5"/>
    <n v="19.989999999999998"/>
    <x v="1"/>
    <n v="19.989999999999998"/>
    <n v="99.95"/>
    <x v="0"/>
    <x v="2"/>
    <x v="0"/>
    <x v="0"/>
    <s v="Andalucía"/>
    <x v="0"/>
    <n v="1"/>
    <n v="99.949999999999989"/>
    <n v="0"/>
  </r>
  <r>
    <s v="ORD-102503"/>
    <x v="239"/>
    <x v="6"/>
    <x v="0"/>
    <n v="4"/>
    <n v="89.99"/>
    <x v="2"/>
    <n v="85.49"/>
    <n v="341.96"/>
    <x v="0"/>
    <x v="1"/>
    <x v="0"/>
    <x v="5"/>
    <s v="País Vasco"/>
    <x v="0"/>
    <n v="4"/>
    <n v="359.96"/>
    <n v="18"/>
  </r>
  <r>
    <s v="ORD-102504"/>
    <x v="233"/>
    <x v="29"/>
    <x v="0"/>
    <n v="3"/>
    <n v="129.99"/>
    <x v="1"/>
    <n v="129.99"/>
    <n v="389.97"/>
    <x v="0"/>
    <x v="3"/>
    <x v="0"/>
    <x v="9"/>
    <s v="Asturias"/>
    <x v="1"/>
    <n v="4"/>
    <n v="389.97"/>
    <n v="0"/>
  </r>
  <r>
    <s v="ORD-102505"/>
    <x v="516"/>
    <x v="25"/>
    <x v="4"/>
    <n v="5"/>
    <n v="34.99"/>
    <x v="1"/>
    <n v="34.99"/>
    <n v="174.95"/>
    <x v="2"/>
    <x v="0"/>
    <x v="0"/>
    <x v="4"/>
    <s v="Castilla y León"/>
    <x v="1"/>
    <m/>
    <n v="174.95000000000002"/>
    <n v="0"/>
  </r>
  <r>
    <s v="ORD-102506"/>
    <x v="567"/>
    <x v="27"/>
    <x v="1"/>
    <n v="2"/>
    <n v="49.99"/>
    <x v="2"/>
    <n v="47.49"/>
    <n v="94.98"/>
    <x v="1"/>
    <x v="0"/>
    <x v="1"/>
    <x v="7"/>
    <s v="Castilla y León"/>
    <x v="1"/>
    <m/>
    <n v="99.98"/>
    <n v="5"/>
  </r>
  <r>
    <s v="ORD-102507"/>
    <x v="666"/>
    <x v="18"/>
    <x v="2"/>
    <n v="3"/>
    <n v="99.99"/>
    <x v="1"/>
    <n v="99.99"/>
    <n v="299.97000000000003"/>
    <x v="1"/>
    <x v="0"/>
    <x v="3"/>
    <x v="11"/>
    <s v="Cataluña"/>
    <x v="2"/>
    <m/>
    <n v="299.96999999999997"/>
    <n v="0"/>
  </r>
  <r>
    <s v="ORD-102508"/>
    <x v="650"/>
    <x v="14"/>
    <x v="1"/>
    <n v="3"/>
    <n v="249.99"/>
    <x v="4"/>
    <n v="199.99"/>
    <n v="599.97"/>
    <x v="0"/>
    <x v="2"/>
    <x v="3"/>
    <x v="13"/>
    <s v="Andalucía"/>
    <x v="0"/>
    <n v="4"/>
    <n v="749.97"/>
    <n v="150"/>
  </r>
  <r>
    <s v="ORD-102509"/>
    <x v="154"/>
    <x v="14"/>
    <x v="1"/>
    <n v="5"/>
    <n v="249.99"/>
    <x v="4"/>
    <n v="199.99"/>
    <n v="999.95"/>
    <x v="0"/>
    <x v="2"/>
    <x v="3"/>
    <x v="4"/>
    <s v="Castilla y León"/>
    <x v="1"/>
    <n v="3"/>
    <n v="1249.95"/>
    <n v="250"/>
  </r>
  <r>
    <s v="ORD-102510"/>
    <x v="548"/>
    <x v="16"/>
    <x v="1"/>
    <n v="5"/>
    <n v="79.989999999999995"/>
    <x v="0"/>
    <n v="67.989999999999995"/>
    <n v="339.95"/>
    <x v="0"/>
    <x v="0"/>
    <x v="2"/>
    <x v="12"/>
    <s v="Región de Murcia"/>
    <x v="1"/>
    <n v="2"/>
    <n v="399.95"/>
    <n v="60"/>
  </r>
  <r>
    <s v="ORD-102511"/>
    <x v="701"/>
    <x v="20"/>
    <x v="3"/>
    <n v="2"/>
    <n v="39.99"/>
    <x v="1"/>
    <n v="39.99"/>
    <n v="79.98"/>
    <x v="2"/>
    <x v="1"/>
    <x v="3"/>
    <x v="8"/>
    <s v="La Rioja"/>
    <x v="1"/>
    <m/>
    <n v="79.98"/>
    <n v="0"/>
  </r>
  <r>
    <s v="ORD-102512"/>
    <x v="396"/>
    <x v="2"/>
    <x v="2"/>
    <n v="3"/>
    <n v="299.99"/>
    <x v="1"/>
    <n v="299.99"/>
    <n v="899.97"/>
    <x v="0"/>
    <x v="0"/>
    <x v="3"/>
    <x v="4"/>
    <s v="Castilla y León"/>
    <x v="1"/>
    <n v="2"/>
    <n v="899.97"/>
    <n v="0"/>
  </r>
  <r>
    <s v="ORD-102513"/>
    <x v="282"/>
    <x v="26"/>
    <x v="1"/>
    <n v="2"/>
    <n v="599.99"/>
    <x v="3"/>
    <n v="539.99"/>
    <n v="1079.98"/>
    <x v="0"/>
    <x v="2"/>
    <x v="0"/>
    <x v="1"/>
    <s v="Comunitat Valenciana"/>
    <x v="1"/>
    <n v="1"/>
    <n v="1199.98"/>
    <n v="120"/>
  </r>
  <r>
    <s v="ORD-102514"/>
    <x v="406"/>
    <x v="12"/>
    <x v="2"/>
    <n v="5"/>
    <n v="189.99"/>
    <x v="2"/>
    <n v="180.49"/>
    <n v="902.45"/>
    <x v="0"/>
    <x v="2"/>
    <x v="4"/>
    <x v="4"/>
    <s v="Castilla y León"/>
    <x v="1"/>
    <n v="5"/>
    <n v="949.95"/>
    <n v="47.5"/>
  </r>
  <r>
    <s v="ORD-102515"/>
    <x v="431"/>
    <x v="29"/>
    <x v="0"/>
    <n v="5"/>
    <n v="129.99"/>
    <x v="4"/>
    <n v="103.99"/>
    <n v="519.95000000000005"/>
    <x v="0"/>
    <x v="1"/>
    <x v="3"/>
    <x v="3"/>
    <s v="Comunidad de Madrid"/>
    <x v="2"/>
    <n v="2"/>
    <n v="649.95000000000005"/>
    <n v="130"/>
  </r>
  <r>
    <s v="ORD-102516"/>
    <x v="76"/>
    <x v="11"/>
    <x v="0"/>
    <n v="1"/>
    <n v="349.99"/>
    <x v="1"/>
    <n v="349.99"/>
    <n v="349.99"/>
    <x v="2"/>
    <x v="0"/>
    <x v="0"/>
    <x v="3"/>
    <s v="Comunidad de Madrid"/>
    <x v="2"/>
    <m/>
    <n v="349.99"/>
    <n v="0"/>
  </r>
  <r>
    <s v="ORD-102517"/>
    <x v="703"/>
    <x v="19"/>
    <x v="0"/>
    <n v="1"/>
    <n v="1199.99"/>
    <x v="0"/>
    <n v="1019.99"/>
    <n v="1019.99"/>
    <x v="0"/>
    <x v="0"/>
    <x v="0"/>
    <x v="12"/>
    <s v="Región de Murcia"/>
    <x v="1"/>
    <n v="1"/>
    <n v="1199.99"/>
    <n v="180"/>
  </r>
  <r>
    <s v="ORD-102518"/>
    <x v="401"/>
    <x v="25"/>
    <x v="4"/>
    <n v="5"/>
    <n v="34.99"/>
    <x v="0"/>
    <n v="29.74"/>
    <n v="148.69999999999999"/>
    <x v="2"/>
    <x v="2"/>
    <x v="3"/>
    <x v="4"/>
    <s v="Castilla y León"/>
    <x v="1"/>
    <m/>
    <n v="174.95000000000002"/>
    <n v="26.250000000000028"/>
  </r>
  <r>
    <s v="ORD-102519"/>
    <x v="198"/>
    <x v="0"/>
    <x v="0"/>
    <n v="1"/>
    <n v="45.99"/>
    <x v="3"/>
    <n v="41.39"/>
    <n v="41.39"/>
    <x v="0"/>
    <x v="0"/>
    <x v="3"/>
    <x v="5"/>
    <s v="País Vasco"/>
    <x v="0"/>
    <n v="1"/>
    <n v="45.99"/>
    <n v="4.6000000000000014"/>
  </r>
  <r>
    <s v="ORD-102520"/>
    <x v="231"/>
    <x v="17"/>
    <x v="0"/>
    <n v="2"/>
    <n v="899.99"/>
    <x v="3"/>
    <n v="809.99"/>
    <n v="1619.98"/>
    <x v="0"/>
    <x v="1"/>
    <x v="1"/>
    <x v="14"/>
    <s v="Aragón"/>
    <x v="0"/>
    <n v="1"/>
    <n v="1799.98"/>
    <n v="180"/>
  </r>
  <r>
    <s v="ORD-102521"/>
    <x v="344"/>
    <x v="14"/>
    <x v="1"/>
    <n v="1"/>
    <n v="249.99"/>
    <x v="4"/>
    <n v="199.99"/>
    <n v="199.99"/>
    <x v="0"/>
    <x v="2"/>
    <x v="1"/>
    <x v="13"/>
    <s v="Andalucía"/>
    <x v="0"/>
    <n v="5"/>
    <n v="249.99"/>
    <n v="50"/>
  </r>
  <r>
    <s v="ORD-102522"/>
    <x v="469"/>
    <x v="11"/>
    <x v="0"/>
    <n v="2"/>
    <n v="349.99"/>
    <x v="1"/>
    <n v="349.99"/>
    <n v="699.98"/>
    <x v="0"/>
    <x v="3"/>
    <x v="0"/>
    <x v="8"/>
    <s v="La Rioja"/>
    <x v="1"/>
    <n v="1"/>
    <n v="699.98"/>
    <n v="0"/>
  </r>
  <r>
    <s v="ORD-102523"/>
    <x v="332"/>
    <x v="19"/>
    <x v="0"/>
    <n v="2"/>
    <n v="1199.99"/>
    <x v="0"/>
    <n v="1019.99"/>
    <n v="2039.98"/>
    <x v="1"/>
    <x v="1"/>
    <x v="1"/>
    <x v="3"/>
    <s v="Comunidad de Madrid"/>
    <x v="2"/>
    <m/>
    <n v="2399.98"/>
    <n v="360"/>
  </r>
  <r>
    <s v="ORD-102524"/>
    <x v="195"/>
    <x v="19"/>
    <x v="0"/>
    <n v="3"/>
    <n v="1199.99"/>
    <x v="4"/>
    <n v="959.99"/>
    <n v="2879.97"/>
    <x v="2"/>
    <x v="3"/>
    <x v="3"/>
    <x v="14"/>
    <s v="Aragón"/>
    <x v="0"/>
    <m/>
    <n v="3599.9700000000003"/>
    <n v="720.00000000000045"/>
  </r>
  <r>
    <s v="ORD-102525"/>
    <x v="108"/>
    <x v="25"/>
    <x v="4"/>
    <n v="1"/>
    <n v="34.99"/>
    <x v="1"/>
    <n v="34.99"/>
    <n v="34.99"/>
    <x v="0"/>
    <x v="0"/>
    <x v="3"/>
    <x v="10"/>
    <s v="Cantabria"/>
    <x v="1"/>
    <n v="4"/>
    <n v="34.99"/>
    <n v="0"/>
  </r>
  <r>
    <s v="ORD-102526"/>
    <x v="314"/>
    <x v="7"/>
    <x v="3"/>
    <n v="1"/>
    <n v="19.989999999999998"/>
    <x v="1"/>
    <n v="19.989999999999998"/>
    <n v="19.989999999999998"/>
    <x v="0"/>
    <x v="0"/>
    <x v="3"/>
    <x v="9"/>
    <s v="Asturias"/>
    <x v="1"/>
    <n v="1"/>
    <n v="19.989999999999998"/>
    <n v="0"/>
  </r>
  <r>
    <s v="ORD-102527"/>
    <x v="283"/>
    <x v="6"/>
    <x v="0"/>
    <n v="2"/>
    <n v="89.99"/>
    <x v="1"/>
    <n v="89.99"/>
    <n v="179.98"/>
    <x v="0"/>
    <x v="1"/>
    <x v="0"/>
    <x v="12"/>
    <s v="Región de Murcia"/>
    <x v="1"/>
    <n v="5"/>
    <n v="179.98"/>
    <n v="0"/>
  </r>
  <r>
    <s v="ORD-102528"/>
    <x v="437"/>
    <x v="7"/>
    <x v="3"/>
    <n v="5"/>
    <n v="19.989999999999998"/>
    <x v="2"/>
    <n v="18.989999999999998"/>
    <n v="94.95"/>
    <x v="0"/>
    <x v="0"/>
    <x v="1"/>
    <x v="1"/>
    <s v="Comunitat Valenciana"/>
    <x v="1"/>
    <n v="2"/>
    <n v="99.949999999999989"/>
    <n v="4.9999999999999858"/>
  </r>
  <r>
    <s v="ORD-102529"/>
    <x v="465"/>
    <x v="3"/>
    <x v="3"/>
    <n v="5"/>
    <n v="34.99"/>
    <x v="1"/>
    <n v="34.99"/>
    <n v="174.95"/>
    <x v="0"/>
    <x v="0"/>
    <x v="1"/>
    <x v="6"/>
    <s v="Comunitat Valenciana"/>
    <x v="0"/>
    <n v="5"/>
    <n v="174.95000000000002"/>
    <n v="0"/>
  </r>
  <r>
    <s v="ORD-102530"/>
    <x v="386"/>
    <x v="20"/>
    <x v="3"/>
    <n v="2"/>
    <n v="39.99"/>
    <x v="2"/>
    <n v="37.99"/>
    <n v="75.98"/>
    <x v="1"/>
    <x v="0"/>
    <x v="0"/>
    <x v="2"/>
    <s v="Navarra"/>
    <x v="1"/>
    <m/>
    <n v="79.98"/>
    <n v="4"/>
  </r>
  <r>
    <s v="ORD-102531"/>
    <x v="535"/>
    <x v="5"/>
    <x v="1"/>
    <n v="5"/>
    <n v="149.99"/>
    <x v="3"/>
    <n v="134.99"/>
    <n v="674.95"/>
    <x v="2"/>
    <x v="0"/>
    <x v="3"/>
    <x v="1"/>
    <s v="Comunitat Valenciana"/>
    <x v="1"/>
    <m/>
    <n v="749.95"/>
    <n v="75"/>
  </r>
  <r>
    <s v="ORD-102532"/>
    <x v="596"/>
    <x v="12"/>
    <x v="2"/>
    <n v="4"/>
    <n v="189.99"/>
    <x v="4"/>
    <n v="151.99"/>
    <n v="607.96"/>
    <x v="1"/>
    <x v="0"/>
    <x v="2"/>
    <x v="14"/>
    <s v="Aragón"/>
    <x v="0"/>
    <m/>
    <n v="759.96"/>
    <n v="152"/>
  </r>
  <r>
    <s v="ORD-102533"/>
    <x v="547"/>
    <x v="29"/>
    <x v="0"/>
    <n v="3"/>
    <n v="129.99"/>
    <x v="2"/>
    <n v="123.49"/>
    <n v="370.47"/>
    <x v="2"/>
    <x v="1"/>
    <x v="3"/>
    <x v="1"/>
    <s v="Comunitat Valenciana"/>
    <x v="1"/>
    <m/>
    <n v="389.97"/>
    <n v="19.5"/>
  </r>
  <r>
    <s v="ORD-102534"/>
    <x v="181"/>
    <x v="27"/>
    <x v="1"/>
    <n v="2"/>
    <n v="49.99"/>
    <x v="1"/>
    <n v="49.99"/>
    <n v="99.98"/>
    <x v="0"/>
    <x v="0"/>
    <x v="2"/>
    <x v="11"/>
    <s v="Cataluña"/>
    <x v="2"/>
    <n v="3"/>
    <n v="99.98"/>
    <n v="0"/>
  </r>
  <r>
    <s v="ORD-102535"/>
    <x v="428"/>
    <x v="4"/>
    <x v="4"/>
    <n v="5"/>
    <n v="349.99"/>
    <x v="3"/>
    <n v="314.99"/>
    <n v="1574.95"/>
    <x v="0"/>
    <x v="0"/>
    <x v="0"/>
    <x v="8"/>
    <s v="La Rioja"/>
    <x v="1"/>
    <n v="1"/>
    <n v="1749.95"/>
    <n v="175"/>
  </r>
  <r>
    <s v="ORD-102536"/>
    <x v="90"/>
    <x v="4"/>
    <x v="4"/>
    <n v="1"/>
    <n v="349.99"/>
    <x v="4"/>
    <n v="279.99"/>
    <n v="279.99"/>
    <x v="3"/>
    <x v="1"/>
    <x v="4"/>
    <x v="4"/>
    <s v="Castilla y León"/>
    <x v="1"/>
    <m/>
    <n v="349.99"/>
    <n v="70"/>
  </r>
  <r>
    <s v="ORD-102537"/>
    <x v="534"/>
    <x v="8"/>
    <x v="2"/>
    <n v="4"/>
    <n v="59.99"/>
    <x v="1"/>
    <n v="59.99"/>
    <n v="239.96"/>
    <x v="0"/>
    <x v="3"/>
    <x v="0"/>
    <x v="14"/>
    <s v="Aragón"/>
    <x v="0"/>
    <n v="4"/>
    <n v="239.96"/>
    <n v="0"/>
  </r>
  <r>
    <s v="ORD-102538"/>
    <x v="384"/>
    <x v="13"/>
    <x v="3"/>
    <n v="1"/>
    <n v="49.99"/>
    <x v="0"/>
    <n v="42.49"/>
    <n v="42.49"/>
    <x v="1"/>
    <x v="0"/>
    <x v="1"/>
    <x v="12"/>
    <s v="Región de Murcia"/>
    <x v="1"/>
    <m/>
    <n v="49.99"/>
    <n v="7.5"/>
  </r>
  <r>
    <s v="ORD-102539"/>
    <x v="119"/>
    <x v="0"/>
    <x v="0"/>
    <n v="5"/>
    <n v="45.99"/>
    <x v="0"/>
    <n v="39.090000000000003"/>
    <n v="195.45"/>
    <x v="1"/>
    <x v="1"/>
    <x v="0"/>
    <x v="9"/>
    <s v="Asturias"/>
    <x v="1"/>
    <m/>
    <n v="229.95000000000002"/>
    <n v="34.500000000000028"/>
  </r>
  <r>
    <s v="ORD-102540"/>
    <x v="681"/>
    <x v="2"/>
    <x v="2"/>
    <n v="5"/>
    <n v="299.99"/>
    <x v="2"/>
    <n v="284.99"/>
    <n v="1424.95"/>
    <x v="3"/>
    <x v="0"/>
    <x v="0"/>
    <x v="13"/>
    <s v="Andalucía"/>
    <x v="0"/>
    <m/>
    <n v="1499.95"/>
    <n v="75"/>
  </r>
  <r>
    <s v="ORD-102541"/>
    <x v="567"/>
    <x v="16"/>
    <x v="1"/>
    <n v="3"/>
    <n v="79.989999999999995"/>
    <x v="3"/>
    <n v="71.989999999999995"/>
    <n v="215.97"/>
    <x v="0"/>
    <x v="0"/>
    <x v="1"/>
    <x v="12"/>
    <s v="Región de Murcia"/>
    <x v="1"/>
    <n v="3"/>
    <n v="239.96999999999997"/>
    <n v="23.999999999999972"/>
  </r>
  <r>
    <s v="ORD-102542"/>
    <x v="445"/>
    <x v="7"/>
    <x v="3"/>
    <n v="2"/>
    <n v="19.989999999999998"/>
    <x v="1"/>
    <n v="19.989999999999998"/>
    <n v="39.979999999999997"/>
    <x v="2"/>
    <x v="1"/>
    <x v="3"/>
    <x v="14"/>
    <s v="Aragón"/>
    <x v="0"/>
    <m/>
    <n v="39.979999999999997"/>
    <n v="0"/>
  </r>
  <r>
    <s v="ORD-102543"/>
    <x v="376"/>
    <x v="24"/>
    <x v="3"/>
    <n v="4"/>
    <n v="89.99"/>
    <x v="4"/>
    <n v="71.989999999999995"/>
    <n v="287.95999999999998"/>
    <x v="0"/>
    <x v="2"/>
    <x v="0"/>
    <x v="3"/>
    <s v="Comunidad de Madrid"/>
    <x v="2"/>
    <n v="3"/>
    <n v="359.96"/>
    <n v="72"/>
  </r>
  <r>
    <s v="ORD-102544"/>
    <x v="128"/>
    <x v="25"/>
    <x v="4"/>
    <n v="1"/>
    <n v="34.99"/>
    <x v="0"/>
    <n v="29.74"/>
    <n v="29.74"/>
    <x v="0"/>
    <x v="0"/>
    <x v="1"/>
    <x v="10"/>
    <s v="Cantabria"/>
    <x v="1"/>
    <n v="2"/>
    <n v="34.99"/>
    <n v="5.2500000000000036"/>
  </r>
  <r>
    <s v="ORD-102545"/>
    <x v="6"/>
    <x v="23"/>
    <x v="4"/>
    <n v="3"/>
    <n v="24.99"/>
    <x v="2"/>
    <n v="23.74"/>
    <n v="71.22"/>
    <x v="0"/>
    <x v="1"/>
    <x v="0"/>
    <x v="3"/>
    <s v="Comunidad de Madrid"/>
    <x v="2"/>
    <n v="2"/>
    <n v="74.97"/>
    <n v="3.75"/>
  </r>
  <r>
    <s v="ORD-102546"/>
    <x v="156"/>
    <x v="4"/>
    <x v="4"/>
    <n v="4"/>
    <n v="349.99"/>
    <x v="1"/>
    <n v="349.99"/>
    <n v="1399.96"/>
    <x v="0"/>
    <x v="1"/>
    <x v="0"/>
    <x v="4"/>
    <s v="Castilla y León"/>
    <x v="1"/>
    <n v="3"/>
    <n v="1399.96"/>
    <n v="0"/>
  </r>
  <r>
    <s v="ORD-102547"/>
    <x v="506"/>
    <x v="17"/>
    <x v="0"/>
    <n v="1"/>
    <n v="899.99"/>
    <x v="2"/>
    <n v="854.99"/>
    <n v="854.99"/>
    <x v="0"/>
    <x v="2"/>
    <x v="0"/>
    <x v="4"/>
    <s v="Castilla y León"/>
    <x v="1"/>
    <n v="3"/>
    <n v="899.99"/>
    <n v="45"/>
  </r>
  <r>
    <s v="ORD-102548"/>
    <x v="508"/>
    <x v="28"/>
    <x v="0"/>
    <n v="1"/>
    <n v="499.99"/>
    <x v="1"/>
    <n v="499.99"/>
    <n v="499.99"/>
    <x v="4"/>
    <x v="0"/>
    <x v="4"/>
    <x v="11"/>
    <s v="Cataluña"/>
    <x v="2"/>
    <m/>
    <n v="499.99"/>
    <n v="0"/>
  </r>
  <r>
    <s v="ORD-102549"/>
    <x v="242"/>
    <x v="19"/>
    <x v="0"/>
    <n v="4"/>
    <n v="1199.99"/>
    <x v="1"/>
    <n v="1199.99"/>
    <n v="4799.96"/>
    <x v="0"/>
    <x v="2"/>
    <x v="1"/>
    <x v="14"/>
    <s v="Aragón"/>
    <x v="0"/>
    <n v="1"/>
    <n v="4799.96"/>
    <n v="0"/>
  </r>
  <r>
    <s v="ORD-102550"/>
    <x v="141"/>
    <x v="0"/>
    <x v="0"/>
    <n v="5"/>
    <n v="45.99"/>
    <x v="1"/>
    <n v="45.99"/>
    <n v="229.95"/>
    <x v="4"/>
    <x v="0"/>
    <x v="3"/>
    <x v="1"/>
    <s v="Comunitat Valenciana"/>
    <x v="1"/>
    <m/>
    <n v="229.95000000000002"/>
    <n v="0"/>
  </r>
  <r>
    <s v="ORD-102551"/>
    <x v="286"/>
    <x v="25"/>
    <x v="4"/>
    <n v="1"/>
    <n v="34.99"/>
    <x v="1"/>
    <n v="34.99"/>
    <n v="34.99"/>
    <x v="0"/>
    <x v="1"/>
    <x v="0"/>
    <x v="11"/>
    <s v="Cataluña"/>
    <x v="2"/>
    <n v="3"/>
    <n v="34.99"/>
    <n v="0"/>
  </r>
  <r>
    <s v="ORD-102552"/>
    <x v="89"/>
    <x v="25"/>
    <x v="4"/>
    <n v="4"/>
    <n v="34.99"/>
    <x v="1"/>
    <n v="34.99"/>
    <n v="139.96"/>
    <x v="2"/>
    <x v="0"/>
    <x v="0"/>
    <x v="6"/>
    <s v="Comunitat Valenciana"/>
    <x v="0"/>
    <m/>
    <n v="139.96"/>
    <n v="0"/>
  </r>
  <r>
    <s v="ORD-102553"/>
    <x v="448"/>
    <x v="8"/>
    <x v="2"/>
    <n v="4"/>
    <n v="59.99"/>
    <x v="3"/>
    <n v="53.99"/>
    <n v="215.96"/>
    <x v="0"/>
    <x v="0"/>
    <x v="3"/>
    <x v="3"/>
    <s v="Comunidad de Madrid"/>
    <x v="2"/>
    <n v="1"/>
    <n v="239.96"/>
    <n v="24"/>
  </r>
  <r>
    <s v="ORD-102554"/>
    <x v="224"/>
    <x v="1"/>
    <x v="1"/>
    <n v="3"/>
    <n v="399.99"/>
    <x v="3"/>
    <n v="359.99"/>
    <n v="1079.97"/>
    <x v="1"/>
    <x v="0"/>
    <x v="2"/>
    <x v="10"/>
    <s v="Cantabria"/>
    <x v="1"/>
    <m/>
    <n v="1199.97"/>
    <n v="120"/>
  </r>
  <r>
    <s v="ORD-102555"/>
    <x v="462"/>
    <x v="8"/>
    <x v="2"/>
    <n v="5"/>
    <n v="59.99"/>
    <x v="3"/>
    <n v="53.99"/>
    <n v="269.95"/>
    <x v="0"/>
    <x v="1"/>
    <x v="0"/>
    <x v="1"/>
    <s v="Comunitat Valenciana"/>
    <x v="1"/>
    <n v="4"/>
    <n v="299.95"/>
    <n v="30"/>
  </r>
  <r>
    <s v="ORD-102556"/>
    <x v="87"/>
    <x v="11"/>
    <x v="0"/>
    <n v="5"/>
    <n v="349.99"/>
    <x v="1"/>
    <n v="349.99"/>
    <n v="1749.95"/>
    <x v="0"/>
    <x v="2"/>
    <x v="3"/>
    <x v="12"/>
    <s v="Región de Murcia"/>
    <x v="1"/>
    <n v="1"/>
    <n v="1749.95"/>
    <n v="0"/>
  </r>
  <r>
    <s v="ORD-102557"/>
    <x v="575"/>
    <x v="8"/>
    <x v="2"/>
    <n v="5"/>
    <n v="59.99"/>
    <x v="1"/>
    <n v="59.99"/>
    <n v="299.95"/>
    <x v="4"/>
    <x v="2"/>
    <x v="2"/>
    <x v="0"/>
    <s v="Andalucía"/>
    <x v="0"/>
    <m/>
    <n v="299.95"/>
    <n v="0"/>
  </r>
  <r>
    <s v="ORD-102558"/>
    <x v="199"/>
    <x v="21"/>
    <x v="0"/>
    <n v="1"/>
    <n v="799.99"/>
    <x v="1"/>
    <n v="799.99"/>
    <n v="799.99"/>
    <x v="0"/>
    <x v="0"/>
    <x v="1"/>
    <x v="3"/>
    <s v="Comunidad de Madrid"/>
    <x v="2"/>
    <n v="5"/>
    <n v="799.99"/>
    <n v="0"/>
  </r>
  <r>
    <s v="ORD-102559"/>
    <x v="307"/>
    <x v="28"/>
    <x v="0"/>
    <n v="2"/>
    <n v="499.99"/>
    <x v="1"/>
    <n v="499.99"/>
    <n v="999.98"/>
    <x v="0"/>
    <x v="0"/>
    <x v="2"/>
    <x v="5"/>
    <s v="País Vasco"/>
    <x v="0"/>
    <n v="3"/>
    <n v="999.98"/>
    <n v="0"/>
  </r>
  <r>
    <s v="ORD-102560"/>
    <x v="108"/>
    <x v="7"/>
    <x v="3"/>
    <n v="5"/>
    <n v="19.989999999999998"/>
    <x v="4"/>
    <n v="15.99"/>
    <n v="79.95"/>
    <x v="2"/>
    <x v="0"/>
    <x v="4"/>
    <x v="0"/>
    <s v="Andalucía"/>
    <x v="0"/>
    <m/>
    <n v="99.949999999999989"/>
    <n v="19.999999999999986"/>
  </r>
  <r>
    <s v="ORD-102561"/>
    <x v="55"/>
    <x v="14"/>
    <x v="1"/>
    <n v="1"/>
    <n v="249.99"/>
    <x v="2"/>
    <n v="237.49"/>
    <n v="237.49"/>
    <x v="2"/>
    <x v="0"/>
    <x v="1"/>
    <x v="7"/>
    <s v="Castilla y León"/>
    <x v="1"/>
    <m/>
    <n v="249.99"/>
    <n v="12.5"/>
  </r>
  <r>
    <s v="ORD-102562"/>
    <x v="454"/>
    <x v="21"/>
    <x v="0"/>
    <n v="5"/>
    <n v="799.99"/>
    <x v="3"/>
    <n v="719.99"/>
    <n v="3599.95"/>
    <x v="0"/>
    <x v="3"/>
    <x v="2"/>
    <x v="10"/>
    <s v="Cantabria"/>
    <x v="1"/>
    <n v="5"/>
    <n v="3999.95"/>
    <n v="400"/>
  </r>
  <r>
    <s v="ORD-102563"/>
    <x v="429"/>
    <x v="21"/>
    <x v="0"/>
    <n v="5"/>
    <n v="799.99"/>
    <x v="1"/>
    <n v="799.99"/>
    <n v="3999.95"/>
    <x v="4"/>
    <x v="2"/>
    <x v="3"/>
    <x v="14"/>
    <s v="Aragón"/>
    <x v="0"/>
    <m/>
    <n v="3999.95"/>
    <n v="0"/>
  </r>
  <r>
    <s v="ORD-102564"/>
    <x v="333"/>
    <x v="4"/>
    <x v="4"/>
    <n v="3"/>
    <n v="349.99"/>
    <x v="2"/>
    <n v="332.49"/>
    <n v="997.47"/>
    <x v="3"/>
    <x v="0"/>
    <x v="0"/>
    <x v="7"/>
    <s v="Castilla y León"/>
    <x v="1"/>
    <m/>
    <n v="1049.97"/>
    <n v="52.5"/>
  </r>
  <r>
    <s v="ORD-102565"/>
    <x v="206"/>
    <x v="25"/>
    <x v="4"/>
    <n v="4"/>
    <n v="34.99"/>
    <x v="1"/>
    <n v="34.99"/>
    <n v="139.96"/>
    <x v="1"/>
    <x v="0"/>
    <x v="1"/>
    <x v="13"/>
    <s v="Andalucía"/>
    <x v="0"/>
    <m/>
    <n v="139.96"/>
    <n v="0"/>
  </r>
  <r>
    <s v="ORD-102566"/>
    <x v="520"/>
    <x v="6"/>
    <x v="0"/>
    <n v="3"/>
    <n v="89.99"/>
    <x v="2"/>
    <n v="85.49"/>
    <n v="256.47000000000003"/>
    <x v="0"/>
    <x v="0"/>
    <x v="2"/>
    <x v="1"/>
    <s v="Comunitat Valenciana"/>
    <x v="1"/>
    <n v="5"/>
    <n v="269.96999999999997"/>
    <n v="13.499999999999943"/>
  </r>
  <r>
    <s v="ORD-102567"/>
    <x v="621"/>
    <x v="5"/>
    <x v="1"/>
    <n v="3"/>
    <n v="149.99"/>
    <x v="4"/>
    <n v="119.99"/>
    <n v="359.97"/>
    <x v="0"/>
    <x v="1"/>
    <x v="1"/>
    <x v="3"/>
    <s v="Comunidad de Madrid"/>
    <x v="2"/>
    <n v="1"/>
    <n v="449.97"/>
    <n v="90"/>
  </r>
  <r>
    <s v="ORD-102568"/>
    <x v="514"/>
    <x v="27"/>
    <x v="1"/>
    <n v="1"/>
    <n v="49.99"/>
    <x v="1"/>
    <n v="49.99"/>
    <n v="49.99"/>
    <x v="0"/>
    <x v="3"/>
    <x v="3"/>
    <x v="11"/>
    <s v="Cataluña"/>
    <x v="2"/>
    <n v="5"/>
    <n v="49.99"/>
    <n v="0"/>
  </r>
  <r>
    <s v="ORD-102569"/>
    <x v="275"/>
    <x v="0"/>
    <x v="0"/>
    <n v="5"/>
    <n v="45.99"/>
    <x v="0"/>
    <n v="39.090000000000003"/>
    <n v="195.45"/>
    <x v="0"/>
    <x v="2"/>
    <x v="1"/>
    <x v="14"/>
    <s v="Aragón"/>
    <x v="0"/>
    <n v="4"/>
    <n v="229.95000000000002"/>
    <n v="34.500000000000028"/>
  </r>
  <r>
    <s v="ORD-102570"/>
    <x v="596"/>
    <x v="20"/>
    <x v="3"/>
    <n v="1"/>
    <n v="39.99"/>
    <x v="0"/>
    <n v="33.99"/>
    <n v="33.99"/>
    <x v="1"/>
    <x v="1"/>
    <x v="3"/>
    <x v="6"/>
    <s v="Comunitat Valenciana"/>
    <x v="0"/>
    <m/>
    <n v="39.99"/>
    <n v="6"/>
  </r>
  <r>
    <s v="ORD-102571"/>
    <x v="611"/>
    <x v="15"/>
    <x v="3"/>
    <n v="2"/>
    <n v="69.989999999999995"/>
    <x v="1"/>
    <n v="69.989999999999995"/>
    <n v="139.97999999999999"/>
    <x v="2"/>
    <x v="0"/>
    <x v="4"/>
    <x v="4"/>
    <s v="Castilla y León"/>
    <x v="1"/>
    <m/>
    <n v="139.97999999999999"/>
    <n v="0"/>
  </r>
  <r>
    <s v="ORD-102572"/>
    <x v="596"/>
    <x v="29"/>
    <x v="0"/>
    <n v="1"/>
    <n v="129.99"/>
    <x v="1"/>
    <n v="129.99"/>
    <n v="129.99"/>
    <x v="1"/>
    <x v="0"/>
    <x v="0"/>
    <x v="6"/>
    <s v="Comunitat Valenciana"/>
    <x v="0"/>
    <m/>
    <n v="129.99"/>
    <n v="0"/>
  </r>
  <r>
    <s v="ORD-102573"/>
    <x v="552"/>
    <x v="15"/>
    <x v="3"/>
    <n v="1"/>
    <n v="69.989999999999995"/>
    <x v="1"/>
    <n v="69.989999999999995"/>
    <n v="69.989999999999995"/>
    <x v="0"/>
    <x v="2"/>
    <x v="1"/>
    <x v="13"/>
    <s v="Andalucía"/>
    <x v="0"/>
    <n v="1"/>
    <n v="69.989999999999995"/>
    <n v="0"/>
  </r>
  <r>
    <s v="ORD-102574"/>
    <x v="5"/>
    <x v="24"/>
    <x v="3"/>
    <n v="1"/>
    <n v="89.99"/>
    <x v="1"/>
    <n v="89.99"/>
    <n v="89.99"/>
    <x v="0"/>
    <x v="2"/>
    <x v="4"/>
    <x v="10"/>
    <s v="Cantabria"/>
    <x v="1"/>
    <n v="3"/>
    <n v="89.99"/>
    <n v="0"/>
  </r>
  <r>
    <s v="ORD-102575"/>
    <x v="699"/>
    <x v="12"/>
    <x v="2"/>
    <n v="5"/>
    <n v="189.99"/>
    <x v="1"/>
    <n v="189.99"/>
    <n v="949.95"/>
    <x v="0"/>
    <x v="1"/>
    <x v="0"/>
    <x v="4"/>
    <s v="Castilla y León"/>
    <x v="1"/>
    <n v="3"/>
    <n v="949.95"/>
    <n v="0"/>
  </r>
  <r>
    <s v="ORD-102576"/>
    <x v="147"/>
    <x v="25"/>
    <x v="4"/>
    <n v="4"/>
    <n v="34.99"/>
    <x v="1"/>
    <n v="34.99"/>
    <n v="139.96"/>
    <x v="1"/>
    <x v="0"/>
    <x v="0"/>
    <x v="10"/>
    <s v="Cantabria"/>
    <x v="1"/>
    <m/>
    <n v="139.96"/>
    <n v="0"/>
  </r>
  <r>
    <s v="ORD-102577"/>
    <x v="270"/>
    <x v="5"/>
    <x v="1"/>
    <n v="1"/>
    <n v="149.99"/>
    <x v="1"/>
    <n v="149.99"/>
    <n v="149.99"/>
    <x v="1"/>
    <x v="1"/>
    <x v="1"/>
    <x v="1"/>
    <s v="Comunitat Valenciana"/>
    <x v="1"/>
    <m/>
    <n v="149.99"/>
    <n v="0"/>
  </r>
  <r>
    <s v="ORD-102578"/>
    <x v="704"/>
    <x v="12"/>
    <x v="2"/>
    <n v="1"/>
    <n v="189.99"/>
    <x v="1"/>
    <n v="189.99"/>
    <n v="189.99"/>
    <x v="0"/>
    <x v="0"/>
    <x v="1"/>
    <x v="13"/>
    <s v="Andalucía"/>
    <x v="0"/>
    <n v="2"/>
    <n v="189.99"/>
    <n v="0"/>
  </r>
  <r>
    <s v="ORD-102579"/>
    <x v="93"/>
    <x v="18"/>
    <x v="2"/>
    <n v="1"/>
    <n v="99.99"/>
    <x v="1"/>
    <n v="99.99"/>
    <n v="99.99"/>
    <x v="1"/>
    <x v="0"/>
    <x v="0"/>
    <x v="1"/>
    <s v="Comunitat Valenciana"/>
    <x v="1"/>
    <m/>
    <n v="99.99"/>
    <n v="0"/>
  </r>
  <r>
    <s v="ORD-102580"/>
    <x v="549"/>
    <x v="17"/>
    <x v="0"/>
    <n v="2"/>
    <n v="899.99"/>
    <x v="2"/>
    <n v="854.99"/>
    <n v="1709.98"/>
    <x v="0"/>
    <x v="1"/>
    <x v="1"/>
    <x v="1"/>
    <s v="Comunitat Valenciana"/>
    <x v="1"/>
    <n v="1"/>
    <n v="1799.98"/>
    <n v="90"/>
  </r>
  <r>
    <s v="ORD-102581"/>
    <x v="99"/>
    <x v="5"/>
    <x v="1"/>
    <n v="3"/>
    <n v="149.99"/>
    <x v="0"/>
    <n v="127.49"/>
    <n v="382.47"/>
    <x v="1"/>
    <x v="3"/>
    <x v="4"/>
    <x v="11"/>
    <s v="Cataluña"/>
    <x v="2"/>
    <m/>
    <n v="449.97"/>
    <n v="67.5"/>
  </r>
  <r>
    <s v="ORD-102582"/>
    <x v="646"/>
    <x v="23"/>
    <x v="4"/>
    <n v="5"/>
    <n v="24.99"/>
    <x v="3"/>
    <n v="22.49"/>
    <n v="112.45"/>
    <x v="2"/>
    <x v="0"/>
    <x v="1"/>
    <x v="7"/>
    <s v="Castilla y León"/>
    <x v="1"/>
    <m/>
    <n v="124.94999999999999"/>
    <n v="12.499999999999986"/>
  </r>
  <r>
    <s v="ORD-102583"/>
    <x v="486"/>
    <x v="22"/>
    <x v="4"/>
    <n v="3"/>
    <n v="44.99"/>
    <x v="0"/>
    <n v="38.24"/>
    <n v="114.72"/>
    <x v="0"/>
    <x v="0"/>
    <x v="3"/>
    <x v="6"/>
    <s v="Comunitat Valenciana"/>
    <x v="0"/>
    <n v="1"/>
    <n v="134.97"/>
    <n v="20.25"/>
  </r>
  <r>
    <s v="ORD-102584"/>
    <x v="340"/>
    <x v="3"/>
    <x v="3"/>
    <n v="4"/>
    <n v="34.99"/>
    <x v="3"/>
    <n v="31.49"/>
    <n v="125.96"/>
    <x v="3"/>
    <x v="1"/>
    <x v="3"/>
    <x v="3"/>
    <s v="Comunidad de Madrid"/>
    <x v="2"/>
    <m/>
    <n v="139.96"/>
    <n v="14.000000000000014"/>
  </r>
  <r>
    <s v="ORD-102585"/>
    <x v="398"/>
    <x v="22"/>
    <x v="4"/>
    <n v="5"/>
    <n v="44.99"/>
    <x v="1"/>
    <n v="44.99"/>
    <n v="224.95"/>
    <x v="0"/>
    <x v="1"/>
    <x v="3"/>
    <x v="13"/>
    <s v="Andalucía"/>
    <x v="0"/>
    <n v="1"/>
    <n v="224.95000000000002"/>
    <n v="0"/>
  </r>
  <r>
    <s v="ORD-102586"/>
    <x v="67"/>
    <x v="23"/>
    <x v="4"/>
    <n v="2"/>
    <n v="24.99"/>
    <x v="2"/>
    <n v="23.74"/>
    <n v="47.48"/>
    <x v="0"/>
    <x v="1"/>
    <x v="1"/>
    <x v="10"/>
    <s v="Cantabria"/>
    <x v="1"/>
    <n v="2"/>
    <n v="49.98"/>
    <n v="2.5"/>
  </r>
  <r>
    <s v="ORD-102587"/>
    <x v="105"/>
    <x v="21"/>
    <x v="0"/>
    <n v="5"/>
    <n v="799.99"/>
    <x v="4"/>
    <n v="639.99"/>
    <n v="3199.95"/>
    <x v="0"/>
    <x v="1"/>
    <x v="4"/>
    <x v="1"/>
    <s v="Comunitat Valenciana"/>
    <x v="1"/>
    <n v="2"/>
    <n v="3999.95"/>
    <n v="800"/>
  </r>
  <r>
    <s v="ORD-102588"/>
    <x v="663"/>
    <x v="19"/>
    <x v="0"/>
    <n v="4"/>
    <n v="1199.99"/>
    <x v="2"/>
    <n v="1139.99"/>
    <n v="4559.96"/>
    <x v="0"/>
    <x v="2"/>
    <x v="0"/>
    <x v="2"/>
    <s v="Navarra"/>
    <x v="1"/>
    <n v="3"/>
    <n v="4799.96"/>
    <n v="240"/>
  </r>
  <r>
    <s v="ORD-102589"/>
    <x v="39"/>
    <x v="21"/>
    <x v="0"/>
    <n v="2"/>
    <n v="799.99"/>
    <x v="0"/>
    <n v="679.99"/>
    <n v="1359.98"/>
    <x v="0"/>
    <x v="0"/>
    <x v="0"/>
    <x v="3"/>
    <s v="Comunidad de Madrid"/>
    <x v="2"/>
    <n v="4"/>
    <n v="1599.98"/>
    <n v="240"/>
  </r>
  <r>
    <s v="ORD-102590"/>
    <x v="152"/>
    <x v="7"/>
    <x v="3"/>
    <n v="2"/>
    <n v="19.989999999999998"/>
    <x v="2"/>
    <n v="18.989999999999998"/>
    <n v="37.979999999999997"/>
    <x v="0"/>
    <x v="1"/>
    <x v="0"/>
    <x v="11"/>
    <s v="Cataluña"/>
    <x v="2"/>
    <n v="5"/>
    <n v="39.979999999999997"/>
    <n v="2"/>
  </r>
  <r>
    <s v="ORD-102591"/>
    <x v="28"/>
    <x v="9"/>
    <x v="2"/>
    <n v="2"/>
    <n v="29.99"/>
    <x v="0"/>
    <n v="25.49"/>
    <n v="50.98"/>
    <x v="3"/>
    <x v="2"/>
    <x v="0"/>
    <x v="10"/>
    <s v="Cantabria"/>
    <x v="1"/>
    <m/>
    <n v="59.98"/>
    <n v="9"/>
  </r>
  <r>
    <s v="ORD-102592"/>
    <x v="365"/>
    <x v="13"/>
    <x v="3"/>
    <n v="3"/>
    <n v="49.99"/>
    <x v="4"/>
    <n v="39.99"/>
    <n v="119.97"/>
    <x v="0"/>
    <x v="1"/>
    <x v="0"/>
    <x v="3"/>
    <s v="Comunidad de Madrid"/>
    <x v="2"/>
    <n v="1"/>
    <n v="149.97"/>
    <n v="30"/>
  </r>
  <r>
    <s v="ORD-102593"/>
    <x v="658"/>
    <x v="23"/>
    <x v="4"/>
    <n v="4"/>
    <n v="24.99"/>
    <x v="4"/>
    <n v="19.989999999999998"/>
    <n v="79.959999999999994"/>
    <x v="1"/>
    <x v="0"/>
    <x v="1"/>
    <x v="14"/>
    <s v="Aragón"/>
    <x v="0"/>
    <m/>
    <n v="99.96"/>
    <n v="20"/>
  </r>
  <r>
    <s v="ORD-102594"/>
    <x v="352"/>
    <x v="5"/>
    <x v="1"/>
    <n v="4"/>
    <n v="149.99"/>
    <x v="3"/>
    <n v="134.99"/>
    <n v="539.96"/>
    <x v="0"/>
    <x v="0"/>
    <x v="4"/>
    <x v="3"/>
    <s v="Comunidad de Madrid"/>
    <x v="2"/>
    <n v="1"/>
    <n v="599.96"/>
    <n v="60"/>
  </r>
  <r>
    <s v="ORD-102595"/>
    <x v="424"/>
    <x v="20"/>
    <x v="3"/>
    <n v="4"/>
    <n v="39.99"/>
    <x v="1"/>
    <n v="39.99"/>
    <n v="159.96"/>
    <x v="1"/>
    <x v="2"/>
    <x v="0"/>
    <x v="1"/>
    <s v="Comunitat Valenciana"/>
    <x v="1"/>
    <m/>
    <n v="159.96"/>
    <n v="0"/>
  </r>
  <r>
    <s v="ORD-102596"/>
    <x v="160"/>
    <x v="24"/>
    <x v="3"/>
    <n v="4"/>
    <n v="89.99"/>
    <x v="1"/>
    <n v="89.99"/>
    <n v="359.96"/>
    <x v="1"/>
    <x v="1"/>
    <x v="4"/>
    <x v="1"/>
    <s v="Comunitat Valenciana"/>
    <x v="1"/>
    <m/>
    <n v="359.96"/>
    <n v="0"/>
  </r>
  <r>
    <s v="ORD-102597"/>
    <x v="174"/>
    <x v="24"/>
    <x v="3"/>
    <n v="5"/>
    <n v="89.99"/>
    <x v="4"/>
    <n v="71.989999999999995"/>
    <n v="359.95"/>
    <x v="0"/>
    <x v="1"/>
    <x v="3"/>
    <x v="6"/>
    <s v="Comunitat Valenciana"/>
    <x v="0"/>
    <n v="4"/>
    <n v="449.95"/>
    <n v="90"/>
  </r>
  <r>
    <s v="ORD-102598"/>
    <x v="442"/>
    <x v="29"/>
    <x v="0"/>
    <n v="4"/>
    <n v="129.99"/>
    <x v="1"/>
    <n v="129.99"/>
    <n v="519.96"/>
    <x v="0"/>
    <x v="0"/>
    <x v="1"/>
    <x v="8"/>
    <s v="La Rioja"/>
    <x v="1"/>
    <n v="2"/>
    <n v="519.96"/>
    <n v="0"/>
  </r>
  <r>
    <s v="ORD-102599"/>
    <x v="39"/>
    <x v="23"/>
    <x v="4"/>
    <n v="2"/>
    <n v="24.99"/>
    <x v="2"/>
    <n v="23.74"/>
    <n v="47.48"/>
    <x v="0"/>
    <x v="0"/>
    <x v="0"/>
    <x v="7"/>
    <s v="Castilla y León"/>
    <x v="1"/>
    <n v="4"/>
    <n v="49.98"/>
    <n v="2.5"/>
  </r>
  <r>
    <s v="ORD-102600"/>
    <x v="513"/>
    <x v="2"/>
    <x v="2"/>
    <n v="5"/>
    <n v="299.99"/>
    <x v="1"/>
    <n v="299.99"/>
    <n v="1499.95"/>
    <x v="0"/>
    <x v="0"/>
    <x v="2"/>
    <x v="12"/>
    <s v="Región de Murcia"/>
    <x v="1"/>
    <n v="2"/>
    <n v="1499.95"/>
    <n v="0"/>
  </r>
  <r>
    <s v="ORD-102601"/>
    <x v="524"/>
    <x v="2"/>
    <x v="2"/>
    <n v="5"/>
    <n v="299.99"/>
    <x v="1"/>
    <n v="299.99"/>
    <n v="1499.95"/>
    <x v="0"/>
    <x v="1"/>
    <x v="0"/>
    <x v="13"/>
    <s v="Andalucía"/>
    <x v="0"/>
    <n v="5"/>
    <n v="1499.95"/>
    <n v="0"/>
  </r>
  <r>
    <s v="ORD-102602"/>
    <x v="586"/>
    <x v="29"/>
    <x v="0"/>
    <n v="1"/>
    <n v="129.99"/>
    <x v="1"/>
    <n v="129.99"/>
    <n v="129.99"/>
    <x v="3"/>
    <x v="2"/>
    <x v="3"/>
    <x v="7"/>
    <s v="Castilla y León"/>
    <x v="1"/>
    <m/>
    <n v="129.99"/>
    <n v="0"/>
  </r>
  <r>
    <s v="ORD-102603"/>
    <x v="261"/>
    <x v="10"/>
    <x v="2"/>
    <n v="1"/>
    <n v="69.989999999999995"/>
    <x v="0"/>
    <n v="59.49"/>
    <n v="59.49"/>
    <x v="0"/>
    <x v="0"/>
    <x v="1"/>
    <x v="11"/>
    <s v="Cataluña"/>
    <x v="2"/>
    <n v="5"/>
    <n v="69.989999999999995"/>
    <n v="10.499999999999993"/>
  </r>
  <r>
    <s v="ORD-102604"/>
    <x v="653"/>
    <x v="21"/>
    <x v="0"/>
    <n v="5"/>
    <n v="799.99"/>
    <x v="1"/>
    <n v="799.99"/>
    <n v="3999.95"/>
    <x v="0"/>
    <x v="0"/>
    <x v="3"/>
    <x v="7"/>
    <s v="Castilla y León"/>
    <x v="1"/>
    <n v="3"/>
    <n v="3999.95"/>
    <n v="0"/>
  </r>
  <r>
    <s v="ORD-102605"/>
    <x v="539"/>
    <x v="10"/>
    <x v="2"/>
    <n v="4"/>
    <n v="69.989999999999995"/>
    <x v="0"/>
    <n v="59.49"/>
    <n v="237.96"/>
    <x v="4"/>
    <x v="1"/>
    <x v="0"/>
    <x v="6"/>
    <s v="Comunitat Valenciana"/>
    <x v="0"/>
    <m/>
    <n v="279.95999999999998"/>
    <n v="41.999999999999972"/>
  </r>
  <r>
    <s v="ORD-102606"/>
    <x v="485"/>
    <x v="14"/>
    <x v="1"/>
    <n v="1"/>
    <n v="249.99"/>
    <x v="0"/>
    <n v="212.49"/>
    <n v="212.49"/>
    <x v="0"/>
    <x v="0"/>
    <x v="0"/>
    <x v="2"/>
    <s v="Navarra"/>
    <x v="1"/>
    <n v="5"/>
    <n v="249.99"/>
    <n v="37.5"/>
  </r>
  <r>
    <s v="ORD-102607"/>
    <x v="313"/>
    <x v="27"/>
    <x v="1"/>
    <n v="2"/>
    <n v="49.99"/>
    <x v="1"/>
    <n v="49.99"/>
    <n v="99.98"/>
    <x v="0"/>
    <x v="1"/>
    <x v="0"/>
    <x v="13"/>
    <s v="Andalucía"/>
    <x v="0"/>
    <n v="5"/>
    <n v="99.98"/>
    <n v="0"/>
  </r>
  <r>
    <s v="ORD-102608"/>
    <x v="660"/>
    <x v="23"/>
    <x v="4"/>
    <n v="2"/>
    <n v="24.99"/>
    <x v="4"/>
    <n v="19.989999999999998"/>
    <n v="39.979999999999997"/>
    <x v="0"/>
    <x v="3"/>
    <x v="0"/>
    <x v="14"/>
    <s v="Aragón"/>
    <x v="0"/>
    <n v="1"/>
    <n v="49.98"/>
    <n v="10"/>
  </r>
  <r>
    <s v="ORD-102609"/>
    <x v="447"/>
    <x v="0"/>
    <x v="0"/>
    <n v="5"/>
    <n v="45.99"/>
    <x v="1"/>
    <n v="45.99"/>
    <n v="229.95"/>
    <x v="0"/>
    <x v="1"/>
    <x v="0"/>
    <x v="2"/>
    <s v="Navarra"/>
    <x v="1"/>
    <n v="2"/>
    <n v="229.95000000000002"/>
    <n v="0"/>
  </r>
  <r>
    <s v="ORD-102610"/>
    <x v="411"/>
    <x v="21"/>
    <x v="0"/>
    <n v="5"/>
    <n v="799.99"/>
    <x v="1"/>
    <n v="799.99"/>
    <n v="3999.95"/>
    <x v="0"/>
    <x v="2"/>
    <x v="4"/>
    <x v="9"/>
    <s v="Asturias"/>
    <x v="1"/>
    <n v="2"/>
    <n v="3999.95"/>
    <n v="0"/>
  </r>
  <r>
    <s v="ORD-102611"/>
    <x v="105"/>
    <x v="11"/>
    <x v="0"/>
    <n v="1"/>
    <n v="349.99"/>
    <x v="1"/>
    <n v="349.99"/>
    <n v="349.99"/>
    <x v="0"/>
    <x v="1"/>
    <x v="0"/>
    <x v="5"/>
    <s v="País Vasco"/>
    <x v="0"/>
    <n v="2"/>
    <n v="349.99"/>
    <n v="0"/>
  </r>
  <r>
    <s v="ORD-102612"/>
    <x v="541"/>
    <x v="22"/>
    <x v="4"/>
    <n v="5"/>
    <n v="44.99"/>
    <x v="0"/>
    <n v="38.24"/>
    <n v="191.2"/>
    <x v="0"/>
    <x v="3"/>
    <x v="4"/>
    <x v="13"/>
    <s v="Andalucía"/>
    <x v="0"/>
    <n v="5"/>
    <n v="224.95000000000002"/>
    <n v="33.750000000000028"/>
  </r>
  <r>
    <s v="ORD-102613"/>
    <x v="394"/>
    <x v="2"/>
    <x v="2"/>
    <n v="2"/>
    <n v="299.99"/>
    <x v="0"/>
    <n v="254.99"/>
    <n v="509.98"/>
    <x v="0"/>
    <x v="1"/>
    <x v="1"/>
    <x v="6"/>
    <s v="Comunitat Valenciana"/>
    <x v="0"/>
    <n v="2"/>
    <n v="599.98"/>
    <n v="90"/>
  </r>
  <r>
    <s v="ORD-102614"/>
    <x v="635"/>
    <x v="9"/>
    <x v="2"/>
    <n v="2"/>
    <n v="29.99"/>
    <x v="1"/>
    <n v="29.99"/>
    <n v="59.98"/>
    <x v="0"/>
    <x v="1"/>
    <x v="0"/>
    <x v="10"/>
    <s v="Cantabria"/>
    <x v="1"/>
    <n v="2"/>
    <n v="59.98"/>
    <n v="0"/>
  </r>
  <r>
    <s v="ORD-102615"/>
    <x v="144"/>
    <x v="2"/>
    <x v="2"/>
    <n v="4"/>
    <n v="299.99"/>
    <x v="2"/>
    <n v="284.99"/>
    <n v="1139.96"/>
    <x v="0"/>
    <x v="0"/>
    <x v="2"/>
    <x v="4"/>
    <s v="Castilla y León"/>
    <x v="1"/>
    <n v="2"/>
    <n v="1199.96"/>
    <n v="60"/>
  </r>
  <r>
    <s v="ORD-102616"/>
    <x v="331"/>
    <x v="2"/>
    <x v="2"/>
    <n v="2"/>
    <n v="299.99"/>
    <x v="1"/>
    <n v="299.99"/>
    <n v="599.98"/>
    <x v="2"/>
    <x v="0"/>
    <x v="0"/>
    <x v="2"/>
    <s v="Navarra"/>
    <x v="1"/>
    <m/>
    <n v="599.98"/>
    <n v="0"/>
  </r>
  <r>
    <s v="ORD-102617"/>
    <x v="328"/>
    <x v="23"/>
    <x v="4"/>
    <n v="1"/>
    <n v="24.99"/>
    <x v="2"/>
    <n v="23.74"/>
    <n v="23.74"/>
    <x v="0"/>
    <x v="0"/>
    <x v="4"/>
    <x v="0"/>
    <s v="Andalucía"/>
    <x v="0"/>
    <n v="1"/>
    <n v="24.99"/>
    <n v="1.25"/>
  </r>
  <r>
    <s v="ORD-102618"/>
    <x v="87"/>
    <x v="2"/>
    <x v="2"/>
    <n v="5"/>
    <n v="299.99"/>
    <x v="1"/>
    <n v="299.99"/>
    <n v="1499.95"/>
    <x v="3"/>
    <x v="1"/>
    <x v="3"/>
    <x v="12"/>
    <s v="Región de Murcia"/>
    <x v="1"/>
    <m/>
    <n v="1499.95"/>
    <n v="0"/>
  </r>
  <r>
    <s v="ORD-102619"/>
    <x v="135"/>
    <x v="0"/>
    <x v="0"/>
    <n v="5"/>
    <n v="45.99"/>
    <x v="3"/>
    <n v="41.39"/>
    <n v="206.95"/>
    <x v="0"/>
    <x v="0"/>
    <x v="0"/>
    <x v="2"/>
    <s v="Navarra"/>
    <x v="1"/>
    <n v="2"/>
    <n v="229.95000000000002"/>
    <n v="23.000000000000028"/>
  </r>
  <r>
    <s v="ORD-102620"/>
    <x v="101"/>
    <x v="6"/>
    <x v="0"/>
    <n v="4"/>
    <n v="89.99"/>
    <x v="0"/>
    <n v="76.489999999999995"/>
    <n v="305.95999999999998"/>
    <x v="2"/>
    <x v="3"/>
    <x v="0"/>
    <x v="9"/>
    <s v="Asturias"/>
    <x v="1"/>
    <m/>
    <n v="359.96"/>
    <n v="54"/>
  </r>
  <r>
    <s v="ORD-102621"/>
    <x v="113"/>
    <x v="20"/>
    <x v="3"/>
    <n v="5"/>
    <n v="39.99"/>
    <x v="1"/>
    <n v="39.99"/>
    <n v="199.95"/>
    <x v="2"/>
    <x v="1"/>
    <x v="4"/>
    <x v="6"/>
    <s v="Comunitat Valenciana"/>
    <x v="0"/>
    <m/>
    <n v="199.95000000000002"/>
    <n v="0"/>
  </r>
  <r>
    <s v="ORD-102622"/>
    <x v="263"/>
    <x v="0"/>
    <x v="0"/>
    <n v="1"/>
    <n v="45.99"/>
    <x v="1"/>
    <n v="45.99"/>
    <n v="45.99"/>
    <x v="0"/>
    <x v="1"/>
    <x v="0"/>
    <x v="10"/>
    <s v="Cantabria"/>
    <x v="1"/>
    <n v="5"/>
    <n v="45.99"/>
    <n v="0"/>
  </r>
  <r>
    <s v="ORD-102623"/>
    <x v="648"/>
    <x v="20"/>
    <x v="3"/>
    <n v="2"/>
    <n v="39.99"/>
    <x v="1"/>
    <n v="39.99"/>
    <n v="79.98"/>
    <x v="0"/>
    <x v="2"/>
    <x v="4"/>
    <x v="2"/>
    <s v="Navarra"/>
    <x v="1"/>
    <n v="4"/>
    <n v="79.98"/>
    <n v="0"/>
  </r>
  <r>
    <s v="ORD-102624"/>
    <x v="408"/>
    <x v="19"/>
    <x v="0"/>
    <n v="5"/>
    <n v="1199.99"/>
    <x v="1"/>
    <n v="1199.99"/>
    <n v="5999.95"/>
    <x v="0"/>
    <x v="2"/>
    <x v="4"/>
    <x v="7"/>
    <s v="Castilla y León"/>
    <x v="1"/>
    <n v="4"/>
    <n v="5999.95"/>
    <n v="0"/>
  </r>
  <r>
    <s v="ORD-102625"/>
    <x v="249"/>
    <x v="26"/>
    <x v="1"/>
    <n v="1"/>
    <n v="599.99"/>
    <x v="2"/>
    <n v="569.99"/>
    <n v="569.99"/>
    <x v="0"/>
    <x v="2"/>
    <x v="0"/>
    <x v="13"/>
    <s v="Andalucía"/>
    <x v="0"/>
    <n v="5"/>
    <n v="599.99"/>
    <n v="30"/>
  </r>
  <r>
    <s v="ORD-102626"/>
    <x v="594"/>
    <x v="15"/>
    <x v="3"/>
    <n v="3"/>
    <n v="69.989999999999995"/>
    <x v="1"/>
    <n v="69.989999999999995"/>
    <n v="209.97"/>
    <x v="0"/>
    <x v="2"/>
    <x v="1"/>
    <x v="5"/>
    <s v="País Vasco"/>
    <x v="0"/>
    <n v="3"/>
    <n v="209.96999999999997"/>
    <n v="0"/>
  </r>
  <r>
    <s v="ORD-102627"/>
    <x v="197"/>
    <x v="17"/>
    <x v="0"/>
    <n v="4"/>
    <n v="899.99"/>
    <x v="2"/>
    <n v="854.99"/>
    <n v="3419.96"/>
    <x v="0"/>
    <x v="1"/>
    <x v="1"/>
    <x v="0"/>
    <s v="Andalucía"/>
    <x v="0"/>
    <n v="2"/>
    <n v="3599.96"/>
    <n v="180"/>
  </r>
  <r>
    <s v="ORD-102628"/>
    <x v="253"/>
    <x v="1"/>
    <x v="1"/>
    <n v="4"/>
    <n v="399.99"/>
    <x v="1"/>
    <n v="399.99"/>
    <n v="1599.96"/>
    <x v="0"/>
    <x v="1"/>
    <x v="0"/>
    <x v="9"/>
    <s v="Asturias"/>
    <x v="1"/>
    <n v="2"/>
    <n v="1599.96"/>
    <n v="0"/>
  </r>
  <r>
    <s v="ORD-102629"/>
    <x v="632"/>
    <x v="4"/>
    <x v="4"/>
    <n v="2"/>
    <n v="349.99"/>
    <x v="2"/>
    <n v="332.49"/>
    <n v="664.98"/>
    <x v="0"/>
    <x v="2"/>
    <x v="0"/>
    <x v="4"/>
    <s v="Castilla y León"/>
    <x v="1"/>
    <n v="2"/>
    <n v="699.98"/>
    <n v="35"/>
  </r>
  <r>
    <s v="ORD-102630"/>
    <x v="592"/>
    <x v="21"/>
    <x v="0"/>
    <n v="4"/>
    <n v="799.99"/>
    <x v="0"/>
    <n v="679.99"/>
    <n v="2719.96"/>
    <x v="0"/>
    <x v="1"/>
    <x v="4"/>
    <x v="8"/>
    <s v="La Rioja"/>
    <x v="1"/>
    <n v="5"/>
    <n v="3199.96"/>
    <n v="480"/>
  </r>
  <r>
    <s v="ORD-102631"/>
    <x v="67"/>
    <x v="24"/>
    <x v="3"/>
    <n v="3"/>
    <n v="89.99"/>
    <x v="0"/>
    <n v="76.489999999999995"/>
    <n v="229.47"/>
    <x v="0"/>
    <x v="1"/>
    <x v="3"/>
    <x v="9"/>
    <s v="Asturias"/>
    <x v="1"/>
    <n v="1"/>
    <n v="269.96999999999997"/>
    <n v="40.499999999999972"/>
  </r>
  <r>
    <s v="ORD-102632"/>
    <x v="183"/>
    <x v="10"/>
    <x v="2"/>
    <n v="4"/>
    <n v="69.989999999999995"/>
    <x v="3"/>
    <n v="62.99"/>
    <n v="251.96"/>
    <x v="3"/>
    <x v="0"/>
    <x v="1"/>
    <x v="1"/>
    <s v="Comunitat Valenciana"/>
    <x v="1"/>
    <m/>
    <n v="279.95999999999998"/>
    <n v="27.999999999999972"/>
  </r>
  <r>
    <s v="ORD-102633"/>
    <x v="639"/>
    <x v="11"/>
    <x v="0"/>
    <n v="2"/>
    <n v="349.99"/>
    <x v="0"/>
    <n v="297.49"/>
    <n v="594.98"/>
    <x v="0"/>
    <x v="1"/>
    <x v="1"/>
    <x v="8"/>
    <s v="La Rioja"/>
    <x v="1"/>
    <n v="5"/>
    <n v="699.98"/>
    <n v="105"/>
  </r>
  <r>
    <s v="ORD-102634"/>
    <x v="358"/>
    <x v="20"/>
    <x v="3"/>
    <n v="3"/>
    <n v="39.99"/>
    <x v="1"/>
    <n v="39.99"/>
    <n v="119.97"/>
    <x v="0"/>
    <x v="2"/>
    <x v="2"/>
    <x v="14"/>
    <s v="Aragón"/>
    <x v="0"/>
    <n v="3"/>
    <n v="119.97"/>
    <n v="0"/>
  </r>
  <r>
    <s v="ORD-102635"/>
    <x v="166"/>
    <x v="29"/>
    <x v="0"/>
    <n v="3"/>
    <n v="129.99"/>
    <x v="0"/>
    <n v="110.49"/>
    <n v="331.47"/>
    <x v="0"/>
    <x v="0"/>
    <x v="0"/>
    <x v="7"/>
    <s v="Castilla y León"/>
    <x v="1"/>
    <n v="2"/>
    <n v="389.97"/>
    <n v="58.5"/>
  </r>
  <r>
    <s v="ORD-102636"/>
    <x v="332"/>
    <x v="8"/>
    <x v="2"/>
    <n v="2"/>
    <n v="59.99"/>
    <x v="1"/>
    <n v="59.99"/>
    <n v="119.98"/>
    <x v="0"/>
    <x v="0"/>
    <x v="1"/>
    <x v="8"/>
    <s v="La Rioja"/>
    <x v="1"/>
    <n v="4"/>
    <n v="119.98"/>
    <n v="0"/>
  </r>
  <r>
    <s v="ORD-102637"/>
    <x v="426"/>
    <x v="19"/>
    <x v="0"/>
    <n v="3"/>
    <n v="1199.99"/>
    <x v="0"/>
    <n v="1019.99"/>
    <n v="3059.97"/>
    <x v="0"/>
    <x v="1"/>
    <x v="1"/>
    <x v="8"/>
    <s v="La Rioja"/>
    <x v="1"/>
    <n v="5"/>
    <n v="3599.9700000000003"/>
    <n v="540.00000000000045"/>
  </r>
  <r>
    <s v="ORD-102638"/>
    <x v="157"/>
    <x v="7"/>
    <x v="3"/>
    <n v="4"/>
    <n v="19.989999999999998"/>
    <x v="1"/>
    <n v="19.989999999999998"/>
    <n v="79.959999999999994"/>
    <x v="1"/>
    <x v="1"/>
    <x v="2"/>
    <x v="13"/>
    <s v="Andalucía"/>
    <x v="0"/>
    <m/>
    <n v="79.959999999999994"/>
    <n v="0"/>
  </r>
  <r>
    <s v="ORD-102639"/>
    <x v="532"/>
    <x v="10"/>
    <x v="2"/>
    <n v="3"/>
    <n v="69.989999999999995"/>
    <x v="1"/>
    <n v="69.989999999999995"/>
    <n v="209.97"/>
    <x v="0"/>
    <x v="0"/>
    <x v="3"/>
    <x v="0"/>
    <s v="Andalucía"/>
    <x v="0"/>
    <n v="3"/>
    <n v="209.96999999999997"/>
    <n v="0"/>
  </r>
  <r>
    <s v="ORD-102640"/>
    <x v="249"/>
    <x v="20"/>
    <x v="3"/>
    <n v="5"/>
    <n v="39.99"/>
    <x v="4"/>
    <n v="31.99"/>
    <n v="159.94999999999999"/>
    <x v="0"/>
    <x v="0"/>
    <x v="0"/>
    <x v="2"/>
    <s v="Navarra"/>
    <x v="1"/>
    <n v="3"/>
    <n v="199.95000000000002"/>
    <n v="40.000000000000028"/>
  </r>
  <r>
    <s v="ORD-102641"/>
    <x v="549"/>
    <x v="6"/>
    <x v="0"/>
    <n v="2"/>
    <n v="89.99"/>
    <x v="1"/>
    <n v="89.99"/>
    <n v="179.98"/>
    <x v="0"/>
    <x v="1"/>
    <x v="4"/>
    <x v="3"/>
    <s v="Comunidad de Madrid"/>
    <x v="2"/>
    <n v="5"/>
    <n v="179.98"/>
    <n v="0"/>
  </r>
  <r>
    <s v="ORD-102642"/>
    <x v="257"/>
    <x v="22"/>
    <x v="4"/>
    <n v="5"/>
    <n v="44.99"/>
    <x v="1"/>
    <n v="44.99"/>
    <n v="224.95"/>
    <x v="0"/>
    <x v="0"/>
    <x v="1"/>
    <x v="8"/>
    <s v="La Rioja"/>
    <x v="1"/>
    <n v="5"/>
    <n v="224.95000000000002"/>
    <n v="0"/>
  </r>
  <r>
    <s v="ORD-102643"/>
    <x v="673"/>
    <x v="24"/>
    <x v="3"/>
    <n v="3"/>
    <n v="89.99"/>
    <x v="3"/>
    <n v="80.989999999999995"/>
    <n v="242.97"/>
    <x v="0"/>
    <x v="2"/>
    <x v="0"/>
    <x v="5"/>
    <s v="País Vasco"/>
    <x v="0"/>
    <n v="2"/>
    <n v="269.96999999999997"/>
    <n v="26.999999999999972"/>
  </r>
  <r>
    <s v="ORD-102644"/>
    <x v="578"/>
    <x v="26"/>
    <x v="1"/>
    <n v="3"/>
    <n v="599.99"/>
    <x v="1"/>
    <n v="599.99"/>
    <n v="1799.97"/>
    <x v="0"/>
    <x v="1"/>
    <x v="4"/>
    <x v="2"/>
    <s v="Navarra"/>
    <x v="1"/>
    <n v="3"/>
    <n v="1799.97"/>
    <n v="0"/>
  </r>
  <r>
    <s v="ORD-102645"/>
    <x v="407"/>
    <x v="20"/>
    <x v="3"/>
    <n v="1"/>
    <n v="39.99"/>
    <x v="4"/>
    <n v="31.99"/>
    <n v="31.99"/>
    <x v="0"/>
    <x v="3"/>
    <x v="1"/>
    <x v="9"/>
    <s v="Asturias"/>
    <x v="1"/>
    <n v="5"/>
    <n v="39.99"/>
    <n v="8.0000000000000036"/>
  </r>
  <r>
    <s v="ORD-102646"/>
    <x v="433"/>
    <x v="28"/>
    <x v="0"/>
    <n v="2"/>
    <n v="499.99"/>
    <x v="2"/>
    <n v="474.99"/>
    <n v="949.98"/>
    <x v="2"/>
    <x v="2"/>
    <x v="2"/>
    <x v="5"/>
    <s v="País Vasco"/>
    <x v="0"/>
    <m/>
    <n v="999.98"/>
    <n v="50"/>
  </r>
  <r>
    <s v="ORD-102647"/>
    <x v="674"/>
    <x v="2"/>
    <x v="2"/>
    <n v="1"/>
    <n v="299.99"/>
    <x v="2"/>
    <n v="284.99"/>
    <n v="284.99"/>
    <x v="0"/>
    <x v="1"/>
    <x v="3"/>
    <x v="0"/>
    <s v="Andalucía"/>
    <x v="0"/>
    <n v="1"/>
    <n v="299.99"/>
    <n v="15"/>
  </r>
  <r>
    <s v="ORD-102648"/>
    <x v="430"/>
    <x v="23"/>
    <x v="4"/>
    <n v="1"/>
    <n v="24.99"/>
    <x v="1"/>
    <n v="24.99"/>
    <n v="24.99"/>
    <x v="0"/>
    <x v="1"/>
    <x v="3"/>
    <x v="9"/>
    <s v="Asturias"/>
    <x v="1"/>
    <n v="5"/>
    <n v="24.99"/>
    <n v="0"/>
  </r>
  <r>
    <s v="ORD-102649"/>
    <x v="271"/>
    <x v="22"/>
    <x v="4"/>
    <n v="2"/>
    <n v="44.99"/>
    <x v="1"/>
    <n v="44.99"/>
    <n v="89.98"/>
    <x v="3"/>
    <x v="0"/>
    <x v="3"/>
    <x v="11"/>
    <s v="Cataluña"/>
    <x v="2"/>
    <m/>
    <n v="89.98"/>
    <n v="0"/>
  </r>
  <r>
    <s v="ORD-102650"/>
    <x v="255"/>
    <x v="22"/>
    <x v="4"/>
    <n v="5"/>
    <n v="44.99"/>
    <x v="1"/>
    <n v="44.99"/>
    <n v="224.95"/>
    <x v="0"/>
    <x v="0"/>
    <x v="4"/>
    <x v="0"/>
    <s v="Andalucía"/>
    <x v="0"/>
    <n v="3"/>
    <n v="224.95000000000002"/>
    <n v="0"/>
  </r>
  <r>
    <s v="ORD-102651"/>
    <x v="488"/>
    <x v="3"/>
    <x v="3"/>
    <n v="5"/>
    <n v="34.99"/>
    <x v="4"/>
    <n v="27.99"/>
    <n v="139.94999999999999"/>
    <x v="0"/>
    <x v="2"/>
    <x v="1"/>
    <x v="5"/>
    <s v="País Vasco"/>
    <x v="0"/>
    <n v="4"/>
    <n v="174.95000000000002"/>
    <n v="35.000000000000028"/>
  </r>
  <r>
    <s v="ORD-102652"/>
    <x v="380"/>
    <x v="0"/>
    <x v="0"/>
    <n v="4"/>
    <n v="45.99"/>
    <x v="1"/>
    <n v="45.99"/>
    <n v="183.96"/>
    <x v="1"/>
    <x v="2"/>
    <x v="4"/>
    <x v="6"/>
    <s v="Comunitat Valenciana"/>
    <x v="0"/>
    <m/>
    <n v="183.96"/>
    <n v="0"/>
  </r>
  <r>
    <s v="ORD-102653"/>
    <x v="182"/>
    <x v="19"/>
    <x v="0"/>
    <n v="5"/>
    <n v="1199.99"/>
    <x v="2"/>
    <n v="1139.99"/>
    <n v="5699.95"/>
    <x v="1"/>
    <x v="1"/>
    <x v="0"/>
    <x v="4"/>
    <s v="Castilla y León"/>
    <x v="1"/>
    <m/>
    <n v="5999.95"/>
    <n v="300"/>
  </r>
  <r>
    <s v="ORD-102654"/>
    <x v="505"/>
    <x v="26"/>
    <x v="1"/>
    <n v="4"/>
    <n v="599.99"/>
    <x v="1"/>
    <n v="599.99"/>
    <n v="2399.96"/>
    <x v="0"/>
    <x v="1"/>
    <x v="3"/>
    <x v="13"/>
    <s v="Andalucía"/>
    <x v="0"/>
    <n v="2"/>
    <n v="2399.96"/>
    <n v="0"/>
  </r>
  <r>
    <s v="ORD-102655"/>
    <x v="624"/>
    <x v="19"/>
    <x v="0"/>
    <n v="1"/>
    <n v="1199.99"/>
    <x v="1"/>
    <n v="1199.99"/>
    <n v="1199.99"/>
    <x v="3"/>
    <x v="2"/>
    <x v="4"/>
    <x v="9"/>
    <s v="Asturias"/>
    <x v="1"/>
    <m/>
    <n v="1199.99"/>
    <n v="0"/>
  </r>
  <r>
    <s v="ORD-102656"/>
    <x v="290"/>
    <x v="2"/>
    <x v="2"/>
    <n v="3"/>
    <n v="299.99"/>
    <x v="4"/>
    <n v="239.99"/>
    <n v="719.97"/>
    <x v="0"/>
    <x v="2"/>
    <x v="0"/>
    <x v="12"/>
    <s v="Región de Murcia"/>
    <x v="1"/>
    <n v="3"/>
    <n v="899.97"/>
    <n v="180"/>
  </r>
  <r>
    <s v="ORD-102657"/>
    <x v="281"/>
    <x v="9"/>
    <x v="2"/>
    <n v="5"/>
    <n v="29.99"/>
    <x v="0"/>
    <n v="25.49"/>
    <n v="127.45"/>
    <x v="4"/>
    <x v="0"/>
    <x v="0"/>
    <x v="3"/>
    <s v="Comunidad de Madrid"/>
    <x v="2"/>
    <m/>
    <n v="149.94999999999999"/>
    <n v="22.499999999999986"/>
  </r>
  <r>
    <s v="ORD-102658"/>
    <x v="596"/>
    <x v="29"/>
    <x v="0"/>
    <n v="2"/>
    <n v="129.99"/>
    <x v="1"/>
    <n v="129.99"/>
    <n v="259.98"/>
    <x v="0"/>
    <x v="1"/>
    <x v="2"/>
    <x v="14"/>
    <s v="Aragón"/>
    <x v="0"/>
    <n v="2"/>
    <n v="259.98"/>
    <n v="0"/>
  </r>
  <r>
    <s v="ORD-102659"/>
    <x v="688"/>
    <x v="3"/>
    <x v="3"/>
    <n v="1"/>
    <n v="34.99"/>
    <x v="3"/>
    <n v="31.49"/>
    <n v="31.49"/>
    <x v="0"/>
    <x v="1"/>
    <x v="0"/>
    <x v="1"/>
    <s v="Comunitat Valenciana"/>
    <x v="1"/>
    <n v="2"/>
    <n v="34.99"/>
    <n v="3.5000000000000036"/>
  </r>
  <r>
    <s v="ORD-102660"/>
    <x v="280"/>
    <x v="14"/>
    <x v="1"/>
    <n v="1"/>
    <n v="249.99"/>
    <x v="2"/>
    <n v="237.49"/>
    <n v="237.49"/>
    <x v="4"/>
    <x v="0"/>
    <x v="0"/>
    <x v="4"/>
    <s v="Castilla y León"/>
    <x v="1"/>
    <m/>
    <n v="249.99"/>
    <n v="12.5"/>
  </r>
  <r>
    <s v="ORD-102661"/>
    <x v="348"/>
    <x v="27"/>
    <x v="1"/>
    <n v="3"/>
    <n v="49.99"/>
    <x v="1"/>
    <n v="49.99"/>
    <n v="149.97"/>
    <x v="1"/>
    <x v="2"/>
    <x v="0"/>
    <x v="7"/>
    <s v="Castilla y León"/>
    <x v="1"/>
    <m/>
    <n v="149.97"/>
    <n v="0"/>
  </r>
  <r>
    <s v="ORD-102662"/>
    <x v="493"/>
    <x v="27"/>
    <x v="1"/>
    <n v="2"/>
    <n v="49.99"/>
    <x v="3"/>
    <n v="44.99"/>
    <n v="89.98"/>
    <x v="1"/>
    <x v="1"/>
    <x v="0"/>
    <x v="8"/>
    <s v="La Rioja"/>
    <x v="1"/>
    <m/>
    <n v="99.98"/>
    <n v="10"/>
  </r>
  <r>
    <s v="ORD-102663"/>
    <x v="178"/>
    <x v="10"/>
    <x v="2"/>
    <n v="3"/>
    <n v="69.989999999999995"/>
    <x v="3"/>
    <n v="62.99"/>
    <n v="188.97"/>
    <x v="0"/>
    <x v="2"/>
    <x v="1"/>
    <x v="4"/>
    <s v="Castilla y León"/>
    <x v="1"/>
    <n v="2"/>
    <n v="209.96999999999997"/>
    <n v="20.999999999999972"/>
  </r>
  <r>
    <s v="ORD-102664"/>
    <x v="228"/>
    <x v="29"/>
    <x v="0"/>
    <n v="2"/>
    <n v="129.99"/>
    <x v="0"/>
    <n v="110.49"/>
    <n v="220.98"/>
    <x v="1"/>
    <x v="0"/>
    <x v="1"/>
    <x v="8"/>
    <s v="La Rioja"/>
    <x v="1"/>
    <m/>
    <n v="259.98"/>
    <n v="39.000000000000028"/>
  </r>
  <r>
    <s v="ORD-102665"/>
    <x v="129"/>
    <x v="23"/>
    <x v="4"/>
    <n v="5"/>
    <n v="24.99"/>
    <x v="3"/>
    <n v="22.49"/>
    <n v="112.45"/>
    <x v="1"/>
    <x v="0"/>
    <x v="2"/>
    <x v="3"/>
    <s v="Comunidad de Madrid"/>
    <x v="2"/>
    <m/>
    <n v="124.94999999999999"/>
    <n v="12.499999999999986"/>
  </r>
  <r>
    <s v="ORD-102666"/>
    <x v="316"/>
    <x v="2"/>
    <x v="2"/>
    <n v="2"/>
    <n v="299.99"/>
    <x v="4"/>
    <n v="239.99"/>
    <n v="479.98"/>
    <x v="0"/>
    <x v="0"/>
    <x v="3"/>
    <x v="6"/>
    <s v="Comunitat Valenciana"/>
    <x v="0"/>
    <n v="5"/>
    <n v="599.98"/>
    <n v="120"/>
  </r>
  <r>
    <s v="ORD-102667"/>
    <x v="595"/>
    <x v="17"/>
    <x v="0"/>
    <n v="4"/>
    <n v="899.99"/>
    <x v="2"/>
    <n v="854.99"/>
    <n v="3419.96"/>
    <x v="0"/>
    <x v="1"/>
    <x v="3"/>
    <x v="3"/>
    <s v="Comunidad de Madrid"/>
    <x v="2"/>
    <n v="5"/>
    <n v="3599.96"/>
    <n v="180"/>
  </r>
  <r>
    <s v="ORD-102668"/>
    <x v="542"/>
    <x v="20"/>
    <x v="3"/>
    <n v="5"/>
    <n v="39.99"/>
    <x v="2"/>
    <n v="37.99"/>
    <n v="189.95"/>
    <x v="1"/>
    <x v="2"/>
    <x v="2"/>
    <x v="11"/>
    <s v="Cataluña"/>
    <x v="2"/>
    <m/>
    <n v="199.95000000000002"/>
    <n v="10.000000000000028"/>
  </r>
  <r>
    <s v="ORD-102669"/>
    <x v="185"/>
    <x v="20"/>
    <x v="3"/>
    <n v="1"/>
    <n v="39.99"/>
    <x v="1"/>
    <n v="39.99"/>
    <n v="39.99"/>
    <x v="0"/>
    <x v="0"/>
    <x v="0"/>
    <x v="11"/>
    <s v="Cataluña"/>
    <x v="2"/>
    <n v="5"/>
    <n v="39.99"/>
    <n v="0"/>
  </r>
  <r>
    <s v="ORD-102670"/>
    <x v="48"/>
    <x v="23"/>
    <x v="4"/>
    <n v="5"/>
    <n v="24.99"/>
    <x v="0"/>
    <n v="21.24"/>
    <n v="106.2"/>
    <x v="0"/>
    <x v="1"/>
    <x v="4"/>
    <x v="6"/>
    <s v="Comunitat Valenciana"/>
    <x v="0"/>
    <n v="4"/>
    <n v="124.94999999999999"/>
    <n v="18.749999999999986"/>
  </r>
  <r>
    <s v="ORD-102671"/>
    <x v="514"/>
    <x v="8"/>
    <x v="2"/>
    <n v="4"/>
    <n v="59.99"/>
    <x v="0"/>
    <n v="50.99"/>
    <n v="203.96"/>
    <x v="1"/>
    <x v="2"/>
    <x v="1"/>
    <x v="7"/>
    <s v="Castilla y León"/>
    <x v="1"/>
    <m/>
    <n v="239.96"/>
    <n v="36"/>
  </r>
  <r>
    <s v="ORD-102672"/>
    <x v="339"/>
    <x v="21"/>
    <x v="0"/>
    <n v="3"/>
    <n v="799.99"/>
    <x v="2"/>
    <n v="759.99"/>
    <n v="2279.9699999999998"/>
    <x v="1"/>
    <x v="0"/>
    <x v="4"/>
    <x v="6"/>
    <s v="Comunitat Valenciana"/>
    <x v="0"/>
    <m/>
    <n v="2399.9700000000003"/>
    <n v="120.00000000000045"/>
  </r>
  <r>
    <s v="ORD-102673"/>
    <x v="477"/>
    <x v="2"/>
    <x v="2"/>
    <n v="2"/>
    <n v="299.99"/>
    <x v="1"/>
    <n v="299.99"/>
    <n v="599.98"/>
    <x v="3"/>
    <x v="1"/>
    <x v="0"/>
    <x v="4"/>
    <s v="Castilla y León"/>
    <x v="1"/>
    <m/>
    <n v="599.98"/>
    <n v="0"/>
  </r>
  <r>
    <s v="ORD-102674"/>
    <x v="501"/>
    <x v="18"/>
    <x v="2"/>
    <n v="5"/>
    <n v="99.99"/>
    <x v="1"/>
    <n v="99.99"/>
    <n v="499.95"/>
    <x v="0"/>
    <x v="0"/>
    <x v="4"/>
    <x v="6"/>
    <s v="Comunitat Valenciana"/>
    <x v="0"/>
    <n v="5"/>
    <n v="499.95"/>
    <n v="0"/>
  </r>
  <r>
    <s v="ORD-102675"/>
    <x v="353"/>
    <x v="2"/>
    <x v="2"/>
    <n v="2"/>
    <n v="299.99"/>
    <x v="1"/>
    <n v="299.99"/>
    <n v="599.98"/>
    <x v="1"/>
    <x v="0"/>
    <x v="3"/>
    <x v="14"/>
    <s v="Aragón"/>
    <x v="0"/>
    <m/>
    <n v="599.98"/>
    <n v="0"/>
  </r>
  <r>
    <s v="ORD-102676"/>
    <x v="294"/>
    <x v="24"/>
    <x v="3"/>
    <n v="2"/>
    <n v="89.99"/>
    <x v="1"/>
    <n v="89.99"/>
    <n v="179.98"/>
    <x v="1"/>
    <x v="0"/>
    <x v="2"/>
    <x v="4"/>
    <s v="Castilla y León"/>
    <x v="1"/>
    <m/>
    <n v="179.98"/>
    <n v="0"/>
  </r>
  <r>
    <s v="ORD-102677"/>
    <x v="531"/>
    <x v="8"/>
    <x v="2"/>
    <n v="4"/>
    <n v="59.99"/>
    <x v="4"/>
    <n v="47.99"/>
    <n v="191.96"/>
    <x v="1"/>
    <x v="2"/>
    <x v="0"/>
    <x v="11"/>
    <s v="Cataluña"/>
    <x v="2"/>
    <m/>
    <n v="239.96"/>
    <n v="48"/>
  </r>
  <r>
    <s v="ORD-102678"/>
    <x v="161"/>
    <x v="7"/>
    <x v="3"/>
    <n v="4"/>
    <n v="19.989999999999998"/>
    <x v="0"/>
    <n v="16.989999999999998"/>
    <n v="67.959999999999994"/>
    <x v="1"/>
    <x v="0"/>
    <x v="0"/>
    <x v="5"/>
    <s v="País Vasco"/>
    <x v="0"/>
    <m/>
    <n v="79.959999999999994"/>
    <n v="12"/>
  </r>
  <r>
    <s v="ORD-102679"/>
    <x v="69"/>
    <x v="12"/>
    <x v="2"/>
    <n v="3"/>
    <n v="189.99"/>
    <x v="1"/>
    <n v="189.99"/>
    <n v="569.97"/>
    <x v="2"/>
    <x v="2"/>
    <x v="1"/>
    <x v="5"/>
    <s v="País Vasco"/>
    <x v="0"/>
    <m/>
    <n v="569.97"/>
    <n v="0"/>
  </r>
  <r>
    <s v="ORD-102680"/>
    <x v="19"/>
    <x v="11"/>
    <x v="0"/>
    <n v="1"/>
    <n v="349.99"/>
    <x v="0"/>
    <n v="297.49"/>
    <n v="297.49"/>
    <x v="0"/>
    <x v="0"/>
    <x v="3"/>
    <x v="2"/>
    <s v="Navarra"/>
    <x v="1"/>
    <n v="1"/>
    <n v="349.99"/>
    <n v="52.5"/>
  </r>
  <r>
    <s v="ORD-102681"/>
    <x v="401"/>
    <x v="8"/>
    <x v="2"/>
    <n v="3"/>
    <n v="59.99"/>
    <x v="0"/>
    <n v="50.99"/>
    <n v="152.97"/>
    <x v="0"/>
    <x v="2"/>
    <x v="3"/>
    <x v="1"/>
    <s v="Comunitat Valenciana"/>
    <x v="1"/>
    <n v="3"/>
    <n v="179.97"/>
    <n v="27"/>
  </r>
  <r>
    <s v="ORD-102682"/>
    <x v="198"/>
    <x v="6"/>
    <x v="0"/>
    <n v="3"/>
    <n v="89.99"/>
    <x v="0"/>
    <n v="76.489999999999995"/>
    <n v="229.47"/>
    <x v="0"/>
    <x v="0"/>
    <x v="0"/>
    <x v="12"/>
    <s v="Región de Murcia"/>
    <x v="1"/>
    <n v="5"/>
    <n v="269.96999999999997"/>
    <n v="40.499999999999972"/>
  </r>
  <r>
    <s v="ORD-102683"/>
    <x v="534"/>
    <x v="8"/>
    <x v="2"/>
    <n v="2"/>
    <n v="59.99"/>
    <x v="0"/>
    <n v="50.99"/>
    <n v="101.98"/>
    <x v="1"/>
    <x v="0"/>
    <x v="4"/>
    <x v="14"/>
    <s v="Aragón"/>
    <x v="0"/>
    <m/>
    <n v="119.98"/>
    <n v="18"/>
  </r>
  <r>
    <s v="ORD-102684"/>
    <x v="532"/>
    <x v="6"/>
    <x v="0"/>
    <n v="1"/>
    <n v="89.99"/>
    <x v="3"/>
    <n v="80.989999999999995"/>
    <n v="80.989999999999995"/>
    <x v="1"/>
    <x v="0"/>
    <x v="3"/>
    <x v="9"/>
    <s v="Asturias"/>
    <x v="1"/>
    <m/>
    <n v="89.99"/>
    <n v="9"/>
  </r>
  <r>
    <s v="ORD-102685"/>
    <x v="667"/>
    <x v="1"/>
    <x v="1"/>
    <n v="1"/>
    <n v="399.99"/>
    <x v="3"/>
    <n v="359.99"/>
    <n v="359.99"/>
    <x v="1"/>
    <x v="3"/>
    <x v="3"/>
    <x v="1"/>
    <s v="Comunitat Valenciana"/>
    <x v="1"/>
    <m/>
    <n v="399.99"/>
    <n v="40"/>
  </r>
  <r>
    <s v="ORD-102686"/>
    <x v="174"/>
    <x v="5"/>
    <x v="1"/>
    <n v="4"/>
    <n v="149.99"/>
    <x v="1"/>
    <n v="149.99"/>
    <n v="599.96"/>
    <x v="2"/>
    <x v="1"/>
    <x v="0"/>
    <x v="3"/>
    <s v="Comunidad de Madrid"/>
    <x v="2"/>
    <m/>
    <n v="599.96"/>
    <n v="0"/>
  </r>
  <r>
    <s v="ORD-102687"/>
    <x v="600"/>
    <x v="19"/>
    <x v="0"/>
    <n v="3"/>
    <n v="1199.99"/>
    <x v="1"/>
    <n v="1199.99"/>
    <n v="3599.97"/>
    <x v="0"/>
    <x v="1"/>
    <x v="0"/>
    <x v="6"/>
    <s v="Comunitat Valenciana"/>
    <x v="0"/>
    <n v="4"/>
    <n v="3599.9700000000003"/>
    <n v="0"/>
  </r>
  <r>
    <s v="ORD-102688"/>
    <x v="419"/>
    <x v="11"/>
    <x v="0"/>
    <n v="1"/>
    <n v="349.99"/>
    <x v="1"/>
    <n v="349.99"/>
    <n v="349.99"/>
    <x v="0"/>
    <x v="1"/>
    <x v="1"/>
    <x v="0"/>
    <s v="Andalucía"/>
    <x v="0"/>
    <n v="4"/>
    <n v="349.99"/>
    <n v="0"/>
  </r>
  <r>
    <s v="ORD-102689"/>
    <x v="611"/>
    <x v="20"/>
    <x v="3"/>
    <n v="4"/>
    <n v="39.99"/>
    <x v="3"/>
    <n v="35.99"/>
    <n v="143.96"/>
    <x v="0"/>
    <x v="0"/>
    <x v="3"/>
    <x v="12"/>
    <s v="Región de Murcia"/>
    <x v="1"/>
    <n v="5"/>
    <n v="159.96"/>
    <n v="16"/>
  </r>
  <r>
    <s v="ORD-102690"/>
    <x v="366"/>
    <x v="21"/>
    <x v="0"/>
    <n v="1"/>
    <n v="799.99"/>
    <x v="1"/>
    <n v="799.99"/>
    <n v="799.99"/>
    <x v="0"/>
    <x v="1"/>
    <x v="0"/>
    <x v="4"/>
    <s v="Castilla y León"/>
    <x v="1"/>
    <n v="5"/>
    <n v="799.99"/>
    <n v="0"/>
  </r>
  <r>
    <s v="ORD-102691"/>
    <x v="355"/>
    <x v="11"/>
    <x v="0"/>
    <n v="4"/>
    <n v="349.99"/>
    <x v="0"/>
    <n v="297.49"/>
    <n v="1189.96"/>
    <x v="0"/>
    <x v="0"/>
    <x v="4"/>
    <x v="2"/>
    <s v="Navarra"/>
    <x v="1"/>
    <n v="5"/>
    <n v="1399.96"/>
    <n v="210"/>
  </r>
  <r>
    <s v="ORD-102692"/>
    <x v="167"/>
    <x v="5"/>
    <x v="1"/>
    <n v="5"/>
    <n v="149.99"/>
    <x v="2"/>
    <n v="142.49"/>
    <n v="712.45"/>
    <x v="1"/>
    <x v="0"/>
    <x v="2"/>
    <x v="13"/>
    <s v="Andalucía"/>
    <x v="0"/>
    <m/>
    <n v="749.95"/>
    <n v="37.5"/>
  </r>
  <r>
    <s v="ORD-102693"/>
    <x v="590"/>
    <x v="9"/>
    <x v="2"/>
    <n v="5"/>
    <n v="29.99"/>
    <x v="0"/>
    <n v="25.49"/>
    <n v="127.45"/>
    <x v="1"/>
    <x v="0"/>
    <x v="0"/>
    <x v="0"/>
    <s v="Andalucía"/>
    <x v="0"/>
    <m/>
    <n v="149.94999999999999"/>
    <n v="22.499999999999986"/>
  </r>
  <r>
    <s v="ORD-102694"/>
    <x v="495"/>
    <x v="24"/>
    <x v="3"/>
    <n v="3"/>
    <n v="89.99"/>
    <x v="1"/>
    <n v="89.99"/>
    <n v="269.97000000000003"/>
    <x v="0"/>
    <x v="1"/>
    <x v="1"/>
    <x v="7"/>
    <s v="Castilla y León"/>
    <x v="1"/>
    <n v="3"/>
    <n v="269.96999999999997"/>
    <n v="0"/>
  </r>
  <r>
    <s v="ORD-102695"/>
    <x v="195"/>
    <x v="28"/>
    <x v="0"/>
    <n v="1"/>
    <n v="499.99"/>
    <x v="1"/>
    <n v="499.99"/>
    <n v="499.99"/>
    <x v="0"/>
    <x v="1"/>
    <x v="3"/>
    <x v="11"/>
    <s v="Cataluña"/>
    <x v="2"/>
    <n v="1"/>
    <n v="499.99"/>
    <n v="0"/>
  </r>
  <r>
    <s v="ORD-102696"/>
    <x v="188"/>
    <x v="16"/>
    <x v="1"/>
    <n v="4"/>
    <n v="79.989999999999995"/>
    <x v="1"/>
    <n v="79.989999999999995"/>
    <n v="319.95999999999998"/>
    <x v="4"/>
    <x v="1"/>
    <x v="1"/>
    <x v="1"/>
    <s v="Comunitat Valenciana"/>
    <x v="1"/>
    <m/>
    <n v="319.95999999999998"/>
    <n v="0"/>
  </r>
  <r>
    <s v="ORD-102697"/>
    <x v="213"/>
    <x v="16"/>
    <x v="1"/>
    <n v="1"/>
    <n v="79.989999999999995"/>
    <x v="0"/>
    <n v="67.989999999999995"/>
    <n v="67.989999999999995"/>
    <x v="0"/>
    <x v="0"/>
    <x v="3"/>
    <x v="6"/>
    <s v="Comunitat Valenciana"/>
    <x v="0"/>
    <n v="4"/>
    <n v="79.989999999999995"/>
    <n v="12"/>
  </r>
  <r>
    <s v="ORD-102698"/>
    <x v="695"/>
    <x v="13"/>
    <x v="3"/>
    <n v="5"/>
    <n v="49.99"/>
    <x v="0"/>
    <n v="42.49"/>
    <n v="212.45"/>
    <x v="1"/>
    <x v="0"/>
    <x v="3"/>
    <x v="12"/>
    <s v="Región de Murcia"/>
    <x v="1"/>
    <m/>
    <n v="249.95000000000002"/>
    <n v="37.500000000000028"/>
  </r>
  <r>
    <s v="ORD-102699"/>
    <x v="565"/>
    <x v="26"/>
    <x v="1"/>
    <n v="3"/>
    <n v="599.99"/>
    <x v="1"/>
    <n v="599.99"/>
    <n v="1799.97"/>
    <x v="0"/>
    <x v="0"/>
    <x v="0"/>
    <x v="0"/>
    <s v="Andalucía"/>
    <x v="0"/>
    <n v="1"/>
    <n v="1799.97"/>
    <n v="0"/>
  </r>
  <r>
    <s v="ORD-102700"/>
    <x v="496"/>
    <x v="4"/>
    <x v="4"/>
    <n v="3"/>
    <n v="349.99"/>
    <x v="1"/>
    <n v="349.99"/>
    <n v="1049.97"/>
    <x v="0"/>
    <x v="0"/>
    <x v="1"/>
    <x v="0"/>
    <s v="Andalucía"/>
    <x v="0"/>
    <n v="4"/>
    <n v="1049.97"/>
    <n v="0"/>
  </r>
  <r>
    <s v="ORD-102701"/>
    <x v="2"/>
    <x v="17"/>
    <x v="0"/>
    <n v="5"/>
    <n v="899.99"/>
    <x v="0"/>
    <n v="764.99"/>
    <n v="3824.95"/>
    <x v="0"/>
    <x v="1"/>
    <x v="1"/>
    <x v="5"/>
    <s v="País Vasco"/>
    <x v="0"/>
    <n v="4"/>
    <n v="4499.95"/>
    <n v="675"/>
  </r>
  <r>
    <s v="ORD-102702"/>
    <x v="705"/>
    <x v="6"/>
    <x v="0"/>
    <n v="1"/>
    <n v="89.99"/>
    <x v="0"/>
    <n v="76.489999999999995"/>
    <n v="76.489999999999995"/>
    <x v="0"/>
    <x v="0"/>
    <x v="1"/>
    <x v="14"/>
    <s v="Aragón"/>
    <x v="0"/>
    <n v="2"/>
    <n v="89.99"/>
    <n v="13.5"/>
  </r>
  <r>
    <s v="ORD-102703"/>
    <x v="529"/>
    <x v="21"/>
    <x v="0"/>
    <n v="1"/>
    <n v="799.99"/>
    <x v="0"/>
    <n v="679.99"/>
    <n v="679.99"/>
    <x v="0"/>
    <x v="1"/>
    <x v="0"/>
    <x v="12"/>
    <s v="Región de Murcia"/>
    <x v="1"/>
    <n v="3"/>
    <n v="799.99"/>
    <n v="120"/>
  </r>
  <r>
    <s v="ORD-102704"/>
    <x v="602"/>
    <x v="29"/>
    <x v="0"/>
    <n v="5"/>
    <n v="129.99"/>
    <x v="1"/>
    <n v="129.99"/>
    <n v="649.95000000000005"/>
    <x v="0"/>
    <x v="0"/>
    <x v="0"/>
    <x v="9"/>
    <s v="Asturias"/>
    <x v="1"/>
    <n v="1"/>
    <n v="649.95000000000005"/>
    <n v="0"/>
  </r>
  <r>
    <s v="ORD-102705"/>
    <x v="34"/>
    <x v="27"/>
    <x v="1"/>
    <n v="3"/>
    <n v="49.99"/>
    <x v="3"/>
    <n v="44.99"/>
    <n v="134.97"/>
    <x v="1"/>
    <x v="2"/>
    <x v="1"/>
    <x v="7"/>
    <s v="Castilla y León"/>
    <x v="1"/>
    <m/>
    <n v="149.97"/>
    <n v="15"/>
  </r>
  <r>
    <s v="ORD-102706"/>
    <x v="345"/>
    <x v="20"/>
    <x v="3"/>
    <n v="3"/>
    <n v="39.99"/>
    <x v="1"/>
    <n v="39.99"/>
    <n v="119.97"/>
    <x v="0"/>
    <x v="0"/>
    <x v="4"/>
    <x v="13"/>
    <s v="Andalucía"/>
    <x v="0"/>
    <n v="3"/>
    <n v="119.97"/>
    <n v="0"/>
  </r>
  <r>
    <s v="ORD-102707"/>
    <x v="687"/>
    <x v="10"/>
    <x v="2"/>
    <n v="2"/>
    <n v="69.989999999999995"/>
    <x v="1"/>
    <n v="69.989999999999995"/>
    <n v="139.97999999999999"/>
    <x v="1"/>
    <x v="0"/>
    <x v="2"/>
    <x v="2"/>
    <s v="Navarra"/>
    <x v="1"/>
    <m/>
    <n v="139.97999999999999"/>
    <n v="0"/>
  </r>
  <r>
    <s v="ORD-102708"/>
    <x v="345"/>
    <x v="0"/>
    <x v="0"/>
    <n v="4"/>
    <n v="45.99"/>
    <x v="3"/>
    <n v="41.39"/>
    <n v="165.56"/>
    <x v="3"/>
    <x v="0"/>
    <x v="1"/>
    <x v="1"/>
    <s v="Comunitat Valenciana"/>
    <x v="1"/>
    <m/>
    <n v="183.96"/>
    <n v="18.400000000000006"/>
  </r>
  <r>
    <s v="ORD-102709"/>
    <x v="116"/>
    <x v="4"/>
    <x v="4"/>
    <n v="3"/>
    <n v="349.99"/>
    <x v="1"/>
    <n v="349.99"/>
    <n v="1049.97"/>
    <x v="0"/>
    <x v="0"/>
    <x v="2"/>
    <x v="5"/>
    <s v="País Vasco"/>
    <x v="0"/>
    <n v="4"/>
    <n v="1049.97"/>
    <n v="0"/>
  </r>
  <r>
    <s v="ORD-102710"/>
    <x v="418"/>
    <x v="19"/>
    <x v="0"/>
    <n v="5"/>
    <n v="1199.99"/>
    <x v="4"/>
    <n v="959.99"/>
    <n v="4799.95"/>
    <x v="1"/>
    <x v="1"/>
    <x v="0"/>
    <x v="9"/>
    <s v="Asturias"/>
    <x v="1"/>
    <m/>
    <n v="5999.95"/>
    <n v="1200"/>
  </r>
  <r>
    <s v="ORD-102711"/>
    <x v="395"/>
    <x v="17"/>
    <x v="0"/>
    <n v="5"/>
    <n v="899.99"/>
    <x v="1"/>
    <n v="899.99"/>
    <n v="4499.95"/>
    <x v="0"/>
    <x v="1"/>
    <x v="3"/>
    <x v="6"/>
    <s v="Comunitat Valenciana"/>
    <x v="0"/>
    <n v="2"/>
    <n v="4499.95"/>
    <n v="0"/>
  </r>
  <r>
    <s v="ORD-102712"/>
    <x v="432"/>
    <x v="12"/>
    <x v="2"/>
    <n v="5"/>
    <n v="189.99"/>
    <x v="0"/>
    <n v="161.49"/>
    <n v="807.45"/>
    <x v="1"/>
    <x v="1"/>
    <x v="4"/>
    <x v="7"/>
    <s v="Castilla y León"/>
    <x v="1"/>
    <m/>
    <n v="949.95"/>
    <n v="142.5"/>
  </r>
  <r>
    <s v="ORD-102713"/>
    <x v="315"/>
    <x v="28"/>
    <x v="0"/>
    <n v="2"/>
    <n v="499.99"/>
    <x v="1"/>
    <n v="499.99"/>
    <n v="999.98"/>
    <x v="4"/>
    <x v="2"/>
    <x v="3"/>
    <x v="4"/>
    <s v="Castilla y León"/>
    <x v="1"/>
    <m/>
    <n v="999.98"/>
    <n v="0"/>
  </r>
  <r>
    <s v="ORD-102714"/>
    <x v="28"/>
    <x v="2"/>
    <x v="2"/>
    <n v="2"/>
    <n v="299.99"/>
    <x v="1"/>
    <n v="299.99"/>
    <n v="599.98"/>
    <x v="2"/>
    <x v="0"/>
    <x v="0"/>
    <x v="2"/>
    <s v="Navarra"/>
    <x v="1"/>
    <m/>
    <n v="599.98"/>
    <n v="0"/>
  </r>
  <r>
    <s v="ORD-102715"/>
    <x v="225"/>
    <x v="15"/>
    <x v="3"/>
    <n v="2"/>
    <n v="69.989999999999995"/>
    <x v="1"/>
    <n v="69.989999999999995"/>
    <n v="139.97999999999999"/>
    <x v="1"/>
    <x v="0"/>
    <x v="0"/>
    <x v="2"/>
    <s v="Navarra"/>
    <x v="1"/>
    <m/>
    <n v="139.97999999999999"/>
    <n v="0"/>
  </r>
  <r>
    <s v="ORD-102716"/>
    <x v="577"/>
    <x v="11"/>
    <x v="0"/>
    <n v="2"/>
    <n v="349.99"/>
    <x v="1"/>
    <n v="349.99"/>
    <n v="699.98"/>
    <x v="0"/>
    <x v="0"/>
    <x v="3"/>
    <x v="3"/>
    <s v="Comunidad de Madrid"/>
    <x v="2"/>
    <n v="3"/>
    <n v="699.98"/>
    <n v="0"/>
  </r>
  <r>
    <s v="ORD-102717"/>
    <x v="396"/>
    <x v="22"/>
    <x v="4"/>
    <n v="1"/>
    <n v="44.99"/>
    <x v="1"/>
    <n v="44.99"/>
    <n v="44.99"/>
    <x v="1"/>
    <x v="1"/>
    <x v="2"/>
    <x v="0"/>
    <s v="Andalucía"/>
    <x v="0"/>
    <m/>
    <n v="44.99"/>
    <n v="0"/>
  </r>
  <r>
    <s v="ORD-102718"/>
    <x v="462"/>
    <x v="23"/>
    <x v="4"/>
    <n v="3"/>
    <n v="24.99"/>
    <x v="1"/>
    <n v="24.99"/>
    <n v="74.97"/>
    <x v="0"/>
    <x v="0"/>
    <x v="2"/>
    <x v="11"/>
    <s v="Cataluña"/>
    <x v="2"/>
    <n v="3"/>
    <n v="74.97"/>
    <n v="0"/>
  </r>
  <r>
    <s v="ORD-102719"/>
    <x v="249"/>
    <x v="4"/>
    <x v="4"/>
    <n v="3"/>
    <n v="349.99"/>
    <x v="3"/>
    <n v="314.99"/>
    <n v="944.97"/>
    <x v="1"/>
    <x v="0"/>
    <x v="3"/>
    <x v="13"/>
    <s v="Andalucía"/>
    <x v="0"/>
    <m/>
    <n v="1049.97"/>
    <n v="105"/>
  </r>
  <r>
    <s v="ORD-102720"/>
    <x v="130"/>
    <x v="12"/>
    <x v="2"/>
    <n v="4"/>
    <n v="189.99"/>
    <x v="1"/>
    <n v="189.99"/>
    <n v="759.96"/>
    <x v="0"/>
    <x v="3"/>
    <x v="0"/>
    <x v="13"/>
    <s v="Andalucía"/>
    <x v="0"/>
    <n v="5"/>
    <n v="759.96"/>
    <n v="0"/>
  </r>
  <r>
    <s v="ORD-102721"/>
    <x v="230"/>
    <x v="21"/>
    <x v="0"/>
    <n v="1"/>
    <n v="799.99"/>
    <x v="1"/>
    <n v="799.99"/>
    <n v="799.99"/>
    <x v="1"/>
    <x v="0"/>
    <x v="0"/>
    <x v="7"/>
    <s v="Castilla y León"/>
    <x v="1"/>
    <m/>
    <n v="799.99"/>
    <n v="0"/>
  </r>
  <r>
    <s v="ORD-102722"/>
    <x v="162"/>
    <x v="20"/>
    <x v="3"/>
    <n v="4"/>
    <n v="39.99"/>
    <x v="1"/>
    <n v="39.99"/>
    <n v="159.96"/>
    <x v="0"/>
    <x v="2"/>
    <x v="3"/>
    <x v="0"/>
    <s v="Andalucía"/>
    <x v="0"/>
    <n v="1"/>
    <n v="159.96"/>
    <n v="0"/>
  </r>
  <r>
    <s v="ORD-102723"/>
    <x v="580"/>
    <x v="13"/>
    <x v="3"/>
    <n v="2"/>
    <n v="49.99"/>
    <x v="1"/>
    <n v="49.99"/>
    <n v="99.98"/>
    <x v="2"/>
    <x v="2"/>
    <x v="1"/>
    <x v="6"/>
    <s v="Comunitat Valenciana"/>
    <x v="0"/>
    <m/>
    <n v="99.98"/>
    <n v="0"/>
  </r>
  <r>
    <s v="ORD-102724"/>
    <x v="621"/>
    <x v="4"/>
    <x v="4"/>
    <n v="2"/>
    <n v="349.99"/>
    <x v="1"/>
    <n v="349.99"/>
    <n v="699.98"/>
    <x v="0"/>
    <x v="0"/>
    <x v="3"/>
    <x v="5"/>
    <s v="País Vasco"/>
    <x v="0"/>
    <n v="1"/>
    <n v="699.98"/>
    <n v="0"/>
  </r>
  <r>
    <s v="ORD-102725"/>
    <x v="377"/>
    <x v="13"/>
    <x v="3"/>
    <n v="2"/>
    <n v="49.99"/>
    <x v="0"/>
    <n v="42.49"/>
    <n v="84.98"/>
    <x v="0"/>
    <x v="0"/>
    <x v="1"/>
    <x v="1"/>
    <s v="Comunitat Valenciana"/>
    <x v="1"/>
    <n v="4"/>
    <n v="99.98"/>
    <n v="15"/>
  </r>
  <r>
    <s v="ORD-102726"/>
    <x v="352"/>
    <x v="25"/>
    <x v="4"/>
    <n v="1"/>
    <n v="34.99"/>
    <x v="1"/>
    <n v="34.99"/>
    <n v="34.99"/>
    <x v="0"/>
    <x v="3"/>
    <x v="1"/>
    <x v="4"/>
    <s v="Castilla y León"/>
    <x v="1"/>
    <n v="2"/>
    <n v="34.99"/>
    <n v="0"/>
  </r>
  <r>
    <s v="ORD-102727"/>
    <x v="539"/>
    <x v="4"/>
    <x v="4"/>
    <n v="3"/>
    <n v="349.99"/>
    <x v="2"/>
    <n v="332.49"/>
    <n v="997.47"/>
    <x v="1"/>
    <x v="0"/>
    <x v="2"/>
    <x v="3"/>
    <s v="Comunidad de Madrid"/>
    <x v="2"/>
    <m/>
    <n v="1049.97"/>
    <n v="52.5"/>
  </r>
  <r>
    <s v="ORD-102728"/>
    <x v="363"/>
    <x v="9"/>
    <x v="2"/>
    <n v="4"/>
    <n v="29.99"/>
    <x v="2"/>
    <n v="28.49"/>
    <n v="113.96"/>
    <x v="2"/>
    <x v="1"/>
    <x v="0"/>
    <x v="11"/>
    <s v="Cataluña"/>
    <x v="2"/>
    <m/>
    <n v="119.96"/>
    <n v="6"/>
  </r>
  <r>
    <s v="ORD-102729"/>
    <x v="706"/>
    <x v="13"/>
    <x v="3"/>
    <n v="2"/>
    <n v="49.99"/>
    <x v="4"/>
    <n v="39.99"/>
    <n v="79.98"/>
    <x v="0"/>
    <x v="0"/>
    <x v="1"/>
    <x v="6"/>
    <s v="Comunitat Valenciana"/>
    <x v="0"/>
    <n v="3"/>
    <n v="99.98"/>
    <n v="20"/>
  </r>
  <r>
    <s v="ORD-102730"/>
    <x v="434"/>
    <x v="29"/>
    <x v="0"/>
    <n v="2"/>
    <n v="129.99"/>
    <x v="4"/>
    <n v="103.99"/>
    <n v="207.98"/>
    <x v="0"/>
    <x v="0"/>
    <x v="0"/>
    <x v="5"/>
    <s v="País Vasco"/>
    <x v="0"/>
    <n v="4"/>
    <n v="259.98"/>
    <n v="52.000000000000028"/>
  </r>
  <r>
    <s v="ORD-102731"/>
    <x v="646"/>
    <x v="10"/>
    <x v="2"/>
    <n v="2"/>
    <n v="69.989999999999995"/>
    <x v="1"/>
    <n v="69.989999999999995"/>
    <n v="139.97999999999999"/>
    <x v="0"/>
    <x v="3"/>
    <x v="1"/>
    <x v="7"/>
    <s v="Castilla y León"/>
    <x v="1"/>
    <n v="2"/>
    <n v="139.97999999999999"/>
    <n v="0"/>
  </r>
  <r>
    <s v="ORD-102732"/>
    <x v="297"/>
    <x v="11"/>
    <x v="0"/>
    <n v="1"/>
    <n v="349.99"/>
    <x v="1"/>
    <n v="349.99"/>
    <n v="349.99"/>
    <x v="0"/>
    <x v="3"/>
    <x v="0"/>
    <x v="1"/>
    <s v="Comunitat Valenciana"/>
    <x v="1"/>
    <n v="1"/>
    <n v="349.99"/>
    <n v="0"/>
  </r>
  <r>
    <s v="ORD-102733"/>
    <x v="163"/>
    <x v="19"/>
    <x v="0"/>
    <n v="2"/>
    <n v="1199.99"/>
    <x v="1"/>
    <n v="1199.99"/>
    <n v="2399.98"/>
    <x v="0"/>
    <x v="0"/>
    <x v="1"/>
    <x v="12"/>
    <s v="Región de Murcia"/>
    <x v="1"/>
    <n v="1"/>
    <n v="2399.98"/>
    <n v="0"/>
  </r>
  <r>
    <s v="ORD-102734"/>
    <x v="519"/>
    <x v="23"/>
    <x v="4"/>
    <n v="4"/>
    <n v="24.99"/>
    <x v="4"/>
    <n v="19.989999999999998"/>
    <n v="79.959999999999994"/>
    <x v="0"/>
    <x v="2"/>
    <x v="3"/>
    <x v="4"/>
    <s v="Castilla y León"/>
    <x v="1"/>
    <n v="4"/>
    <n v="99.96"/>
    <n v="20"/>
  </r>
  <r>
    <s v="ORD-102735"/>
    <x v="306"/>
    <x v="18"/>
    <x v="2"/>
    <n v="4"/>
    <n v="99.99"/>
    <x v="3"/>
    <n v="89.99"/>
    <n v="359.96"/>
    <x v="1"/>
    <x v="2"/>
    <x v="0"/>
    <x v="2"/>
    <s v="Navarra"/>
    <x v="1"/>
    <m/>
    <n v="399.96"/>
    <n v="40"/>
  </r>
  <r>
    <s v="ORD-102736"/>
    <x v="202"/>
    <x v="29"/>
    <x v="0"/>
    <n v="3"/>
    <n v="129.99"/>
    <x v="0"/>
    <n v="110.49"/>
    <n v="331.47"/>
    <x v="0"/>
    <x v="0"/>
    <x v="4"/>
    <x v="3"/>
    <s v="Comunidad de Madrid"/>
    <x v="2"/>
    <n v="2"/>
    <n v="389.97"/>
    <n v="58.5"/>
  </r>
  <r>
    <s v="ORD-102737"/>
    <x v="308"/>
    <x v="5"/>
    <x v="1"/>
    <n v="3"/>
    <n v="149.99"/>
    <x v="4"/>
    <n v="119.99"/>
    <n v="359.97"/>
    <x v="0"/>
    <x v="0"/>
    <x v="0"/>
    <x v="0"/>
    <s v="Andalucía"/>
    <x v="0"/>
    <n v="2"/>
    <n v="449.97"/>
    <n v="90"/>
  </r>
  <r>
    <s v="ORD-102738"/>
    <x v="310"/>
    <x v="11"/>
    <x v="0"/>
    <n v="5"/>
    <n v="349.99"/>
    <x v="1"/>
    <n v="349.99"/>
    <n v="1749.95"/>
    <x v="0"/>
    <x v="1"/>
    <x v="1"/>
    <x v="2"/>
    <s v="Navarra"/>
    <x v="1"/>
    <n v="1"/>
    <n v="1749.95"/>
    <n v="0"/>
  </r>
  <r>
    <s v="ORD-102739"/>
    <x v="141"/>
    <x v="26"/>
    <x v="1"/>
    <n v="2"/>
    <n v="599.99"/>
    <x v="1"/>
    <n v="599.99"/>
    <n v="1199.98"/>
    <x v="1"/>
    <x v="0"/>
    <x v="2"/>
    <x v="6"/>
    <s v="Comunitat Valenciana"/>
    <x v="0"/>
    <m/>
    <n v="1199.98"/>
    <n v="0"/>
  </r>
  <r>
    <s v="ORD-102740"/>
    <x v="707"/>
    <x v="26"/>
    <x v="1"/>
    <n v="4"/>
    <n v="599.99"/>
    <x v="4"/>
    <n v="479.99"/>
    <n v="1919.96"/>
    <x v="0"/>
    <x v="1"/>
    <x v="1"/>
    <x v="4"/>
    <s v="Castilla y León"/>
    <x v="1"/>
    <n v="1"/>
    <n v="2399.96"/>
    <n v="480"/>
  </r>
  <r>
    <s v="ORD-102741"/>
    <x v="287"/>
    <x v="9"/>
    <x v="2"/>
    <n v="4"/>
    <n v="29.99"/>
    <x v="1"/>
    <n v="29.99"/>
    <n v="119.96"/>
    <x v="2"/>
    <x v="0"/>
    <x v="1"/>
    <x v="13"/>
    <s v="Andalucía"/>
    <x v="0"/>
    <m/>
    <n v="119.96"/>
    <n v="0"/>
  </r>
  <r>
    <s v="ORD-102742"/>
    <x v="587"/>
    <x v="22"/>
    <x v="4"/>
    <n v="2"/>
    <n v="44.99"/>
    <x v="1"/>
    <n v="44.99"/>
    <n v="89.98"/>
    <x v="0"/>
    <x v="1"/>
    <x v="0"/>
    <x v="14"/>
    <s v="Aragón"/>
    <x v="0"/>
    <n v="4"/>
    <n v="89.98"/>
    <n v="0"/>
  </r>
  <r>
    <s v="ORD-102743"/>
    <x v="353"/>
    <x v="8"/>
    <x v="2"/>
    <n v="4"/>
    <n v="59.99"/>
    <x v="0"/>
    <n v="50.99"/>
    <n v="203.96"/>
    <x v="0"/>
    <x v="2"/>
    <x v="0"/>
    <x v="7"/>
    <s v="Castilla y León"/>
    <x v="1"/>
    <n v="2"/>
    <n v="239.96"/>
    <n v="36"/>
  </r>
  <r>
    <s v="ORD-102744"/>
    <x v="343"/>
    <x v="27"/>
    <x v="1"/>
    <n v="1"/>
    <n v="49.99"/>
    <x v="4"/>
    <n v="39.99"/>
    <n v="39.99"/>
    <x v="3"/>
    <x v="1"/>
    <x v="3"/>
    <x v="2"/>
    <s v="Navarra"/>
    <x v="1"/>
    <m/>
    <n v="49.99"/>
    <n v="10"/>
  </r>
  <r>
    <s v="ORD-102745"/>
    <x v="183"/>
    <x v="13"/>
    <x v="3"/>
    <n v="3"/>
    <n v="49.99"/>
    <x v="3"/>
    <n v="44.99"/>
    <n v="134.97"/>
    <x v="1"/>
    <x v="2"/>
    <x v="3"/>
    <x v="6"/>
    <s v="Comunitat Valenciana"/>
    <x v="0"/>
    <m/>
    <n v="149.97"/>
    <n v="15"/>
  </r>
  <r>
    <s v="ORD-102746"/>
    <x v="509"/>
    <x v="21"/>
    <x v="0"/>
    <n v="4"/>
    <n v="799.99"/>
    <x v="3"/>
    <n v="719.99"/>
    <n v="2879.96"/>
    <x v="1"/>
    <x v="2"/>
    <x v="0"/>
    <x v="11"/>
    <s v="Cataluña"/>
    <x v="2"/>
    <m/>
    <n v="3199.96"/>
    <n v="320"/>
  </r>
  <r>
    <s v="ORD-102747"/>
    <x v="591"/>
    <x v="6"/>
    <x v="0"/>
    <n v="1"/>
    <n v="89.99"/>
    <x v="1"/>
    <n v="89.99"/>
    <n v="89.99"/>
    <x v="0"/>
    <x v="0"/>
    <x v="1"/>
    <x v="7"/>
    <s v="Castilla y León"/>
    <x v="1"/>
    <n v="5"/>
    <n v="89.99"/>
    <n v="0"/>
  </r>
  <r>
    <s v="ORD-102748"/>
    <x v="601"/>
    <x v="8"/>
    <x v="2"/>
    <n v="5"/>
    <n v="59.99"/>
    <x v="1"/>
    <n v="59.99"/>
    <n v="299.95"/>
    <x v="1"/>
    <x v="3"/>
    <x v="0"/>
    <x v="4"/>
    <s v="Castilla y León"/>
    <x v="1"/>
    <m/>
    <n v="299.95"/>
    <n v="0"/>
  </r>
  <r>
    <s v="ORD-102749"/>
    <x v="472"/>
    <x v="4"/>
    <x v="4"/>
    <n v="4"/>
    <n v="349.99"/>
    <x v="1"/>
    <n v="349.99"/>
    <n v="1399.96"/>
    <x v="1"/>
    <x v="1"/>
    <x v="0"/>
    <x v="2"/>
    <s v="Navarra"/>
    <x v="1"/>
    <m/>
    <n v="1399.96"/>
    <n v="0"/>
  </r>
  <r>
    <s v="ORD-102750"/>
    <x v="494"/>
    <x v="15"/>
    <x v="3"/>
    <n v="1"/>
    <n v="69.989999999999995"/>
    <x v="3"/>
    <n v="62.99"/>
    <n v="62.99"/>
    <x v="4"/>
    <x v="0"/>
    <x v="3"/>
    <x v="1"/>
    <s v="Comunitat Valenciana"/>
    <x v="1"/>
    <m/>
    <n v="69.989999999999995"/>
    <n v="6.9999999999999929"/>
  </r>
  <r>
    <s v="ORD-102751"/>
    <x v="101"/>
    <x v="24"/>
    <x v="3"/>
    <n v="1"/>
    <n v="89.99"/>
    <x v="2"/>
    <n v="85.49"/>
    <n v="85.49"/>
    <x v="0"/>
    <x v="0"/>
    <x v="3"/>
    <x v="6"/>
    <s v="Comunitat Valenciana"/>
    <x v="0"/>
    <n v="4"/>
    <n v="89.99"/>
    <n v="4.5"/>
  </r>
  <r>
    <s v="ORD-102752"/>
    <x v="618"/>
    <x v="28"/>
    <x v="0"/>
    <n v="2"/>
    <n v="499.99"/>
    <x v="3"/>
    <n v="449.99"/>
    <n v="899.98"/>
    <x v="0"/>
    <x v="0"/>
    <x v="2"/>
    <x v="6"/>
    <s v="Comunitat Valenciana"/>
    <x v="0"/>
    <n v="2"/>
    <n v="999.98"/>
    <n v="100"/>
  </r>
  <r>
    <s v="ORD-102753"/>
    <x v="267"/>
    <x v="0"/>
    <x v="0"/>
    <n v="4"/>
    <n v="45.99"/>
    <x v="1"/>
    <n v="45.99"/>
    <n v="183.96"/>
    <x v="0"/>
    <x v="1"/>
    <x v="0"/>
    <x v="14"/>
    <s v="Aragón"/>
    <x v="0"/>
    <n v="4"/>
    <n v="183.96"/>
    <n v="0"/>
  </r>
  <r>
    <s v="ORD-102754"/>
    <x v="561"/>
    <x v="22"/>
    <x v="4"/>
    <n v="2"/>
    <n v="44.99"/>
    <x v="0"/>
    <n v="38.24"/>
    <n v="76.48"/>
    <x v="1"/>
    <x v="1"/>
    <x v="0"/>
    <x v="10"/>
    <s v="Cantabria"/>
    <x v="1"/>
    <m/>
    <n v="89.98"/>
    <n v="13.5"/>
  </r>
  <r>
    <s v="ORD-102755"/>
    <x v="216"/>
    <x v="13"/>
    <x v="3"/>
    <n v="3"/>
    <n v="49.99"/>
    <x v="2"/>
    <n v="47.49"/>
    <n v="142.47"/>
    <x v="2"/>
    <x v="0"/>
    <x v="3"/>
    <x v="8"/>
    <s v="La Rioja"/>
    <x v="1"/>
    <m/>
    <n v="149.97"/>
    <n v="7.5"/>
  </r>
  <r>
    <s v="ORD-102756"/>
    <x v="225"/>
    <x v="16"/>
    <x v="1"/>
    <n v="5"/>
    <n v="79.989999999999995"/>
    <x v="3"/>
    <n v="71.989999999999995"/>
    <n v="359.95"/>
    <x v="0"/>
    <x v="0"/>
    <x v="3"/>
    <x v="14"/>
    <s v="Aragón"/>
    <x v="0"/>
    <n v="2"/>
    <n v="399.95"/>
    <n v="40"/>
  </r>
  <r>
    <s v="ORD-102757"/>
    <x v="708"/>
    <x v="4"/>
    <x v="4"/>
    <n v="3"/>
    <n v="349.99"/>
    <x v="3"/>
    <n v="314.99"/>
    <n v="944.97"/>
    <x v="1"/>
    <x v="1"/>
    <x v="0"/>
    <x v="2"/>
    <s v="Navarra"/>
    <x v="1"/>
    <m/>
    <n v="1049.97"/>
    <n v="105"/>
  </r>
  <r>
    <s v="ORD-102758"/>
    <x v="345"/>
    <x v="18"/>
    <x v="2"/>
    <n v="3"/>
    <n v="99.99"/>
    <x v="1"/>
    <n v="99.99"/>
    <n v="299.97000000000003"/>
    <x v="1"/>
    <x v="1"/>
    <x v="1"/>
    <x v="12"/>
    <s v="Región de Murcia"/>
    <x v="1"/>
    <m/>
    <n v="299.96999999999997"/>
    <n v="0"/>
  </r>
  <r>
    <s v="ORD-102759"/>
    <x v="195"/>
    <x v="20"/>
    <x v="3"/>
    <n v="4"/>
    <n v="39.99"/>
    <x v="0"/>
    <n v="33.99"/>
    <n v="135.96"/>
    <x v="1"/>
    <x v="2"/>
    <x v="3"/>
    <x v="6"/>
    <s v="Comunitat Valenciana"/>
    <x v="0"/>
    <m/>
    <n v="159.96"/>
    <n v="24"/>
  </r>
  <r>
    <s v="ORD-102760"/>
    <x v="343"/>
    <x v="3"/>
    <x v="3"/>
    <n v="2"/>
    <n v="34.99"/>
    <x v="1"/>
    <n v="34.99"/>
    <n v="69.98"/>
    <x v="0"/>
    <x v="1"/>
    <x v="0"/>
    <x v="4"/>
    <s v="Castilla y León"/>
    <x v="1"/>
    <n v="2"/>
    <n v="69.98"/>
    <n v="0"/>
  </r>
  <r>
    <s v="ORD-102761"/>
    <x v="241"/>
    <x v="22"/>
    <x v="4"/>
    <n v="3"/>
    <n v="44.99"/>
    <x v="3"/>
    <n v="40.49"/>
    <n v="121.47"/>
    <x v="0"/>
    <x v="0"/>
    <x v="3"/>
    <x v="13"/>
    <s v="Andalucía"/>
    <x v="0"/>
    <n v="5"/>
    <n v="134.97"/>
    <n v="13.5"/>
  </r>
  <r>
    <s v="ORD-102762"/>
    <x v="71"/>
    <x v="11"/>
    <x v="0"/>
    <n v="5"/>
    <n v="349.99"/>
    <x v="1"/>
    <n v="349.99"/>
    <n v="1749.95"/>
    <x v="0"/>
    <x v="1"/>
    <x v="4"/>
    <x v="14"/>
    <s v="Aragón"/>
    <x v="0"/>
    <n v="2"/>
    <n v="1749.95"/>
    <n v="0"/>
  </r>
  <r>
    <s v="ORD-102763"/>
    <x v="282"/>
    <x v="13"/>
    <x v="3"/>
    <n v="1"/>
    <n v="49.99"/>
    <x v="1"/>
    <n v="49.99"/>
    <n v="49.99"/>
    <x v="0"/>
    <x v="3"/>
    <x v="1"/>
    <x v="8"/>
    <s v="La Rioja"/>
    <x v="1"/>
    <n v="2"/>
    <n v="49.99"/>
    <n v="0"/>
  </r>
  <r>
    <s v="ORD-102764"/>
    <x v="164"/>
    <x v="11"/>
    <x v="0"/>
    <n v="5"/>
    <n v="349.99"/>
    <x v="1"/>
    <n v="349.99"/>
    <n v="1749.95"/>
    <x v="0"/>
    <x v="1"/>
    <x v="3"/>
    <x v="9"/>
    <s v="Asturias"/>
    <x v="1"/>
    <n v="4"/>
    <n v="1749.95"/>
    <n v="0"/>
  </r>
  <r>
    <s v="ORD-102765"/>
    <x v="38"/>
    <x v="26"/>
    <x v="1"/>
    <n v="2"/>
    <n v="599.99"/>
    <x v="0"/>
    <n v="509.99"/>
    <n v="1019.98"/>
    <x v="0"/>
    <x v="1"/>
    <x v="0"/>
    <x v="8"/>
    <s v="La Rioja"/>
    <x v="1"/>
    <n v="2"/>
    <n v="1199.98"/>
    <n v="180"/>
  </r>
  <r>
    <s v="ORD-102766"/>
    <x v="164"/>
    <x v="3"/>
    <x v="3"/>
    <n v="4"/>
    <n v="34.99"/>
    <x v="1"/>
    <n v="34.99"/>
    <n v="139.96"/>
    <x v="0"/>
    <x v="1"/>
    <x v="0"/>
    <x v="5"/>
    <s v="País Vasco"/>
    <x v="0"/>
    <n v="5"/>
    <n v="139.96"/>
    <n v="0"/>
  </r>
  <r>
    <s v="ORD-102767"/>
    <x v="656"/>
    <x v="0"/>
    <x v="0"/>
    <n v="2"/>
    <n v="45.99"/>
    <x v="1"/>
    <n v="45.99"/>
    <n v="91.98"/>
    <x v="1"/>
    <x v="1"/>
    <x v="1"/>
    <x v="0"/>
    <s v="Andalucía"/>
    <x v="0"/>
    <m/>
    <n v="91.98"/>
    <n v="0"/>
  </r>
  <r>
    <s v="ORD-102768"/>
    <x v="449"/>
    <x v="17"/>
    <x v="0"/>
    <n v="3"/>
    <n v="899.99"/>
    <x v="3"/>
    <n v="809.99"/>
    <n v="2429.9699999999998"/>
    <x v="0"/>
    <x v="0"/>
    <x v="2"/>
    <x v="8"/>
    <s v="La Rioja"/>
    <x v="1"/>
    <n v="1"/>
    <n v="2699.9700000000003"/>
    <n v="270.00000000000045"/>
  </r>
  <r>
    <s v="ORD-102769"/>
    <x v="260"/>
    <x v="6"/>
    <x v="0"/>
    <n v="2"/>
    <n v="89.99"/>
    <x v="4"/>
    <n v="71.989999999999995"/>
    <n v="143.97999999999999"/>
    <x v="0"/>
    <x v="0"/>
    <x v="0"/>
    <x v="8"/>
    <s v="La Rioja"/>
    <x v="1"/>
    <n v="3"/>
    <n v="179.98"/>
    <n v="36"/>
  </r>
  <r>
    <s v="ORD-102770"/>
    <x v="52"/>
    <x v="12"/>
    <x v="2"/>
    <n v="1"/>
    <n v="189.99"/>
    <x v="0"/>
    <n v="161.49"/>
    <n v="161.49"/>
    <x v="0"/>
    <x v="2"/>
    <x v="3"/>
    <x v="6"/>
    <s v="Comunitat Valenciana"/>
    <x v="0"/>
    <n v="5"/>
    <n v="189.99"/>
    <n v="28.5"/>
  </r>
  <r>
    <s v="ORD-102771"/>
    <x v="525"/>
    <x v="20"/>
    <x v="3"/>
    <n v="3"/>
    <n v="39.99"/>
    <x v="1"/>
    <n v="39.99"/>
    <n v="119.97"/>
    <x v="0"/>
    <x v="0"/>
    <x v="0"/>
    <x v="1"/>
    <s v="Comunitat Valenciana"/>
    <x v="1"/>
    <n v="5"/>
    <n v="119.97"/>
    <n v="0"/>
  </r>
  <r>
    <s v="ORD-102772"/>
    <x v="599"/>
    <x v="17"/>
    <x v="0"/>
    <n v="4"/>
    <n v="899.99"/>
    <x v="1"/>
    <n v="899.99"/>
    <n v="3599.96"/>
    <x v="4"/>
    <x v="0"/>
    <x v="2"/>
    <x v="2"/>
    <s v="Navarra"/>
    <x v="1"/>
    <m/>
    <n v="3599.96"/>
    <n v="0"/>
  </r>
  <r>
    <s v="ORD-102773"/>
    <x v="709"/>
    <x v="17"/>
    <x v="0"/>
    <n v="4"/>
    <n v="899.99"/>
    <x v="1"/>
    <n v="899.99"/>
    <n v="3599.96"/>
    <x v="0"/>
    <x v="2"/>
    <x v="3"/>
    <x v="7"/>
    <s v="Castilla y León"/>
    <x v="1"/>
    <n v="5"/>
    <n v="3599.96"/>
    <n v="0"/>
  </r>
  <r>
    <s v="ORD-102774"/>
    <x v="660"/>
    <x v="28"/>
    <x v="0"/>
    <n v="3"/>
    <n v="499.99"/>
    <x v="3"/>
    <n v="449.99"/>
    <n v="1349.97"/>
    <x v="0"/>
    <x v="3"/>
    <x v="1"/>
    <x v="10"/>
    <s v="Cantabria"/>
    <x v="1"/>
    <n v="3"/>
    <n v="1499.97"/>
    <n v="150"/>
  </r>
  <r>
    <s v="ORD-102775"/>
    <x v="49"/>
    <x v="10"/>
    <x v="2"/>
    <n v="3"/>
    <n v="69.989999999999995"/>
    <x v="4"/>
    <n v="55.99"/>
    <n v="167.97"/>
    <x v="1"/>
    <x v="0"/>
    <x v="0"/>
    <x v="1"/>
    <s v="Comunitat Valenciana"/>
    <x v="1"/>
    <m/>
    <n v="209.96999999999997"/>
    <n v="41.999999999999972"/>
  </r>
  <r>
    <s v="ORD-102776"/>
    <x v="710"/>
    <x v="12"/>
    <x v="2"/>
    <n v="2"/>
    <n v="189.99"/>
    <x v="1"/>
    <n v="189.99"/>
    <n v="379.98"/>
    <x v="1"/>
    <x v="2"/>
    <x v="2"/>
    <x v="10"/>
    <s v="Cantabria"/>
    <x v="1"/>
    <m/>
    <n v="379.98"/>
    <n v="0"/>
  </r>
  <r>
    <s v="ORD-102777"/>
    <x v="46"/>
    <x v="6"/>
    <x v="0"/>
    <n v="2"/>
    <n v="89.99"/>
    <x v="1"/>
    <n v="89.99"/>
    <n v="179.98"/>
    <x v="0"/>
    <x v="0"/>
    <x v="0"/>
    <x v="10"/>
    <s v="Cantabria"/>
    <x v="1"/>
    <n v="5"/>
    <n v="179.98"/>
    <n v="0"/>
  </r>
  <r>
    <s v="ORD-102778"/>
    <x v="701"/>
    <x v="5"/>
    <x v="1"/>
    <n v="2"/>
    <n v="149.99"/>
    <x v="4"/>
    <n v="119.99"/>
    <n v="239.98"/>
    <x v="4"/>
    <x v="1"/>
    <x v="4"/>
    <x v="5"/>
    <s v="País Vasco"/>
    <x v="0"/>
    <m/>
    <n v="299.98"/>
    <n v="60.000000000000028"/>
  </r>
  <r>
    <s v="ORD-102779"/>
    <x v="491"/>
    <x v="18"/>
    <x v="2"/>
    <n v="1"/>
    <n v="99.99"/>
    <x v="1"/>
    <n v="99.99"/>
    <n v="99.99"/>
    <x v="0"/>
    <x v="0"/>
    <x v="2"/>
    <x v="1"/>
    <s v="Comunitat Valenciana"/>
    <x v="1"/>
    <n v="4"/>
    <n v="99.99"/>
    <n v="0"/>
  </r>
  <r>
    <s v="ORD-102780"/>
    <x v="361"/>
    <x v="27"/>
    <x v="1"/>
    <n v="5"/>
    <n v="49.99"/>
    <x v="3"/>
    <n v="44.99"/>
    <n v="224.95"/>
    <x v="0"/>
    <x v="1"/>
    <x v="1"/>
    <x v="10"/>
    <s v="Cantabria"/>
    <x v="1"/>
    <n v="5"/>
    <n v="249.95000000000002"/>
    <n v="25.000000000000028"/>
  </r>
  <r>
    <s v="ORD-102781"/>
    <x v="177"/>
    <x v="21"/>
    <x v="0"/>
    <n v="1"/>
    <n v="799.99"/>
    <x v="0"/>
    <n v="679.99"/>
    <n v="679.99"/>
    <x v="0"/>
    <x v="0"/>
    <x v="3"/>
    <x v="3"/>
    <s v="Comunidad de Madrid"/>
    <x v="2"/>
    <n v="4"/>
    <n v="799.99"/>
    <n v="120"/>
  </r>
  <r>
    <s v="ORD-102782"/>
    <x v="663"/>
    <x v="10"/>
    <x v="2"/>
    <n v="2"/>
    <n v="69.989999999999995"/>
    <x v="0"/>
    <n v="59.49"/>
    <n v="118.98"/>
    <x v="0"/>
    <x v="0"/>
    <x v="0"/>
    <x v="3"/>
    <s v="Comunidad de Madrid"/>
    <x v="2"/>
    <n v="2"/>
    <n v="139.97999999999999"/>
    <n v="20.999999999999986"/>
  </r>
  <r>
    <s v="ORD-102783"/>
    <x v="26"/>
    <x v="24"/>
    <x v="3"/>
    <n v="2"/>
    <n v="89.99"/>
    <x v="3"/>
    <n v="80.989999999999995"/>
    <n v="161.97999999999999"/>
    <x v="0"/>
    <x v="0"/>
    <x v="0"/>
    <x v="8"/>
    <s v="La Rioja"/>
    <x v="1"/>
    <n v="1"/>
    <n v="179.98"/>
    <n v="18"/>
  </r>
  <r>
    <s v="ORD-102784"/>
    <x v="574"/>
    <x v="8"/>
    <x v="2"/>
    <n v="2"/>
    <n v="59.99"/>
    <x v="1"/>
    <n v="59.99"/>
    <n v="119.98"/>
    <x v="0"/>
    <x v="2"/>
    <x v="3"/>
    <x v="7"/>
    <s v="Castilla y León"/>
    <x v="1"/>
    <n v="1"/>
    <n v="119.98"/>
    <n v="0"/>
  </r>
  <r>
    <s v="ORD-102785"/>
    <x v="490"/>
    <x v="5"/>
    <x v="1"/>
    <n v="2"/>
    <n v="149.99"/>
    <x v="2"/>
    <n v="142.49"/>
    <n v="284.98"/>
    <x v="2"/>
    <x v="0"/>
    <x v="1"/>
    <x v="1"/>
    <s v="Comunitat Valenciana"/>
    <x v="1"/>
    <m/>
    <n v="299.98"/>
    <n v="15"/>
  </r>
  <r>
    <s v="ORD-102786"/>
    <x v="345"/>
    <x v="17"/>
    <x v="0"/>
    <n v="1"/>
    <n v="899.99"/>
    <x v="2"/>
    <n v="854.99"/>
    <n v="854.99"/>
    <x v="0"/>
    <x v="0"/>
    <x v="2"/>
    <x v="10"/>
    <s v="Cantabria"/>
    <x v="1"/>
    <n v="4"/>
    <n v="899.99"/>
    <n v="45"/>
  </r>
  <r>
    <s v="ORD-102787"/>
    <x v="486"/>
    <x v="4"/>
    <x v="4"/>
    <n v="2"/>
    <n v="349.99"/>
    <x v="1"/>
    <n v="349.99"/>
    <n v="699.98"/>
    <x v="2"/>
    <x v="0"/>
    <x v="2"/>
    <x v="4"/>
    <s v="Castilla y León"/>
    <x v="1"/>
    <m/>
    <n v="699.98"/>
    <n v="0"/>
  </r>
  <r>
    <s v="ORD-102788"/>
    <x v="230"/>
    <x v="23"/>
    <x v="4"/>
    <n v="4"/>
    <n v="24.99"/>
    <x v="0"/>
    <n v="21.24"/>
    <n v="84.96"/>
    <x v="1"/>
    <x v="0"/>
    <x v="3"/>
    <x v="0"/>
    <s v="Andalucía"/>
    <x v="0"/>
    <m/>
    <n v="99.96"/>
    <n v="15"/>
  </r>
  <r>
    <s v="ORD-102789"/>
    <x v="71"/>
    <x v="14"/>
    <x v="1"/>
    <n v="3"/>
    <n v="249.99"/>
    <x v="0"/>
    <n v="212.49"/>
    <n v="637.47"/>
    <x v="0"/>
    <x v="3"/>
    <x v="4"/>
    <x v="9"/>
    <s v="Asturias"/>
    <x v="1"/>
    <n v="4"/>
    <n v="749.97"/>
    <n v="112.5"/>
  </r>
  <r>
    <s v="ORD-102790"/>
    <x v="169"/>
    <x v="20"/>
    <x v="3"/>
    <n v="4"/>
    <n v="39.99"/>
    <x v="1"/>
    <n v="39.99"/>
    <n v="159.96"/>
    <x v="0"/>
    <x v="0"/>
    <x v="1"/>
    <x v="7"/>
    <s v="Castilla y León"/>
    <x v="1"/>
    <n v="1"/>
    <n v="159.96"/>
    <n v="0"/>
  </r>
  <r>
    <s v="ORD-102791"/>
    <x v="119"/>
    <x v="21"/>
    <x v="0"/>
    <n v="2"/>
    <n v="799.99"/>
    <x v="0"/>
    <n v="679.99"/>
    <n v="1359.98"/>
    <x v="0"/>
    <x v="0"/>
    <x v="0"/>
    <x v="6"/>
    <s v="Comunitat Valenciana"/>
    <x v="0"/>
    <n v="5"/>
    <n v="1599.98"/>
    <n v="240"/>
  </r>
  <r>
    <s v="ORD-102792"/>
    <x v="18"/>
    <x v="0"/>
    <x v="0"/>
    <n v="5"/>
    <n v="45.99"/>
    <x v="4"/>
    <n v="36.79"/>
    <n v="183.95"/>
    <x v="0"/>
    <x v="0"/>
    <x v="0"/>
    <x v="0"/>
    <s v="Andalucía"/>
    <x v="0"/>
    <n v="5"/>
    <n v="229.95000000000002"/>
    <n v="46.000000000000028"/>
  </r>
  <r>
    <s v="ORD-102793"/>
    <x v="309"/>
    <x v="14"/>
    <x v="1"/>
    <n v="4"/>
    <n v="249.99"/>
    <x v="1"/>
    <n v="249.99"/>
    <n v="999.96"/>
    <x v="1"/>
    <x v="1"/>
    <x v="1"/>
    <x v="2"/>
    <s v="Navarra"/>
    <x v="1"/>
    <m/>
    <n v="999.96"/>
    <n v="0"/>
  </r>
  <r>
    <s v="ORD-102794"/>
    <x v="426"/>
    <x v="23"/>
    <x v="4"/>
    <n v="4"/>
    <n v="24.99"/>
    <x v="2"/>
    <n v="23.74"/>
    <n v="94.96"/>
    <x v="0"/>
    <x v="0"/>
    <x v="1"/>
    <x v="9"/>
    <s v="Asturias"/>
    <x v="1"/>
    <n v="3"/>
    <n v="99.96"/>
    <n v="5"/>
  </r>
  <r>
    <s v="ORD-102795"/>
    <x v="308"/>
    <x v="29"/>
    <x v="0"/>
    <n v="1"/>
    <n v="129.99"/>
    <x v="0"/>
    <n v="110.49"/>
    <n v="110.49"/>
    <x v="2"/>
    <x v="1"/>
    <x v="2"/>
    <x v="7"/>
    <s v="Castilla y León"/>
    <x v="1"/>
    <m/>
    <n v="129.99"/>
    <n v="19.500000000000014"/>
  </r>
  <r>
    <s v="ORD-102796"/>
    <x v="497"/>
    <x v="28"/>
    <x v="0"/>
    <n v="1"/>
    <n v="499.99"/>
    <x v="3"/>
    <n v="449.99"/>
    <n v="449.99"/>
    <x v="0"/>
    <x v="0"/>
    <x v="3"/>
    <x v="1"/>
    <s v="Comunitat Valenciana"/>
    <x v="1"/>
    <n v="4"/>
    <n v="499.99"/>
    <n v="50"/>
  </r>
  <r>
    <s v="ORD-102797"/>
    <x v="429"/>
    <x v="2"/>
    <x v="2"/>
    <n v="1"/>
    <n v="299.99"/>
    <x v="1"/>
    <n v="299.99"/>
    <n v="299.99"/>
    <x v="4"/>
    <x v="1"/>
    <x v="3"/>
    <x v="13"/>
    <s v="Andalucía"/>
    <x v="0"/>
    <m/>
    <n v="299.99"/>
    <n v="0"/>
  </r>
  <r>
    <s v="ORD-102798"/>
    <x v="12"/>
    <x v="5"/>
    <x v="1"/>
    <n v="3"/>
    <n v="149.99"/>
    <x v="1"/>
    <n v="149.99"/>
    <n v="449.97"/>
    <x v="1"/>
    <x v="1"/>
    <x v="0"/>
    <x v="6"/>
    <s v="Comunitat Valenciana"/>
    <x v="0"/>
    <m/>
    <n v="449.97"/>
    <n v="0"/>
  </r>
  <r>
    <s v="ORD-102799"/>
    <x v="494"/>
    <x v="2"/>
    <x v="2"/>
    <n v="4"/>
    <n v="299.99"/>
    <x v="2"/>
    <n v="284.99"/>
    <n v="1139.96"/>
    <x v="0"/>
    <x v="0"/>
    <x v="3"/>
    <x v="8"/>
    <s v="La Rioja"/>
    <x v="1"/>
    <n v="2"/>
    <n v="1199.96"/>
    <n v="60"/>
  </r>
  <r>
    <s v="ORD-102800"/>
    <x v="345"/>
    <x v="4"/>
    <x v="4"/>
    <n v="3"/>
    <n v="349.99"/>
    <x v="3"/>
    <n v="314.99"/>
    <n v="944.97"/>
    <x v="2"/>
    <x v="0"/>
    <x v="0"/>
    <x v="6"/>
    <s v="Comunitat Valenciana"/>
    <x v="0"/>
    <m/>
    <n v="1049.97"/>
    <n v="105"/>
  </r>
  <r>
    <s v="ORD-102801"/>
    <x v="614"/>
    <x v="14"/>
    <x v="1"/>
    <n v="5"/>
    <n v="249.99"/>
    <x v="3"/>
    <n v="224.99"/>
    <n v="1124.95"/>
    <x v="2"/>
    <x v="0"/>
    <x v="0"/>
    <x v="6"/>
    <s v="Comunitat Valenciana"/>
    <x v="0"/>
    <m/>
    <n v="1249.95"/>
    <n v="125"/>
  </r>
  <r>
    <s v="ORD-102802"/>
    <x v="625"/>
    <x v="12"/>
    <x v="2"/>
    <n v="4"/>
    <n v="189.99"/>
    <x v="0"/>
    <n v="161.49"/>
    <n v="645.96"/>
    <x v="1"/>
    <x v="0"/>
    <x v="0"/>
    <x v="2"/>
    <s v="Navarra"/>
    <x v="1"/>
    <m/>
    <n v="759.96"/>
    <n v="114"/>
  </r>
  <r>
    <s v="ORD-102803"/>
    <x v="279"/>
    <x v="1"/>
    <x v="1"/>
    <n v="5"/>
    <n v="399.99"/>
    <x v="1"/>
    <n v="399.99"/>
    <n v="1999.95"/>
    <x v="0"/>
    <x v="1"/>
    <x v="1"/>
    <x v="9"/>
    <s v="Asturias"/>
    <x v="1"/>
    <n v="4"/>
    <n v="1999.95"/>
    <n v="0"/>
  </r>
  <r>
    <s v="ORD-102804"/>
    <x v="155"/>
    <x v="1"/>
    <x v="1"/>
    <n v="3"/>
    <n v="399.99"/>
    <x v="1"/>
    <n v="399.99"/>
    <n v="1199.97"/>
    <x v="1"/>
    <x v="1"/>
    <x v="3"/>
    <x v="1"/>
    <s v="Comunitat Valenciana"/>
    <x v="1"/>
    <m/>
    <n v="1199.97"/>
    <n v="0"/>
  </r>
  <r>
    <s v="ORD-102805"/>
    <x v="390"/>
    <x v="19"/>
    <x v="0"/>
    <n v="5"/>
    <n v="1199.99"/>
    <x v="4"/>
    <n v="959.99"/>
    <n v="4799.95"/>
    <x v="0"/>
    <x v="1"/>
    <x v="3"/>
    <x v="5"/>
    <s v="País Vasco"/>
    <x v="0"/>
    <n v="5"/>
    <n v="5999.95"/>
    <n v="1200"/>
  </r>
  <r>
    <s v="ORD-102806"/>
    <x v="520"/>
    <x v="12"/>
    <x v="2"/>
    <n v="5"/>
    <n v="189.99"/>
    <x v="4"/>
    <n v="151.99"/>
    <n v="759.95"/>
    <x v="0"/>
    <x v="0"/>
    <x v="4"/>
    <x v="13"/>
    <s v="Andalucía"/>
    <x v="0"/>
    <n v="2"/>
    <n v="949.95"/>
    <n v="190"/>
  </r>
  <r>
    <s v="ORD-102807"/>
    <x v="149"/>
    <x v="8"/>
    <x v="2"/>
    <n v="5"/>
    <n v="59.99"/>
    <x v="4"/>
    <n v="47.99"/>
    <n v="239.95"/>
    <x v="0"/>
    <x v="1"/>
    <x v="0"/>
    <x v="13"/>
    <s v="Andalucía"/>
    <x v="0"/>
    <n v="4"/>
    <n v="299.95"/>
    <n v="60"/>
  </r>
  <r>
    <s v="ORD-102808"/>
    <x v="225"/>
    <x v="9"/>
    <x v="2"/>
    <n v="3"/>
    <n v="29.99"/>
    <x v="1"/>
    <n v="29.99"/>
    <n v="89.97"/>
    <x v="0"/>
    <x v="1"/>
    <x v="3"/>
    <x v="1"/>
    <s v="Comunitat Valenciana"/>
    <x v="1"/>
    <n v="4"/>
    <n v="89.97"/>
    <n v="0"/>
  </r>
  <r>
    <s v="ORD-102809"/>
    <x v="687"/>
    <x v="18"/>
    <x v="2"/>
    <n v="5"/>
    <n v="99.99"/>
    <x v="3"/>
    <n v="89.99"/>
    <n v="449.95"/>
    <x v="0"/>
    <x v="0"/>
    <x v="1"/>
    <x v="5"/>
    <s v="País Vasco"/>
    <x v="0"/>
    <n v="2"/>
    <n v="499.95"/>
    <n v="50"/>
  </r>
  <r>
    <s v="ORD-102810"/>
    <x v="105"/>
    <x v="9"/>
    <x v="2"/>
    <n v="5"/>
    <n v="29.99"/>
    <x v="4"/>
    <n v="23.99"/>
    <n v="119.95"/>
    <x v="0"/>
    <x v="0"/>
    <x v="0"/>
    <x v="3"/>
    <s v="Comunidad de Madrid"/>
    <x v="2"/>
    <n v="1"/>
    <n v="149.94999999999999"/>
    <n v="29.999999999999986"/>
  </r>
  <r>
    <s v="ORD-102811"/>
    <x v="536"/>
    <x v="20"/>
    <x v="3"/>
    <n v="2"/>
    <n v="39.99"/>
    <x v="2"/>
    <n v="37.99"/>
    <n v="75.98"/>
    <x v="0"/>
    <x v="0"/>
    <x v="1"/>
    <x v="13"/>
    <s v="Andalucía"/>
    <x v="0"/>
    <n v="1"/>
    <n v="79.98"/>
    <n v="4"/>
  </r>
  <r>
    <s v="ORD-102812"/>
    <x v="464"/>
    <x v="25"/>
    <x v="4"/>
    <n v="5"/>
    <n v="34.99"/>
    <x v="1"/>
    <n v="34.99"/>
    <n v="174.95"/>
    <x v="0"/>
    <x v="0"/>
    <x v="3"/>
    <x v="8"/>
    <s v="La Rioja"/>
    <x v="1"/>
    <n v="2"/>
    <n v="174.95000000000002"/>
    <n v="0"/>
  </r>
  <r>
    <s v="ORD-102813"/>
    <x v="709"/>
    <x v="5"/>
    <x v="1"/>
    <n v="5"/>
    <n v="149.99"/>
    <x v="3"/>
    <n v="134.99"/>
    <n v="674.95"/>
    <x v="0"/>
    <x v="1"/>
    <x v="0"/>
    <x v="8"/>
    <s v="La Rioja"/>
    <x v="1"/>
    <n v="4"/>
    <n v="749.95"/>
    <n v="75"/>
  </r>
  <r>
    <s v="ORD-102814"/>
    <x v="530"/>
    <x v="12"/>
    <x v="2"/>
    <n v="5"/>
    <n v="189.99"/>
    <x v="3"/>
    <n v="170.99"/>
    <n v="854.95"/>
    <x v="0"/>
    <x v="1"/>
    <x v="0"/>
    <x v="1"/>
    <s v="Comunitat Valenciana"/>
    <x v="1"/>
    <n v="1"/>
    <n v="949.95"/>
    <n v="95"/>
  </r>
  <r>
    <s v="ORD-102815"/>
    <x v="90"/>
    <x v="15"/>
    <x v="3"/>
    <n v="4"/>
    <n v="69.989999999999995"/>
    <x v="4"/>
    <n v="55.99"/>
    <n v="223.96"/>
    <x v="0"/>
    <x v="2"/>
    <x v="3"/>
    <x v="6"/>
    <s v="Comunitat Valenciana"/>
    <x v="0"/>
    <n v="3"/>
    <n v="279.95999999999998"/>
    <n v="55.999999999999972"/>
  </r>
  <r>
    <s v="ORD-102816"/>
    <x v="578"/>
    <x v="17"/>
    <x v="0"/>
    <n v="1"/>
    <n v="899.99"/>
    <x v="1"/>
    <n v="899.99"/>
    <n v="899.99"/>
    <x v="0"/>
    <x v="1"/>
    <x v="1"/>
    <x v="14"/>
    <s v="Aragón"/>
    <x v="0"/>
    <n v="4"/>
    <n v="899.99"/>
    <n v="0"/>
  </r>
  <r>
    <s v="ORD-102817"/>
    <x v="480"/>
    <x v="1"/>
    <x v="1"/>
    <n v="5"/>
    <n v="399.99"/>
    <x v="1"/>
    <n v="399.99"/>
    <n v="1999.95"/>
    <x v="1"/>
    <x v="2"/>
    <x v="4"/>
    <x v="3"/>
    <s v="Comunidad de Madrid"/>
    <x v="2"/>
    <m/>
    <n v="1999.95"/>
    <n v="0"/>
  </r>
  <r>
    <s v="ORD-102818"/>
    <x v="648"/>
    <x v="13"/>
    <x v="3"/>
    <n v="1"/>
    <n v="49.99"/>
    <x v="3"/>
    <n v="44.99"/>
    <n v="44.99"/>
    <x v="0"/>
    <x v="0"/>
    <x v="3"/>
    <x v="1"/>
    <s v="Comunitat Valenciana"/>
    <x v="1"/>
    <n v="5"/>
    <n v="49.99"/>
    <n v="5"/>
  </r>
  <r>
    <s v="ORD-102819"/>
    <x v="645"/>
    <x v="4"/>
    <x v="4"/>
    <n v="3"/>
    <n v="349.99"/>
    <x v="2"/>
    <n v="332.49"/>
    <n v="997.47"/>
    <x v="0"/>
    <x v="1"/>
    <x v="3"/>
    <x v="3"/>
    <s v="Comunidad de Madrid"/>
    <x v="2"/>
    <n v="1"/>
    <n v="1049.97"/>
    <n v="52.5"/>
  </r>
  <r>
    <s v="ORD-102820"/>
    <x v="414"/>
    <x v="0"/>
    <x v="0"/>
    <n v="5"/>
    <n v="45.99"/>
    <x v="2"/>
    <n v="43.69"/>
    <n v="218.45"/>
    <x v="0"/>
    <x v="1"/>
    <x v="0"/>
    <x v="4"/>
    <s v="Castilla y León"/>
    <x v="1"/>
    <n v="1"/>
    <n v="229.95000000000002"/>
    <n v="11.500000000000028"/>
  </r>
  <r>
    <s v="ORD-102821"/>
    <x v="374"/>
    <x v="18"/>
    <x v="2"/>
    <n v="2"/>
    <n v="99.99"/>
    <x v="2"/>
    <n v="94.99"/>
    <n v="189.98"/>
    <x v="0"/>
    <x v="0"/>
    <x v="0"/>
    <x v="10"/>
    <s v="Cantabria"/>
    <x v="1"/>
    <n v="3"/>
    <n v="199.98"/>
    <n v="10"/>
  </r>
  <r>
    <s v="ORD-102822"/>
    <x v="581"/>
    <x v="7"/>
    <x v="3"/>
    <n v="2"/>
    <n v="19.989999999999998"/>
    <x v="3"/>
    <n v="17.989999999999998"/>
    <n v="35.979999999999997"/>
    <x v="0"/>
    <x v="0"/>
    <x v="0"/>
    <x v="3"/>
    <s v="Comunidad de Madrid"/>
    <x v="2"/>
    <n v="3"/>
    <n v="39.979999999999997"/>
    <n v="4"/>
  </r>
  <r>
    <s v="ORD-102823"/>
    <x v="314"/>
    <x v="5"/>
    <x v="1"/>
    <n v="4"/>
    <n v="149.99"/>
    <x v="4"/>
    <n v="119.99"/>
    <n v="479.96"/>
    <x v="3"/>
    <x v="0"/>
    <x v="0"/>
    <x v="6"/>
    <s v="Comunitat Valenciana"/>
    <x v="0"/>
    <m/>
    <n v="599.96"/>
    <n v="120.00000000000006"/>
  </r>
  <r>
    <s v="ORD-102824"/>
    <x v="306"/>
    <x v="8"/>
    <x v="2"/>
    <n v="2"/>
    <n v="59.99"/>
    <x v="1"/>
    <n v="59.99"/>
    <n v="119.98"/>
    <x v="0"/>
    <x v="1"/>
    <x v="3"/>
    <x v="14"/>
    <s v="Aragón"/>
    <x v="0"/>
    <n v="4"/>
    <n v="119.98"/>
    <n v="0"/>
  </r>
  <r>
    <s v="ORD-102825"/>
    <x v="600"/>
    <x v="24"/>
    <x v="3"/>
    <n v="4"/>
    <n v="89.99"/>
    <x v="4"/>
    <n v="71.989999999999995"/>
    <n v="287.95999999999998"/>
    <x v="0"/>
    <x v="0"/>
    <x v="1"/>
    <x v="8"/>
    <s v="La Rioja"/>
    <x v="1"/>
    <n v="3"/>
    <n v="359.96"/>
    <n v="72"/>
  </r>
  <r>
    <s v="ORD-102826"/>
    <x v="168"/>
    <x v="21"/>
    <x v="0"/>
    <n v="3"/>
    <n v="799.99"/>
    <x v="2"/>
    <n v="759.99"/>
    <n v="2279.9699999999998"/>
    <x v="1"/>
    <x v="1"/>
    <x v="3"/>
    <x v="5"/>
    <s v="País Vasco"/>
    <x v="0"/>
    <m/>
    <n v="2399.9700000000003"/>
    <n v="120.00000000000045"/>
  </r>
  <r>
    <s v="ORD-102827"/>
    <x v="272"/>
    <x v="13"/>
    <x v="3"/>
    <n v="5"/>
    <n v="49.99"/>
    <x v="1"/>
    <n v="49.99"/>
    <n v="249.95"/>
    <x v="1"/>
    <x v="0"/>
    <x v="0"/>
    <x v="14"/>
    <s v="Aragón"/>
    <x v="0"/>
    <m/>
    <n v="249.95000000000002"/>
    <n v="0"/>
  </r>
  <r>
    <s v="ORD-102828"/>
    <x v="653"/>
    <x v="24"/>
    <x v="3"/>
    <n v="2"/>
    <n v="89.99"/>
    <x v="1"/>
    <n v="89.99"/>
    <n v="179.98"/>
    <x v="2"/>
    <x v="0"/>
    <x v="0"/>
    <x v="8"/>
    <s v="La Rioja"/>
    <x v="1"/>
    <m/>
    <n v="179.98"/>
    <n v="0"/>
  </r>
  <r>
    <s v="ORD-102829"/>
    <x v="455"/>
    <x v="16"/>
    <x v="1"/>
    <n v="1"/>
    <n v="79.989999999999995"/>
    <x v="1"/>
    <n v="79.989999999999995"/>
    <n v="79.989999999999995"/>
    <x v="0"/>
    <x v="0"/>
    <x v="0"/>
    <x v="10"/>
    <s v="Cantabria"/>
    <x v="1"/>
    <n v="5"/>
    <n v="79.989999999999995"/>
    <n v="0"/>
  </r>
  <r>
    <s v="ORD-102830"/>
    <x v="336"/>
    <x v="19"/>
    <x v="0"/>
    <n v="2"/>
    <n v="1199.99"/>
    <x v="2"/>
    <n v="1139.99"/>
    <n v="2279.98"/>
    <x v="0"/>
    <x v="2"/>
    <x v="4"/>
    <x v="6"/>
    <s v="Comunitat Valenciana"/>
    <x v="0"/>
    <n v="1"/>
    <n v="2399.98"/>
    <n v="120"/>
  </r>
  <r>
    <s v="ORD-102831"/>
    <x v="627"/>
    <x v="28"/>
    <x v="0"/>
    <n v="2"/>
    <n v="499.99"/>
    <x v="0"/>
    <n v="424.99"/>
    <n v="849.98"/>
    <x v="4"/>
    <x v="0"/>
    <x v="1"/>
    <x v="12"/>
    <s v="Región de Murcia"/>
    <x v="1"/>
    <m/>
    <n v="999.98"/>
    <n v="150"/>
  </r>
  <r>
    <s v="ORD-102832"/>
    <x v="265"/>
    <x v="9"/>
    <x v="2"/>
    <n v="5"/>
    <n v="29.99"/>
    <x v="0"/>
    <n v="25.49"/>
    <n v="127.45"/>
    <x v="0"/>
    <x v="1"/>
    <x v="1"/>
    <x v="14"/>
    <s v="Aragón"/>
    <x v="0"/>
    <n v="3"/>
    <n v="149.94999999999999"/>
    <n v="22.499999999999986"/>
  </r>
  <r>
    <s v="ORD-102833"/>
    <x v="186"/>
    <x v="24"/>
    <x v="3"/>
    <n v="2"/>
    <n v="89.99"/>
    <x v="1"/>
    <n v="89.99"/>
    <n v="179.98"/>
    <x v="0"/>
    <x v="0"/>
    <x v="2"/>
    <x v="5"/>
    <s v="País Vasco"/>
    <x v="0"/>
    <n v="2"/>
    <n v="179.98"/>
    <n v="0"/>
  </r>
  <r>
    <s v="ORD-102834"/>
    <x v="367"/>
    <x v="4"/>
    <x v="4"/>
    <n v="3"/>
    <n v="349.99"/>
    <x v="1"/>
    <n v="349.99"/>
    <n v="1049.97"/>
    <x v="0"/>
    <x v="0"/>
    <x v="3"/>
    <x v="7"/>
    <s v="Castilla y León"/>
    <x v="1"/>
    <n v="1"/>
    <n v="1049.97"/>
    <n v="0"/>
  </r>
  <r>
    <s v="ORD-102835"/>
    <x v="357"/>
    <x v="6"/>
    <x v="0"/>
    <n v="1"/>
    <n v="89.99"/>
    <x v="1"/>
    <n v="89.99"/>
    <n v="89.99"/>
    <x v="3"/>
    <x v="2"/>
    <x v="0"/>
    <x v="7"/>
    <s v="Castilla y León"/>
    <x v="1"/>
    <m/>
    <n v="89.99"/>
    <n v="0"/>
  </r>
  <r>
    <s v="ORD-102836"/>
    <x v="354"/>
    <x v="27"/>
    <x v="1"/>
    <n v="1"/>
    <n v="49.99"/>
    <x v="1"/>
    <n v="49.99"/>
    <n v="49.99"/>
    <x v="0"/>
    <x v="0"/>
    <x v="0"/>
    <x v="5"/>
    <s v="País Vasco"/>
    <x v="0"/>
    <n v="3"/>
    <n v="49.99"/>
    <n v="0"/>
  </r>
  <r>
    <s v="ORD-102837"/>
    <x v="652"/>
    <x v="21"/>
    <x v="0"/>
    <n v="3"/>
    <n v="799.99"/>
    <x v="4"/>
    <n v="639.99"/>
    <n v="1919.97"/>
    <x v="0"/>
    <x v="2"/>
    <x v="1"/>
    <x v="12"/>
    <s v="Región de Murcia"/>
    <x v="1"/>
    <n v="3"/>
    <n v="2399.9700000000003"/>
    <n v="480.00000000000023"/>
  </r>
  <r>
    <s v="ORD-102838"/>
    <x v="16"/>
    <x v="25"/>
    <x v="4"/>
    <n v="4"/>
    <n v="34.99"/>
    <x v="1"/>
    <n v="34.99"/>
    <n v="139.96"/>
    <x v="0"/>
    <x v="1"/>
    <x v="4"/>
    <x v="5"/>
    <s v="País Vasco"/>
    <x v="0"/>
    <n v="4"/>
    <n v="139.96"/>
    <n v="0"/>
  </r>
  <r>
    <s v="ORD-102839"/>
    <x v="185"/>
    <x v="7"/>
    <x v="3"/>
    <n v="3"/>
    <n v="19.989999999999998"/>
    <x v="4"/>
    <n v="15.99"/>
    <n v="47.97"/>
    <x v="3"/>
    <x v="0"/>
    <x v="0"/>
    <x v="0"/>
    <s v="Andalucía"/>
    <x v="0"/>
    <m/>
    <n v="59.97"/>
    <n v="12"/>
  </r>
  <r>
    <s v="ORD-102840"/>
    <x v="711"/>
    <x v="5"/>
    <x v="1"/>
    <n v="1"/>
    <n v="149.99"/>
    <x v="1"/>
    <n v="149.99"/>
    <n v="149.99"/>
    <x v="0"/>
    <x v="0"/>
    <x v="0"/>
    <x v="7"/>
    <s v="Castilla y León"/>
    <x v="1"/>
    <n v="1"/>
    <n v="149.99"/>
    <n v="0"/>
  </r>
  <r>
    <s v="ORD-102841"/>
    <x v="517"/>
    <x v="21"/>
    <x v="0"/>
    <n v="2"/>
    <n v="799.99"/>
    <x v="4"/>
    <n v="639.99"/>
    <n v="1279.98"/>
    <x v="1"/>
    <x v="1"/>
    <x v="0"/>
    <x v="4"/>
    <s v="Castilla y León"/>
    <x v="1"/>
    <m/>
    <n v="1599.98"/>
    <n v="320"/>
  </r>
  <r>
    <s v="ORD-102842"/>
    <x v="706"/>
    <x v="14"/>
    <x v="1"/>
    <n v="4"/>
    <n v="249.99"/>
    <x v="3"/>
    <n v="224.99"/>
    <n v="899.96"/>
    <x v="0"/>
    <x v="2"/>
    <x v="3"/>
    <x v="6"/>
    <s v="Comunitat Valenciana"/>
    <x v="0"/>
    <n v="3"/>
    <n v="999.96"/>
    <n v="100"/>
  </r>
  <r>
    <s v="ORD-102843"/>
    <x v="545"/>
    <x v="16"/>
    <x v="1"/>
    <n v="5"/>
    <n v="79.989999999999995"/>
    <x v="2"/>
    <n v="75.989999999999995"/>
    <n v="379.95"/>
    <x v="0"/>
    <x v="2"/>
    <x v="3"/>
    <x v="5"/>
    <s v="País Vasco"/>
    <x v="0"/>
    <n v="3"/>
    <n v="399.95"/>
    <n v="20"/>
  </r>
  <r>
    <s v="ORD-102844"/>
    <x v="388"/>
    <x v="6"/>
    <x v="0"/>
    <n v="3"/>
    <n v="89.99"/>
    <x v="1"/>
    <n v="89.99"/>
    <n v="269.97000000000003"/>
    <x v="0"/>
    <x v="0"/>
    <x v="0"/>
    <x v="10"/>
    <s v="Cantabria"/>
    <x v="1"/>
    <n v="2"/>
    <n v="269.96999999999997"/>
    <n v="0"/>
  </r>
  <r>
    <s v="ORD-102845"/>
    <x v="162"/>
    <x v="10"/>
    <x v="2"/>
    <n v="2"/>
    <n v="69.989999999999995"/>
    <x v="2"/>
    <n v="66.489999999999995"/>
    <n v="132.97999999999999"/>
    <x v="2"/>
    <x v="1"/>
    <x v="0"/>
    <x v="2"/>
    <s v="Navarra"/>
    <x v="1"/>
    <m/>
    <n v="139.97999999999999"/>
    <n v="7"/>
  </r>
  <r>
    <s v="ORD-102846"/>
    <x v="170"/>
    <x v="4"/>
    <x v="4"/>
    <n v="1"/>
    <n v="349.99"/>
    <x v="1"/>
    <n v="349.99"/>
    <n v="349.99"/>
    <x v="0"/>
    <x v="0"/>
    <x v="0"/>
    <x v="12"/>
    <s v="Región de Murcia"/>
    <x v="1"/>
    <n v="4"/>
    <n v="349.99"/>
    <n v="0"/>
  </r>
  <r>
    <s v="ORD-102847"/>
    <x v="128"/>
    <x v="6"/>
    <x v="0"/>
    <n v="4"/>
    <n v="89.99"/>
    <x v="2"/>
    <n v="85.49"/>
    <n v="341.96"/>
    <x v="1"/>
    <x v="0"/>
    <x v="2"/>
    <x v="4"/>
    <s v="Castilla y León"/>
    <x v="1"/>
    <m/>
    <n v="359.96"/>
    <n v="18"/>
  </r>
  <r>
    <s v="ORD-102848"/>
    <x v="361"/>
    <x v="22"/>
    <x v="4"/>
    <n v="1"/>
    <n v="44.99"/>
    <x v="1"/>
    <n v="44.99"/>
    <n v="44.99"/>
    <x v="0"/>
    <x v="0"/>
    <x v="3"/>
    <x v="8"/>
    <s v="La Rioja"/>
    <x v="1"/>
    <n v="5"/>
    <n v="44.99"/>
    <n v="0"/>
  </r>
  <r>
    <s v="ORD-102849"/>
    <x v="496"/>
    <x v="23"/>
    <x v="4"/>
    <n v="4"/>
    <n v="24.99"/>
    <x v="0"/>
    <n v="21.24"/>
    <n v="84.96"/>
    <x v="1"/>
    <x v="3"/>
    <x v="0"/>
    <x v="5"/>
    <s v="País Vasco"/>
    <x v="0"/>
    <m/>
    <n v="99.96"/>
    <n v="15"/>
  </r>
  <r>
    <s v="ORD-102850"/>
    <x v="230"/>
    <x v="1"/>
    <x v="1"/>
    <n v="5"/>
    <n v="399.99"/>
    <x v="3"/>
    <n v="359.99"/>
    <n v="1799.95"/>
    <x v="1"/>
    <x v="0"/>
    <x v="0"/>
    <x v="10"/>
    <s v="Cantabria"/>
    <x v="1"/>
    <m/>
    <n v="1999.95"/>
    <n v="200"/>
  </r>
  <r>
    <s v="ORD-102851"/>
    <x v="270"/>
    <x v="5"/>
    <x v="1"/>
    <n v="3"/>
    <n v="149.99"/>
    <x v="2"/>
    <n v="142.49"/>
    <n v="427.47"/>
    <x v="0"/>
    <x v="1"/>
    <x v="0"/>
    <x v="3"/>
    <s v="Comunidad de Madrid"/>
    <x v="2"/>
    <n v="3"/>
    <n v="449.97"/>
    <n v="22.5"/>
  </r>
  <r>
    <s v="ORD-102852"/>
    <x v="536"/>
    <x v="0"/>
    <x v="0"/>
    <n v="1"/>
    <n v="45.99"/>
    <x v="3"/>
    <n v="41.39"/>
    <n v="41.39"/>
    <x v="0"/>
    <x v="1"/>
    <x v="4"/>
    <x v="9"/>
    <s v="Asturias"/>
    <x v="1"/>
    <n v="2"/>
    <n v="45.99"/>
    <n v="4.6000000000000014"/>
  </r>
  <r>
    <s v="ORD-102853"/>
    <x v="666"/>
    <x v="13"/>
    <x v="3"/>
    <n v="4"/>
    <n v="49.99"/>
    <x v="1"/>
    <n v="49.99"/>
    <n v="199.96"/>
    <x v="1"/>
    <x v="2"/>
    <x v="0"/>
    <x v="7"/>
    <s v="Castilla y León"/>
    <x v="1"/>
    <m/>
    <n v="199.96"/>
    <n v="0"/>
  </r>
  <r>
    <s v="ORD-102854"/>
    <x v="519"/>
    <x v="27"/>
    <x v="1"/>
    <n v="4"/>
    <n v="49.99"/>
    <x v="3"/>
    <n v="44.99"/>
    <n v="179.96"/>
    <x v="0"/>
    <x v="1"/>
    <x v="2"/>
    <x v="6"/>
    <s v="Comunitat Valenciana"/>
    <x v="0"/>
    <n v="4"/>
    <n v="199.96"/>
    <n v="20"/>
  </r>
  <r>
    <s v="ORD-102855"/>
    <x v="143"/>
    <x v="9"/>
    <x v="2"/>
    <n v="5"/>
    <n v="29.99"/>
    <x v="1"/>
    <n v="29.99"/>
    <n v="149.94999999999999"/>
    <x v="1"/>
    <x v="2"/>
    <x v="1"/>
    <x v="6"/>
    <s v="Comunitat Valenciana"/>
    <x v="0"/>
    <m/>
    <n v="149.94999999999999"/>
    <n v="0"/>
  </r>
  <r>
    <s v="ORD-102856"/>
    <x v="282"/>
    <x v="17"/>
    <x v="0"/>
    <n v="2"/>
    <n v="899.99"/>
    <x v="1"/>
    <n v="899.99"/>
    <n v="1799.98"/>
    <x v="0"/>
    <x v="1"/>
    <x v="1"/>
    <x v="10"/>
    <s v="Cantabria"/>
    <x v="1"/>
    <n v="5"/>
    <n v="1799.98"/>
    <n v="0"/>
  </r>
  <r>
    <s v="ORD-102857"/>
    <x v="586"/>
    <x v="23"/>
    <x v="4"/>
    <n v="1"/>
    <n v="24.99"/>
    <x v="4"/>
    <n v="19.989999999999998"/>
    <n v="19.989999999999998"/>
    <x v="0"/>
    <x v="1"/>
    <x v="1"/>
    <x v="7"/>
    <s v="Castilla y León"/>
    <x v="1"/>
    <n v="4"/>
    <n v="24.99"/>
    <n v="5"/>
  </r>
  <r>
    <s v="ORD-102858"/>
    <x v="557"/>
    <x v="26"/>
    <x v="1"/>
    <n v="1"/>
    <n v="599.99"/>
    <x v="1"/>
    <n v="599.99"/>
    <n v="599.99"/>
    <x v="1"/>
    <x v="0"/>
    <x v="4"/>
    <x v="7"/>
    <s v="Castilla y León"/>
    <x v="1"/>
    <m/>
    <n v="599.99"/>
    <n v="0"/>
  </r>
  <r>
    <s v="ORD-102859"/>
    <x v="143"/>
    <x v="8"/>
    <x v="2"/>
    <n v="1"/>
    <n v="59.99"/>
    <x v="4"/>
    <n v="47.99"/>
    <n v="47.99"/>
    <x v="0"/>
    <x v="0"/>
    <x v="3"/>
    <x v="4"/>
    <s v="Castilla y León"/>
    <x v="1"/>
    <n v="2"/>
    <n v="59.99"/>
    <n v="12"/>
  </r>
  <r>
    <s v="ORD-102860"/>
    <x v="94"/>
    <x v="20"/>
    <x v="3"/>
    <n v="5"/>
    <n v="39.99"/>
    <x v="1"/>
    <n v="39.99"/>
    <n v="199.95"/>
    <x v="0"/>
    <x v="0"/>
    <x v="0"/>
    <x v="10"/>
    <s v="Cantabria"/>
    <x v="1"/>
    <n v="5"/>
    <n v="199.95000000000002"/>
    <n v="0"/>
  </r>
  <r>
    <s v="ORD-102861"/>
    <x v="650"/>
    <x v="24"/>
    <x v="3"/>
    <n v="4"/>
    <n v="89.99"/>
    <x v="4"/>
    <n v="71.989999999999995"/>
    <n v="287.95999999999998"/>
    <x v="0"/>
    <x v="0"/>
    <x v="0"/>
    <x v="2"/>
    <s v="Navarra"/>
    <x v="1"/>
    <n v="4"/>
    <n v="359.96"/>
    <n v="72"/>
  </r>
  <r>
    <s v="ORD-102862"/>
    <x v="68"/>
    <x v="6"/>
    <x v="0"/>
    <n v="3"/>
    <n v="89.99"/>
    <x v="1"/>
    <n v="89.99"/>
    <n v="269.97000000000003"/>
    <x v="0"/>
    <x v="2"/>
    <x v="1"/>
    <x v="4"/>
    <s v="Castilla y León"/>
    <x v="1"/>
    <n v="5"/>
    <n v="269.96999999999997"/>
    <n v="0"/>
  </r>
  <r>
    <s v="ORD-102863"/>
    <x v="194"/>
    <x v="22"/>
    <x v="4"/>
    <n v="5"/>
    <n v="44.99"/>
    <x v="0"/>
    <n v="38.24"/>
    <n v="191.2"/>
    <x v="2"/>
    <x v="0"/>
    <x v="3"/>
    <x v="8"/>
    <s v="La Rioja"/>
    <x v="1"/>
    <m/>
    <n v="224.95000000000002"/>
    <n v="33.750000000000028"/>
  </r>
  <r>
    <s v="ORD-102864"/>
    <x v="434"/>
    <x v="15"/>
    <x v="3"/>
    <n v="3"/>
    <n v="69.989999999999995"/>
    <x v="1"/>
    <n v="69.989999999999995"/>
    <n v="209.97"/>
    <x v="0"/>
    <x v="2"/>
    <x v="3"/>
    <x v="13"/>
    <s v="Andalucía"/>
    <x v="0"/>
    <n v="2"/>
    <n v="209.96999999999997"/>
    <n v="0"/>
  </r>
  <r>
    <s v="ORD-102865"/>
    <x v="242"/>
    <x v="6"/>
    <x v="0"/>
    <n v="3"/>
    <n v="89.99"/>
    <x v="0"/>
    <n v="76.489999999999995"/>
    <n v="229.47"/>
    <x v="0"/>
    <x v="0"/>
    <x v="1"/>
    <x v="2"/>
    <s v="Navarra"/>
    <x v="1"/>
    <n v="1"/>
    <n v="269.96999999999997"/>
    <n v="40.499999999999972"/>
  </r>
  <r>
    <s v="ORD-102866"/>
    <x v="262"/>
    <x v="24"/>
    <x v="3"/>
    <n v="2"/>
    <n v="89.99"/>
    <x v="1"/>
    <n v="89.99"/>
    <n v="179.98"/>
    <x v="1"/>
    <x v="1"/>
    <x v="0"/>
    <x v="3"/>
    <s v="Comunidad de Madrid"/>
    <x v="2"/>
    <m/>
    <n v="179.98"/>
    <n v="0"/>
  </r>
  <r>
    <s v="ORD-102867"/>
    <x v="432"/>
    <x v="28"/>
    <x v="0"/>
    <n v="5"/>
    <n v="499.99"/>
    <x v="1"/>
    <n v="499.99"/>
    <n v="2499.9499999999998"/>
    <x v="0"/>
    <x v="1"/>
    <x v="2"/>
    <x v="8"/>
    <s v="La Rioja"/>
    <x v="1"/>
    <n v="4"/>
    <n v="2499.9499999999998"/>
    <n v="0"/>
  </r>
  <r>
    <s v="ORD-102868"/>
    <x v="500"/>
    <x v="11"/>
    <x v="0"/>
    <n v="3"/>
    <n v="349.99"/>
    <x v="1"/>
    <n v="349.99"/>
    <n v="1049.97"/>
    <x v="0"/>
    <x v="0"/>
    <x v="3"/>
    <x v="10"/>
    <s v="Cantabria"/>
    <x v="1"/>
    <n v="5"/>
    <n v="1049.97"/>
    <n v="0"/>
  </r>
  <r>
    <s v="ORD-102869"/>
    <x v="162"/>
    <x v="25"/>
    <x v="4"/>
    <n v="5"/>
    <n v="34.99"/>
    <x v="4"/>
    <n v="27.99"/>
    <n v="139.94999999999999"/>
    <x v="0"/>
    <x v="1"/>
    <x v="0"/>
    <x v="7"/>
    <s v="Castilla y León"/>
    <x v="1"/>
    <n v="3"/>
    <n v="174.95000000000002"/>
    <n v="35.000000000000028"/>
  </r>
  <r>
    <s v="ORD-102870"/>
    <x v="28"/>
    <x v="23"/>
    <x v="4"/>
    <n v="2"/>
    <n v="24.99"/>
    <x v="1"/>
    <n v="24.99"/>
    <n v="49.98"/>
    <x v="0"/>
    <x v="0"/>
    <x v="0"/>
    <x v="12"/>
    <s v="Región de Murcia"/>
    <x v="1"/>
    <n v="3"/>
    <n v="49.98"/>
    <n v="0"/>
  </r>
  <r>
    <s v="ORD-102871"/>
    <x v="423"/>
    <x v="8"/>
    <x v="2"/>
    <n v="5"/>
    <n v="59.99"/>
    <x v="2"/>
    <n v="56.99"/>
    <n v="284.95"/>
    <x v="0"/>
    <x v="0"/>
    <x v="4"/>
    <x v="2"/>
    <s v="Navarra"/>
    <x v="1"/>
    <n v="1"/>
    <n v="299.95"/>
    <n v="15"/>
  </r>
  <r>
    <s v="ORD-102872"/>
    <x v="471"/>
    <x v="2"/>
    <x v="2"/>
    <n v="3"/>
    <n v="299.99"/>
    <x v="3"/>
    <n v="269.99"/>
    <n v="809.97"/>
    <x v="1"/>
    <x v="1"/>
    <x v="0"/>
    <x v="13"/>
    <s v="Andalucía"/>
    <x v="0"/>
    <m/>
    <n v="899.97"/>
    <n v="90"/>
  </r>
  <r>
    <s v="ORD-102873"/>
    <x v="712"/>
    <x v="8"/>
    <x v="2"/>
    <n v="5"/>
    <n v="59.99"/>
    <x v="1"/>
    <n v="59.99"/>
    <n v="299.95"/>
    <x v="1"/>
    <x v="0"/>
    <x v="0"/>
    <x v="9"/>
    <s v="Asturias"/>
    <x v="1"/>
    <m/>
    <n v="299.95"/>
    <n v="0"/>
  </r>
  <r>
    <s v="ORD-102874"/>
    <x v="465"/>
    <x v="6"/>
    <x v="0"/>
    <n v="3"/>
    <n v="89.99"/>
    <x v="0"/>
    <n v="76.489999999999995"/>
    <n v="229.47"/>
    <x v="3"/>
    <x v="1"/>
    <x v="0"/>
    <x v="12"/>
    <s v="Región de Murcia"/>
    <x v="1"/>
    <m/>
    <n v="269.96999999999997"/>
    <n v="40.499999999999972"/>
  </r>
  <r>
    <s v="ORD-102875"/>
    <x v="456"/>
    <x v="4"/>
    <x v="4"/>
    <n v="4"/>
    <n v="349.99"/>
    <x v="4"/>
    <n v="279.99"/>
    <n v="1119.96"/>
    <x v="0"/>
    <x v="1"/>
    <x v="0"/>
    <x v="1"/>
    <s v="Comunitat Valenciana"/>
    <x v="1"/>
    <n v="3"/>
    <n v="1399.96"/>
    <n v="280"/>
  </r>
  <r>
    <s v="ORD-102876"/>
    <x v="40"/>
    <x v="0"/>
    <x v="0"/>
    <n v="4"/>
    <n v="45.99"/>
    <x v="1"/>
    <n v="45.99"/>
    <n v="183.96"/>
    <x v="0"/>
    <x v="1"/>
    <x v="1"/>
    <x v="9"/>
    <s v="Asturias"/>
    <x v="1"/>
    <n v="5"/>
    <n v="183.96"/>
    <n v="0"/>
  </r>
  <r>
    <s v="ORD-102877"/>
    <x v="20"/>
    <x v="16"/>
    <x v="1"/>
    <n v="4"/>
    <n v="79.989999999999995"/>
    <x v="1"/>
    <n v="79.989999999999995"/>
    <n v="319.95999999999998"/>
    <x v="0"/>
    <x v="0"/>
    <x v="3"/>
    <x v="8"/>
    <s v="La Rioja"/>
    <x v="1"/>
    <n v="4"/>
    <n v="319.95999999999998"/>
    <n v="0"/>
  </r>
  <r>
    <s v="ORD-102878"/>
    <x v="373"/>
    <x v="19"/>
    <x v="0"/>
    <n v="3"/>
    <n v="1199.99"/>
    <x v="1"/>
    <n v="1199.99"/>
    <n v="3599.97"/>
    <x v="0"/>
    <x v="0"/>
    <x v="2"/>
    <x v="7"/>
    <s v="Castilla y León"/>
    <x v="1"/>
    <n v="3"/>
    <n v="3599.9700000000003"/>
    <n v="0"/>
  </r>
  <r>
    <s v="ORD-102879"/>
    <x v="247"/>
    <x v="25"/>
    <x v="4"/>
    <n v="4"/>
    <n v="34.99"/>
    <x v="1"/>
    <n v="34.99"/>
    <n v="139.96"/>
    <x v="0"/>
    <x v="1"/>
    <x v="1"/>
    <x v="11"/>
    <s v="Cataluña"/>
    <x v="2"/>
    <n v="3"/>
    <n v="139.96"/>
    <n v="0"/>
  </r>
  <r>
    <s v="ORD-102880"/>
    <x v="405"/>
    <x v="23"/>
    <x v="4"/>
    <n v="2"/>
    <n v="24.99"/>
    <x v="1"/>
    <n v="24.99"/>
    <n v="49.98"/>
    <x v="0"/>
    <x v="1"/>
    <x v="0"/>
    <x v="8"/>
    <s v="La Rioja"/>
    <x v="1"/>
    <n v="3"/>
    <n v="49.98"/>
    <n v="0"/>
  </r>
  <r>
    <s v="ORD-102881"/>
    <x v="164"/>
    <x v="15"/>
    <x v="3"/>
    <n v="1"/>
    <n v="69.989999999999995"/>
    <x v="1"/>
    <n v="69.989999999999995"/>
    <n v="69.989999999999995"/>
    <x v="0"/>
    <x v="1"/>
    <x v="0"/>
    <x v="7"/>
    <s v="Castilla y León"/>
    <x v="1"/>
    <n v="2"/>
    <n v="69.989999999999995"/>
    <n v="0"/>
  </r>
  <r>
    <s v="ORD-102882"/>
    <x v="39"/>
    <x v="7"/>
    <x v="3"/>
    <n v="2"/>
    <n v="19.989999999999998"/>
    <x v="2"/>
    <n v="18.989999999999998"/>
    <n v="37.979999999999997"/>
    <x v="0"/>
    <x v="0"/>
    <x v="2"/>
    <x v="13"/>
    <s v="Andalucía"/>
    <x v="0"/>
    <n v="1"/>
    <n v="39.979999999999997"/>
    <n v="2"/>
  </r>
  <r>
    <s v="ORD-102883"/>
    <x v="634"/>
    <x v="9"/>
    <x v="2"/>
    <n v="3"/>
    <n v="29.99"/>
    <x v="0"/>
    <n v="25.49"/>
    <n v="76.47"/>
    <x v="0"/>
    <x v="1"/>
    <x v="3"/>
    <x v="11"/>
    <s v="Cataluña"/>
    <x v="2"/>
    <n v="5"/>
    <n v="89.97"/>
    <n v="13.5"/>
  </r>
  <r>
    <s v="ORD-102884"/>
    <x v="343"/>
    <x v="8"/>
    <x v="2"/>
    <n v="2"/>
    <n v="59.99"/>
    <x v="1"/>
    <n v="59.99"/>
    <n v="119.98"/>
    <x v="0"/>
    <x v="2"/>
    <x v="3"/>
    <x v="1"/>
    <s v="Comunitat Valenciana"/>
    <x v="1"/>
    <n v="4"/>
    <n v="119.98"/>
    <n v="0"/>
  </r>
  <r>
    <s v="ORD-102885"/>
    <x v="492"/>
    <x v="2"/>
    <x v="2"/>
    <n v="5"/>
    <n v="299.99"/>
    <x v="0"/>
    <n v="254.99"/>
    <n v="1274.95"/>
    <x v="4"/>
    <x v="0"/>
    <x v="0"/>
    <x v="4"/>
    <s v="Castilla y León"/>
    <x v="1"/>
    <m/>
    <n v="1499.95"/>
    <n v="225"/>
  </r>
  <r>
    <s v="ORD-102886"/>
    <x v="222"/>
    <x v="5"/>
    <x v="1"/>
    <n v="3"/>
    <n v="149.99"/>
    <x v="3"/>
    <n v="134.99"/>
    <n v="404.97"/>
    <x v="0"/>
    <x v="0"/>
    <x v="0"/>
    <x v="2"/>
    <s v="Navarra"/>
    <x v="1"/>
    <n v="3"/>
    <n v="449.97"/>
    <n v="45"/>
  </r>
  <r>
    <s v="ORD-102887"/>
    <x v="16"/>
    <x v="4"/>
    <x v="4"/>
    <n v="2"/>
    <n v="349.99"/>
    <x v="4"/>
    <n v="279.99"/>
    <n v="559.98"/>
    <x v="2"/>
    <x v="1"/>
    <x v="2"/>
    <x v="14"/>
    <s v="Aragón"/>
    <x v="0"/>
    <m/>
    <n v="699.98"/>
    <n v="140"/>
  </r>
  <r>
    <s v="ORD-102888"/>
    <x v="279"/>
    <x v="4"/>
    <x v="4"/>
    <n v="4"/>
    <n v="349.99"/>
    <x v="1"/>
    <n v="349.99"/>
    <n v="1399.96"/>
    <x v="0"/>
    <x v="0"/>
    <x v="1"/>
    <x v="4"/>
    <s v="Castilla y León"/>
    <x v="1"/>
    <n v="4"/>
    <n v="1399.96"/>
    <n v="0"/>
  </r>
  <r>
    <s v="ORD-102889"/>
    <x v="90"/>
    <x v="5"/>
    <x v="1"/>
    <n v="1"/>
    <n v="149.99"/>
    <x v="4"/>
    <n v="119.99"/>
    <n v="119.99"/>
    <x v="0"/>
    <x v="2"/>
    <x v="2"/>
    <x v="13"/>
    <s v="Andalucía"/>
    <x v="0"/>
    <n v="1"/>
    <n v="149.99"/>
    <n v="30.000000000000014"/>
  </r>
  <r>
    <s v="ORD-102890"/>
    <x v="311"/>
    <x v="13"/>
    <x v="3"/>
    <n v="2"/>
    <n v="49.99"/>
    <x v="3"/>
    <n v="44.99"/>
    <n v="89.98"/>
    <x v="0"/>
    <x v="2"/>
    <x v="3"/>
    <x v="7"/>
    <s v="Castilla y León"/>
    <x v="1"/>
    <n v="2"/>
    <n v="99.98"/>
    <n v="10"/>
  </r>
  <r>
    <s v="ORD-102891"/>
    <x v="56"/>
    <x v="16"/>
    <x v="1"/>
    <n v="4"/>
    <n v="79.989999999999995"/>
    <x v="0"/>
    <n v="67.989999999999995"/>
    <n v="271.95999999999998"/>
    <x v="1"/>
    <x v="0"/>
    <x v="0"/>
    <x v="7"/>
    <s v="Castilla y León"/>
    <x v="1"/>
    <m/>
    <n v="319.95999999999998"/>
    <n v="48"/>
  </r>
  <r>
    <s v="ORD-102892"/>
    <x v="165"/>
    <x v="13"/>
    <x v="3"/>
    <n v="4"/>
    <n v="49.99"/>
    <x v="2"/>
    <n v="47.49"/>
    <n v="189.96"/>
    <x v="0"/>
    <x v="0"/>
    <x v="1"/>
    <x v="5"/>
    <s v="País Vasco"/>
    <x v="0"/>
    <n v="5"/>
    <n v="199.96"/>
    <n v="10"/>
  </r>
  <r>
    <s v="ORD-102893"/>
    <x v="324"/>
    <x v="27"/>
    <x v="1"/>
    <n v="1"/>
    <n v="49.99"/>
    <x v="1"/>
    <n v="49.99"/>
    <n v="49.99"/>
    <x v="0"/>
    <x v="1"/>
    <x v="3"/>
    <x v="8"/>
    <s v="La Rioja"/>
    <x v="1"/>
    <n v="1"/>
    <n v="49.99"/>
    <n v="0"/>
  </r>
  <r>
    <s v="ORD-102894"/>
    <x v="205"/>
    <x v="5"/>
    <x v="1"/>
    <n v="2"/>
    <n v="149.99"/>
    <x v="2"/>
    <n v="142.49"/>
    <n v="284.98"/>
    <x v="0"/>
    <x v="2"/>
    <x v="4"/>
    <x v="5"/>
    <s v="País Vasco"/>
    <x v="0"/>
    <n v="3"/>
    <n v="299.98"/>
    <n v="15"/>
  </r>
  <r>
    <s v="ORD-102895"/>
    <x v="526"/>
    <x v="9"/>
    <x v="2"/>
    <n v="2"/>
    <n v="29.99"/>
    <x v="4"/>
    <n v="23.99"/>
    <n v="47.98"/>
    <x v="2"/>
    <x v="0"/>
    <x v="0"/>
    <x v="4"/>
    <s v="Castilla y León"/>
    <x v="1"/>
    <m/>
    <n v="59.98"/>
    <n v="12"/>
  </r>
  <r>
    <s v="ORD-102896"/>
    <x v="457"/>
    <x v="15"/>
    <x v="3"/>
    <n v="4"/>
    <n v="69.989999999999995"/>
    <x v="2"/>
    <n v="66.489999999999995"/>
    <n v="265.95999999999998"/>
    <x v="0"/>
    <x v="2"/>
    <x v="0"/>
    <x v="5"/>
    <s v="País Vasco"/>
    <x v="0"/>
    <n v="1"/>
    <n v="279.95999999999998"/>
    <n v="14"/>
  </r>
  <r>
    <s v="ORD-102897"/>
    <x v="81"/>
    <x v="2"/>
    <x v="2"/>
    <n v="4"/>
    <n v="299.99"/>
    <x v="0"/>
    <n v="254.99"/>
    <n v="1019.96"/>
    <x v="0"/>
    <x v="0"/>
    <x v="3"/>
    <x v="10"/>
    <s v="Cantabria"/>
    <x v="1"/>
    <n v="2"/>
    <n v="1199.96"/>
    <n v="180"/>
  </r>
  <r>
    <s v="ORD-102898"/>
    <x v="664"/>
    <x v="15"/>
    <x v="3"/>
    <n v="2"/>
    <n v="69.989999999999995"/>
    <x v="4"/>
    <n v="55.99"/>
    <n v="111.98"/>
    <x v="0"/>
    <x v="0"/>
    <x v="3"/>
    <x v="11"/>
    <s v="Cataluña"/>
    <x v="2"/>
    <n v="5"/>
    <n v="139.97999999999999"/>
    <n v="27.999999999999986"/>
  </r>
  <r>
    <s v="ORD-102899"/>
    <x v="179"/>
    <x v="0"/>
    <x v="0"/>
    <n v="2"/>
    <n v="45.99"/>
    <x v="1"/>
    <n v="45.99"/>
    <n v="91.98"/>
    <x v="1"/>
    <x v="3"/>
    <x v="0"/>
    <x v="7"/>
    <s v="Castilla y León"/>
    <x v="1"/>
    <m/>
    <n v="91.98"/>
    <n v="0"/>
  </r>
  <r>
    <s v="ORD-102900"/>
    <x v="451"/>
    <x v="16"/>
    <x v="1"/>
    <n v="2"/>
    <n v="79.989999999999995"/>
    <x v="0"/>
    <n v="67.989999999999995"/>
    <n v="135.97999999999999"/>
    <x v="0"/>
    <x v="2"/>
    <x v="3"/>
    <x v="5"/>
    <s v="País Vasco"/>
    <x v="0"/>
    <n v="2"/>
    <n v="159.97999999999999"/>
    <n v="24"/>
  </r>
  <r>
    <s v="ORD-102901"/>
    <x v="593"/>
    <x v="29"/>
    <x v="0"/>
    <n v="3"/>
    <n v="129.99"/>
    <x v="1"/>
    <n v="129.99"/>
    <n v="389.97"/>
    <x v="4"/>
    <x v="0"/>
    <x v="0"/>
    <x v="8"/>
    <s v="La Rioja"/>
    <x v="1"/>
    <m/>
    <n v="389.97"/>
    <n v="0"/>
  </r>
  <r>
    <s v="ORD-102902"/>
    <x v="216"/>
    <x v="19"/>
    <x v="0"/>
    <n v="3"/>
    <n v="1199.99"/>
    <x v="4"/>
    <n v="959.99"/>
    <n v="2879.97"/>
    <x v="2"/>
    <x v="1"/>
    <x v="0"/>
    <x v="9"/>
    <s v="Asturias"/>
    <x v="1"/>
    <m/>
    <n v="3599.9700000000003"/>
    <n v="720.00000000000045"/>
  </r>
  <r>
    <s v="ORD-102903"/>
    <x v="315"/>
    <x v="0"/>
    <x v="0"/>
    <n v="5"/>
    <n v="45.99"/>
    <x v="4"/>
    <n v="36.79"/>
    <n v="183.95"/>
    <x v="1"/>
    <x v="0"/>
    <x v="3"/>
    <x v="3"/>
    <s v="Comunidad de Madrid"/>
    <x v="2"/>
    <m/>
    <n v="229.95000000000002"/>
    <n v="46.000000000000028"/>
  </r>
  <r>
    <s v="ORD-102904"/>
    <x v="585"/>
    <x v="0"/>
    <x v="0"/>
    <n v="4"/>
    <n v="45.99"/>
    <x v="1"/>
    <n v="45.99"/>
    <n v="183.96"/>
    <x v="0"/>
    <x v="0"/>
    <x v="3"/>
    <x v="3"/>
    <s v="Comunidad de Madrid"/>
    <x v="2"/>
    <n v="2"/>
    <n v="183.96"/>
    <n v="0"/>
  </r>
  <r>
    <s v="ORD-102905"/>
    <x v="336"/>
    <x v="22"/>
    <x v="4"/>
    <n v="2"/>
    <n v="44.99"/>
    <x v="4"/>
    <n v="35.99"/>
    <n v="71.98"/>
    <x v="0"/>
    <x v="0"/>
    <x v="1"/>
    <x v="1"/>
    <s v="Comunitat Valenciana"/>
    <x v="1"/>
    <n v="4"/>
    <n v="89.98"/>
    <n v="18"/>
  </r>
  <r>
    <s v="ORD-102906"/>
    <x v="515"/>
    <x v="10"/>
    <x v="2"/>
    <n v="2"/>
    <n v="69.989999999999995"/>
    <x v="1"/>
    <n v="69.989999999999995"/>
    <n v="139.97999999999999"/>
    <x v="0"/>
    <x v="0"/>
    <x v="3"/>
    <x v="0"/>
    <s v="Andalucía"/>
    <x v="0"/>
    <n v="1"/>
    <n v="139.97999999999999"/>
    <n v="0"/>
  </r>
  <r>
    <s v="ORD-102907"/>
    <x v="708"/>
    <x v="24"/>
    <x v="3"/>
    <n v="4"/>
    <n v="89.99"/>
    <x v="2"/>
    <n v="85.49"/>
    <n v="341.96"/>
    <x v="1"/>
    <x v="0"/>
    <x v="3"/>
    <x v="3"/>
    <s v="Comunidad de Madrid"/>
    <x v="2"/>
    <m/>
    <n v="359.96"/>
    <n v="18"/>
  </r>
  <r>
    <s v="ORD-102908"/>
    <x v="279"/>
    <x v="24"/>
    <x v="3"/>
    <n v="5"/>
    <n v="89.99"/>
    <x v="1"/>
    <n v="89.99"/>
    <n v="449.95"/>
    <x v="0"/>
    <x v="0"/>
    <x v="3"/>
    <x v="12"/>
    <s v="Región de Murcia"/>
    <x v="1"/>
    <n v="2"/>
    <n v="449.95"/>
    <n v="0"/>
  </r>
  <r>
    <s v="ORD-102909"/>
    <x v="332"/>
    <x v="9"/>
    <x v="2"/>
    <n v="4"/>
    <n v="29.99"/>
    <x v="1"/>
    <n v="29.99"/>
    <n v="119.96"/>
    <x v="0"/>
    <x v="0"/>
    <x v="2"/>
    <x v="11"/>
    <s v="Cataluña"/>
    <x v="2"/>
    <n v="5"/>
    <n v="119.96"/>
    <n v="0"/>
  </r>
  <r>
    <s v="ORD-102910"/>
    <x v="301"/>
    <x v="10"/>
    <x v="2"/>
    <n v="5"/>
    <n v="69.989999999999995"/>
    <x v="2"/>
    <n v="66.489999999999995"/>
    <n v="332.45"/>
    <x v="2"/>
    <x v="0"/>
    <x v="0"/>
    <x v="9"/>
    <s v="Asturias"/>
    <x v="1"/>
    <m/>
    <n v="349.95"/>
    <n v="17.5"/>
  </r>
  <r>
    <s v="ORD-102911"/>
    <x v="688"/>
    <x v="19"/>
    <x v="0"/>
    <n v="3"/>
    <n v="1199.99"/>
    <x v="1"/>
    <n v="1199.99"/>
    <n v="3599.97"/>
    <x v="2"/>
    <x v="2"/>
    <x v="1"/>
    <x v="10"/>
    <s v="Cantabria"/>
    <x v="1"/>
    <m/>
    <n v="3599.9700000000003"/>
    <n v="0"/>
  </r>
  <r>
    <s v="ORD-102912"/>
    <x v="16"/>
    <x v="16"/>
    <x v="1"/>
    <n v="1"/>
    <n v="79.989999999999995"/>
    <x v="3"/>
    <n v="71.989999999999995"/>
    <n v="71.989999999999995"/>
    <x v="0"/>
    <x v="3"/>
    <x v="0"/>
    <x v="2"/>
    <s v="Navarra"/>
    <x v="1"/>
    <n v="1"/>
    <n v="79.989999999999995"/>
    <n v="8"/>
  </r>
  <r>
    <s v="ORD-102913"/>
    <x v="428"/>
    <x v="7"/>
    <x v="3"/>
    <n v="3"/>
    <n v="19.989999999999998"/>
    <x v="1"/>
    <n v="19.989999999999998"/>
    <n v="59.97"/>
    <x v="0"/>
    <x v="2"/>
    <x v="1"/>
    <x v="6"/>
    <s v="Comunitat Valenciana"/>
    <x v="0"/>
    <n v="3"/>
    <n v="59.97"/>
    <n v="0"/>
  </r>
  <r>
    <s v="ORD-102914"/>
    <x v="541"/>
    <x v="29"/>
    <x v="0"/>
    <n v="3"/>
    <n v="129.99"/>
    <x v="1"/>
    <n v="129.99"/>
    <n v="389.97"/>
    <x v="0"/>
    <x v="0"/>
    <x v="0"/>
    <x v="13"/>
    <s v="Andalucía"/>
    <x v="0"/>
    <n v="2"/>
    <n v="389.97"/>
    <n v="0"/>
  </r>
  <r>
    <s v="ORD-102915"/>
    <x v="102"/>
    <x v="7"/>
    <x v="3"/>
    <n v="1"/>
    <n v="19.989999999999998"/>
    <x v="1"/>
    <n v="19.989999999999998"/>
    <n v="19.989999999999998"/>
    <x v="3"/>
    <x v="2"/>
    <x v="1"/>
    <x v="4"/>
    <s v="Castilla y León"/>
    <x v="1"/>
    <m/>
    <n v="19.989999999999998"/>
    <n v="0"/>
  </r>
  <r>
    <s v="ORD-102916"/>
    <x v="125"/>
    <x v="7"/>
    <x v="3"/>
    <n v="3"/>
    <n v="19.989999999999998"/>
    <x v="0"/>
    <n v="16.989999999999998"/>
    <n v="50.97"/>
    <x v="2"/>
    <x v="2"/>
    <x v="2"/>
    <x v="2"/>
    <s v="Navarra"/>
    <x v="1"/>
    <m/>
    <n v="59.97"/>
    <n v="9"/>
  </r>
  <r>
    <s v="ORD-102917"/>
    <x v="630"/>
    <x v="27"/>
    <x v="1"/>
    <n v="1"/>
    <n v="49.99"/>
    <x v="1"/>
    <n v="49.99"/>
    <n v="49.99"/>
    <x v="1"/>
    <x v="1"/>
    <x v="3"/>
    <x v="13"/>
    <s v="Andalucía"/>
    <x v="0"/>
    <m/>
    <n v="49.99"/>
    <n v="0"/>
  </r>
  <r>
    <s v="ORD-102918"/>
    <x v="713"/>
    <x v="28"/>
    <x v="0"/>
    <n v="2"/>
    <n v="499.99"/>
    <x v="2"/>
    <n v="474.99"/>
    <n v="949.98"/>
    <x v="0"/>
    <x v="1"/>
    <x v="2"/>
    <x v="9"/>
    <s v="Asturias"/>
    <x v="1"/>
    <n v="5"/>
    <n v="999.98"/>
    <n v="50"/>
  </r>
  <r>
    <s v="ORD-102919"/>
    <x v="579"/>
    <x v="12"/>
    <x v="2"/>
    <n v="2"/>
    <n v="189.99"/>
    <x v="1"/>
    <n v="189.99"/>
    <n v="379.98"/>
    <x v="3"/>
    <x v="1"/>
    <x v="3"/>
    <x v="8"/>
    <s v="La Rioja"/>
    <x v="1"/>
    <m/>
    <n v="379.98"/>
    <n v="0"/>
  </r>
  <r>
    <s v="ORD-102920"/>
    <x v="628"/>
    <x v="0"/>
    <x v="0"/>
    <n v="4"/>
    <n v="45.99"/>
    <x v="1"/>
    <n v="45.99"/>
    <n v="183.96"/>
    <x v="0"/>
    <x v="1"/>
    <x v="0"/>
    <x v="11"/>
    <s v="Cataluña"/>
    <x v="2"/>
    <n v="5"/>
    <n v="183.96"/>
    <n v="0"/>
  </r>
  <r>
    <s v="ORD-102921"/>
    <x v="308"/>
    <x v="22"/>
    <x v="4"/>
    <n v="1"/>
    <n v="44.99"/>
    <x v="1"/>
    <n v="44.99"/>
    <n v="44.99"/>
    <x v="2"/>
    <x v="2"/>
    <x v="4"/>
    <x v="7"/>
    <s v="Castilla y León"/>
    <x v="1"/>
    <m/>
    <n v="44.99"/>
    <n v="0"/>
  </r>
  <r>
    <s v="ORD-102922"/>
    <x v="543"/>
    <x v="13"/>
    <x v="3"/>
    <n v="5"/>
    <n v="49.99"/>
    <x v="4"/>
    <n v="39.99"/>
    <n v="199.95"/>
    <x v="0"/>
    <x v="0"/>
    <x v="3"/>
    <x v="13"/>
    <s v="Andalucía"/>
    <x v="0"/>
    <n v="5"/>
    <n v="249.95000000000002"/>
    <n v="50.000000000000028"/>
  </r>
  <r>
    <s v="ORD-102923"/>
    <x v="120"/>
    <x v="3"/>
    <x v="3"/>
    <n v="2"/>
    <n v="34.99"/>
    <x v="1"/>
    <n v="34.99"/>
    <n v="69.98"/>
    <x v="0"/>
    <x v="2"/>
    <x v="3"/>
    <x v="3"/>
    <s v="Comunidad de Madrid"/>
    <x v="2"/>
    <n v="3"/>
    <n v="69.98"/>
    <n v="0"/>
  </r>
  <r>
    <s v="ORD-102924"/>
    <x v="442"/>
    <x v="26"/>
    <x v="1"/>
    <n v="3"/>
    <n v="599.99"/>
    <x v="1"/>
    <n v="599.99"/>
    <n v="1799.97"/>
    <x v="0"/>
    <x v="0"/>
    <x v="1"/>
    <x v="0"/>
    <s v="Andalucía"/>
    <x v="0"/>
    <n v="1"/>
    <n v="1799.97"/>
    <n v="0"/>
  </r>
  <r>
    <s v="ORD-102925"/>
    <x v="170"/>
    <x v="0"/>
    <x v="0"/>
    <n v="5"/>
    <n v="45.99"/>
    <x v="1"/>
    <n v="45.99"/>
    <n v="229.95"/>
    <x v="0"/>
    <x v="2"/>
    <x v="0"/>
    <x v="1"/>
    <s v="Comunitat Valenciana"/>
    <x v="1"/>
    <n v="4"/>
    <n v="229.95000000000002"/>
    <n v="0"/>
  </r>
  <r>
    <s v="ORD-102926"/>
    <x v="54"/>
    <x v="17"/>
    <x v="0"/>
    <n v="1"/>
    <n v="899.99"/>
    <x v="2"/>
    <n v="854.99"/>
    <n v="854.99"/>
    <x v="0"/>
    <x v="2"/>
    <x v="4"/>
    <x v="10"/>
    <s v="Cantabria"/>
    <x v="1"/>
    <n v="2"/>
    <n v="899.99"/>
    <n v="45"/>
  </r>
  <r>
    <s v="ORD-102927"/>
    <x v="249"/>
    <x v="27"/>
    <x v="1"/>
    <n v="2"/>
    <n v="49.99"/>
    <x v="4"/>
    <n v="39.99"/>
    <n v="79.98"/>
    <x v="0"/>
    <x v="3"/>
    <x v="0"/>
    <x v="14"/>
    <s v="Aragón"/>
    <x v="0"/>
    <n v="3"/>
    <n v="99.98"/>
    <n v="20"/>
  </r>
  <r>
    <s v="ORD-102928"/>
    <x v="711"/>
    <x v="3"/>
    <x v="3"/>
    <n v="3"/>
    <n v="34.99"/>
    <x v="2"/>
    <n v="33.24"/>
    <n v="99.72"/>
    <x v="3"/>
    <x v="1"/>
    <x v="0"/>
    <x v="3"/>
    <s v="Comunidad de Madrid"/>
    <x v="2"/>
    <m/>
    <n v="104.97"/>
    <n v="5.25"/>
  </r>
  <r>
    <s v="ORD-102929"/>
    <x v="204"/>
    <x v="14"/>
    <x v="1"/>
    <n v="4"/>
    <n v="249.99"/>
    <x v="1"/>
    <n v="249.99"/>
    <n v="999.96"/>
    <x v="0"/>
    <x v="0"/>
    <x v="2"/>
    <x v="6"/>
    <s v="Comunitat Valenciana"/>
    <x v="0"/>
    <n v="2"/>
    <n v="999.96"/>
    <n v="0"/>
  </r>
  <r>
    <s v="ORD-102930"/>
    <x v="210"/>
    <x v="29"/>
    <x v="0"/>
    <n v="2"/>
    <n v="129.99"/>
    <x v="0"/>
    <n v="110.49"/>
    <n v="220.98"/>
    <x v="1"/>
    <x v="2"/>
    <x v="0"/>
    <x v="9"/>
    <s v="Asturias"/>
    <x v="1"/>
    <m/>
    <n v="259.98"/>
    <n v="39.000000000000028"/>
  </r>
  <r>
    <s v="ORD-102931"/>
    <x v="714"/>
    <x v="15"/>
    <x v="3"/>
    <n v="3"/>
    <n v="69.989999999999995"/>
    <x v="1"/>
    <n v="69.989999999999995"/>
    <n v="209.97"/>
    <x v="2"/>
    <x v="0"/>
    <x v="0"/>
    <x v="2"/>
    <s v="Navarra"/>
    <x v="1"/>
    <m/>
    <n v="209.96999999999997"/>
    <n v="0"/>
  </r>
  <r>
    <s v="ORD-102932"/>
    <x v="464"/>
    <x v="5"/>
    <x v="1"/>
    <n v="5"/>
    <n v="149.99"/>
    <x v="2"/>
    <n v="142.49"/>
    <n v="712.45"/>
    <x v="0"/>
    <x v="1"/>
    <x v="4"/>
    <x v="5"/>
    <s v="País Vasco"/>
    <x v="0"/>
    <n v="4"/>
    <n v="749.95"/>
    <n v="37.5"/>
  </r>
  <r>
    <s v="ORD-102933"/>
    <x v="20"/>
    <x v="1"/>
    <x v="1"/>
    <n v="1"/>
    <n v="399.99"/>
    <x v="3"/>
    <n v="359.99"/>
    <n v="359.99"/>
    <x v="0"/>
    <x v="1"/>
    <x v="1"/>
    <x v="7"/>
    <s v="Castilla y León"/>
    <x v="1"/>
    <n v="5"/>
    <n v="399.99"/>
    <n v="40"/>
  </r>
  <r>
    <s v="ORD-102934"/>
    <x v="131"/>
    <x v="0"/>
    <x v="0"/>
    <n v="3"/>
    <n v="45.99"/>
    <x v="1"/>
    <n v="45.99"/>
    <n v="137.97"/>
    <x v="0"/>
    <x v="0"/>
    <x v="4"/>
    <x v="3"/>
    <s v="Comunidad de Madrid"/>
    <x v="2"/>
    <n v="1"/>
    <n v="137.97"/>
    <n v="0"/>
  </r>
  <r>
    <s v="ORD-102935"/>
    <x v="424"/>
    <x v="1"/>
    <x v="1"/>
    <n v="2"/>
    <n v="399.99"/>
    <x v="4"/>
    <n v="319.99"/>
    <n v="639.98"/>
    <x v="0"/>
    <x v="1"/>
    <x v="4"/>
    <x v="9"/>
    <s v="Asturias"/>
    <x v="1"/>
    <n v="5"/>
    <n v="799.98"/>
    <n v="160"/>
  </r>
  <r>
    <s v="ORD-102936"/>
    <x v="284"/>
    <x v="5"/>
    <x v="1"/>
    <n v="5"/>
    <n v="149.99"/>
    <x v="0"/>
    <n v="127.49"/>
    <n v="637.45000000000005"/>
    <x v="0"/>
    <x v="1"/>
    <x v="3"/>
    <x v="10"/>
    <s v="Cantabria"/>
    <x v="1"/>
    <n v="5"/>
    <n v="749.95"/>
    <n v="112.5"/>
  </r>
  <r>
    <s v="ORD-102937"/>
    <x v="646"/>
    <x v="13"/>
    <x v="3"/>
    <n v="5"/>
    <n v="49.99"/>
    <x v="4"/>
    <n v="39.99"/>
    <n v="199.95"/>
    <x v="3"/>
    <x v="2"/>
    <x v="3"/>
    <x v="8"/>
    <s v="La Rioja"/>
    <x v="1"/>
    <m/>
    <n v="249.95000000000002"/>
    <n v="50.000000000000028"/>
  </r>
  <r>
    <s v="ORD-102938"/>
    <x v="660"/>
    <x v="7"/>
    <x v="3"/>
    <n v="4"/>
    <n v="19.989999999999998"/>
    <x v="1"/>
    <n v="19.989999999999998"/>
    <n v="79.959999999999994"/>
    <x v="0"/>
    <x v="2"/>
    <x v="2"/>
    <x v="3"/>
    <s v="Comunidad de Madrid"/>
    <x v="2"/>
    <n v="5"/>
    <n v="79.959999999999994"/>
    <n v="0"/>
  </r>
  <r>
    <s v="ORD-102939"/>
    <x v="239"/>
    <x v="7"/>
    <x v="3"/>
    <n v="2"/>
    <n v="19.989999999999998"/>
    <x v="1"/>
    <n v="19.989999999999998"/>
    <n v="39.979999999999997"/>
    <x v="0"/>
    <x v="0"/>
    <x v="2"/>
    <x v="4"/>
    <s v="Castilla y León"/>
    <x v="1"/>
    <n v="4"/>
    <n v="39.979999999999997"/>
    <n v="0"/>
  </r>
  <r>
    <s v="ORD-102940"/>
    <x v="199"/>
    <x v="22"/>
    <x v="4"/>
    <n v="1"/>
    <n v="44.99"/>
    <x v="3"/>
    <n v="40.49"/>
    <n v="40.49"/>
    <x v="2"/>
    <x v="0"/>
    <x v="1"/>
    <x v="14"/>
    <s v="Aragón"/>
    <x v="0"/>
    <m/>
    <n v="44.99"/>
    <n v="4.5"/>
  </r>
  <r>
    <s v="ORD-102941"/>
    <x v="406"/>
    <x v="15"/>
    <x v="3"/>
    <n v="3"/>
    <n v="69.989999999999995"/>
    <x v="1"/>
    <n v="69.989999999999995"/>
    <n v="209.97"/>
    <x v="0"/>
    <x v="1"/>
    <x v="2"/>
    <x v="2"/>
    <s v="Navarra"/>
    <x v="1"/>
    <n v="2"/>
    <n v="209.96999999999997"/>
    <n v="0"/>
  </r>
  <r>
    <s v="ORD-102942"/>
    <x v="464"/>
    <x v="21"/>
    <x v="0"/>
    <n v="3"/>
    <n v="799.99"/>
    <x v="4"/>
    <n v="639.99"/>
    <n v="1919.97"/>
    <x v="2"/>
    <x v="0"/>
    <x v="0"/>
    <x v="3"/>
    <s v="Comunidad de Madrid"/>
    <x v="2"/>
    <m/>
    <n v="2399.9700000000003"/>
    <n v="480.00000000000023"/>
  </r>
  <r>
    <s v="ORD-102943"/>
    <x v="75"/>
    <x v="7"/>
    <x v="3"/>
    <n v="4"/>
    <n v="19.989999999999998"/>
    <x v="2"/>
    <n v="18.989999999999998"/>
    <n v="75.959999999999994"/>
    <x v="0"/>
    <x v="0"/>
    <x v="3"/>
    <x v="14"/>
    <s v="Aragón"/>
    <x v="0"/>
    <n v="5"/>
    <n v="79.959999999999994"/>
    <n v="4"/>
  </r>
  <r>
    <s v="ORD-102944"/>
    <x v="312"/>
    <x v="13"/>
    <x v="3"/>
    <n v="5"/>
    <n v="49.99"/>
    <x v="0"/>
    <n v="42.49"/>
    <n v="212.45"/>
    <x v="0"/>
    <x v="0"/>
    <x v="0"/>
    <x v="13"/>
    <s v="Andalucía"/>
    <x v="0"/>
    <n v="1"/>
    <n v="249.95000000000002"/>
    <n v="37.500000000000028"/>
  </r>
  <r>
    <s v="ORD-102945"/>
    <x v="643"/>
    <x v="17"/>
    <x v="0"/>
    <n v="5"/>
    <n v="899.99"/>
    <x v="1"/>
    <n v="899.99"/>
    <n v="4499.95"/>
    <x v="0"/>
    <x v="1"/>
    <x v="2"/>
    <x v="9"/>
    <s v="Asturias"/>
    <x v="1"/>
    <n v="5"/>
    <n v="4499.95"/>
    <n v="0"/>
  </r>
  <r>
    <s v="ORD-102946"/>
    <x v="141"/>
    <x v="2"/>
    <x v="2"/>
    <n v="5"/>
    <n v="299.99"/>
    <x v="1"/>
    <n v="299.99"/>
    <n v="1499.95"/>
    <x v="3"/>
    <x v="0"/>
    <x v="3"/>
    <x v="9"/>
    <s v="Asturias"/>
    <x v="1"/>
    <m/>
    <n v="1499.95"/>
    <n v="0"/>
  </r>
  <r>
    <s v="ORD-102947"/>
    <x v="231"/>
    <x v="19"/>
    <x v="0"/>
    <n v="2"/>
    <n v="1199.99"/>
    <x v="2"/>
    <n v="1139.99"/>
    <n v="2279.98"/>
    <x v="0"/>
    <x v="0"/>
    <x v="2"/>
    <x v="7"/>
    <s v="Castilla y León"/>
    <x v="1"/>
    <n v="4"/>
    <n v="2399.98"/>
    <n v="120"/>
  </r>
  <r>
    <s v="ORD-102948"/>
    <x v="636"/>
    <x v="2"/>
    <x v="2"/>
    <n v="3"/>
    <n v="299.99"/>
    <x v="1"/>
    <n v="299.99"/>
    <n v="899.97"/>
    <x v="0"/>
    <x v="2"/>
    <x v="1"/>
    <x v="2"/>
    <s v="Navarra"/>
    <x v="1"/>
    <n v="2"/>
    <n v="899.97"/>
    <n v="0"/>
  </r>
  <r>
    <s v="ORD-102949"/>
    <x v="440"/>
    <x v="13"/>
    <x v="3"/>
    <n v="2"/>
    <n v="49.99"/>
    <x v="1"/>
    <n v="49.99"/>
    <n v="99.98"/>
    <x v="0"/>
    <x v="0"/>
    <x v="0"/>
    <x v="12"/>
    <s v="Región de Murcia"/>
    <x v="1"/>
    <n v="2"/>
    <n v="99.98"/>
    <n v="0"/>
  </r>
  <r>
    <s v="ORD-102950"/>
    <x v="446"/>
    <x v="0"/>
    <x v="0"/>
    <n v="5"/>
    <n v="45.99"/>
    <x v="1"/>
    <n v="45.99"/>
    <n v="229.95"/>
    <x v="0"/>
    <x v="0"/>
    <x v="0"/>
    <x v="14"/>
    <s v="Aragón"/>
    <x v="0"/>
    <n v="4"/>
    <n v="229.95000000000002"/>
    <n v="0"/>
  </r>
  <r>
    <s v="ORD-102951"/>
    <x v="112"/>
    <x v="9"/>
    <x v="2"/>
    <n v="2"/>
    <n v="29.99"/>
    <x v="4"/>
    <n v="23.99"/>
    <n v="47.98"/>
    <x v="1"/>
    <x v="0"/>
    <x v="0"/>
    <x v="14"/>
    <s v="Aragón"/>
    <x v="0"/>
    <m/>
    <n v="59.98"/>
    <n v="12"/>
  </r>
  <r>
    <s v="ORD-102952"/>
    <x v="629"/>
    <x v="4"/>
    <x v="4"/>
    <n v="4"/>
    <n v="349.99"/>
    <x v="1"/>
    <n v="349.99"/>
    <n v="1399.96"/>
    <x v="2"/>
    <x v="1"/>
    <x v="0"/>
    <x v="3"/>
    <s v="Comunidad de Madrid"/>
    <x v="2"/>
    <m/>
    <n v="1399.96"/>
    <n v="0"/>
  </r>
  <r>
    <s v="ORD-102953"/>
    <x v="161"/>
    <x v="7"/>
    <x v="3"/>
    <n v="4"/>
    <n v="19.989999999999998"/>
    <x v="2"/>
    <n v="18.989999999999998"/>
    <n v="75.959999999999994"/>
    <x v="0"/>
    <x v="0"/>
    <x v="0"/>
    <x v="11"/>
    <s v="Cataluña"/>
    <x v="2"/>
    <n v="2"/>
    <n v="79.959999999999994"/>
    <n v="4"/>
  </r>
  <r>
    <s v="ORD-102954"/>
    <x v="512"/>
    <x v="6"/>
    <x v="0"/>
    <n v="1"/>
    <n v="89.99"/>
    <x v="1"/>
    <n v="89.99"/>
    <n v="89.99"/>
    <x v="1"/>
    <x v="2"/>
    <x v="0"/>
    <x v="10"/>
    <s v="Cantabria"/>
    <x v="1"/>
    <m/>
    <n v="89.99"/>
    <n v="0"/>
  </r>
  <r>
    <s v="ORD-102955"/>
    <x v="178"/>
    <x v="1"/>
    <x v="1"/>
    <n v="4"/>
    <n v="399.99"/>
    <x v="1"/>
    <n v="399.99"/>
    <n v="1599.96"/>
    <x v="0"/>
    <x v="0"/>
    <x v="4"/>
    <x v="6"/>
    <s v="Comunitat Valenciana"/>
    <x v="0"/>
    <n v="5"/>
    <n v="1599.96"/>
    <n v="0"/>
  </r>
  <r>
    <s v="ORD-102956"/>
    <x v="189"/>
    <x v="19"/>
    <x v="0"/>
    <n v="4"/>
    <n v="1199.99"/>
    <x v="0"/>
    <n v="1019.99"/>
    <n v="4079.96"/>
    <x v="0"/>
    <x v="0"/>
    <x v="4"/>
    <x v="2"/>
    <s v="Navarra"/>
    <x v="1"/>
    <n v="3"/>
    <n v="4799.96"/>
    <n v="720"/>
  </r>
  <r>
    <s v="ORD-102957"/>
    <x v="442"/>
    <x v="20"/>
    <x v="3"/>
    <n v="1"/>
    <n v="39.99"/>
    <x v="1"/>
    <n v="39.99"/>
    <n v="39.99"/>
    <x v="1"/>
    <x v="0"/>
    <x v="3"/>
    <x v="4"/>
    <s v="Castilla y León"/>
    <x v="1"/>
    <m/>
    <n v="39.99"/>
    <n v="0"/>
  </r>
  <r>
    <s v="ORD-102958"/>
    <x v="13"/>
    <x v="4"/>
    <x v="4"/>
    <n v="3"/>
    <n v="349.99"/>
    <x v="2"/>
    <n v="332.49"/>
    <n v="997.47"/>
    <x v="2"/>
    <x v="0"/>
    <x v="0"/>
    <x v="3"/>
    <s v="Comunidad de Madrid"/>
    <x v="2"/>
    <m/>
    <n v="1049.97"/>
    <n v="52.5"/>
  </r>
  <r>
    <s v="ORD-102959"/>
    <x v="303"/>
    <x v="19"/>
    <x v="0"/>
    <n v="3"/>
    <n v="1199.99"/>
    <x v="2"/>
    <n v="1139.99"/>
    <n v="3419.97"/>
    <x v="1"/>
    <x v="1"/>
    <x v="0"/>
    <x v="2"/>
    <s v="Navarra"/>
    <x v="1"/>
    <m/>
    <n v="3599.9700000000003"/>
    <n v="180.00000000000045"/>
  </r>
  <r>
    <s v="ORD-102960"/>
    <x v="179"/>
    <x v="16"/>
    <x v="1"/>
    <n v="2"/>
    <n v="79.989999999999995"/>
    <x v="1"/>
    <n v="79.989999999999995"/>
    <n v="159.97999999999999"/>
    <x v="0"/>
    <x v="3"/>
    <x v="0"/>
    <x v="7"/>
    <s v="Castilla y León"/>
    <x v="1"/>
    <n v="4"/>
    <n v="159.97999999999999"/>
    <n v="0"/>
  </r>
  <r>
    <s v="ORD-102961"/>
    <x v="379"/>
    <x v="29"/>
    <x v="0"/>
    <n v="2"/>
    <n v="129.99"/>
    <x v="1"/>
    <n v="129.99"/>
    <n v="259.98"/>
    <x v="1"/>
    <x v="1"/>
    <x v="2"/>
    <x v="10"/>
    <s v="Cantabria"/>
    <x v="1"/>
    <m/>
    <n v="259.98"/>
    <n v="0"/>
  </r>
  <r>
    <s v="ORD-102962"/>
    <x v="262"/>
    <x v="29"/>
    <x v="0"/>
    <n v="4"/>
    <n v="129.99"/>
    <x v="2"/>
    <n v="123.49"/>
    <n v="493.96"/>
    <x v="4"/>
    <x v="0"/>
    <x v="3"/>
    <x v="7"/>
    <s v="Castilla y León"/>
    <x v="1"/>
    <m/>
    <n v="519.96"/>
    <n v="26.000000000000057"/>
  </r>
  <r>
    <s v="ORD-102963"/>
    <x v="648"/>
    <x v="22"/>
    <x v="4"/>
    <n v="3"/>
    <n v="44.99"/>
    <x v="0"/>
    <n v="38.24"/>
    <n v="114.72"/>
    <x v="1"/>
    <x v="2"/>
    <x v="0"/>
    <x v="6"/>
    <s v="Comunitat Valenciana"/>
    <x v="0"/>
    <m/>
    <n v="134.97"/>
    <n v="20.25"/>
  </r>
  <r>
    <s v="ORD-102964"/>
    <x v="642"/>
    <x v="22"/>
    <x v="4"/>
    <n v="5"/>
    <n v="44.99"/>
    <x v="2"/>
    <n v="42.74"/>
    <n v="213.7"/>
    <x v="2"/>
    <x v="2"/>
    <x v="3"/>
    <x v="13"/>
    <s v="Andalucía"/>
    <x v="0"/>
    <m/>
    <n v="224.95000000000002"/>
    <n v="11.250000000000028"/>
  </r>
  <r>
    <s v="ORD-102965"/>
    <x v="606"/>
    <x v="8"/>
    <x v="2"/>
    <n v="5"/>
    <n v="59.99"/>
    <x v="1"/>
    <n v="59.99"/>
    <n v="299.95"/>
    <x v="0"/>
    <x v="0"/>
    <x v="0"/>
    <x v="8"/>
    <s v="La Rioja"/>
    <x v="1"/>
    <n v="1"/>
    <n v="299.95"/>
    <n v="0"/>
  </r>
  <r>
    <s v="ORD-102966"/>
    <x v="0"/>
    <x v="21"/>
    <x v="0"/>
    <n v="3"/>
    <n v="799.99"/>
    <x v="1"/>
    <n v="799.99"/>
    <n v="2399.9699999999998"/>
    <x v="0"/>
    <x v="0"/>
    <x v="3"/>
    <x v="4"/>
    <s v="Castilla y León"/>
    <x v="1"/>
    <n v="5"/>
    <n v="2399.9700000000003"/>
    <n v="0"/>
  </r>
  <r>
    <s v="ORD-102967"/>
    <x v="552"/>
    <x v="16"/>
    <x v="1"/>
    <n v="3"/>
    <n v="79.989999999999995"/>
    <x v="1"/>
    <n v="79.989999999999995"/>
    <n v="239.97"/>
    <x v="0"/>
    <x v="2"/>
    <x v="2"/>
    <x v="14"/>
    <s v="Aragón"/>
    <x v="0"/>
    <n v="3"/>
    <n v="239.96999999999997"/>
    <n v="0"/>
  </r>
  <r>
    <s v="ORD-102968"/>
    <x v="516"/>
    <x v="13"/>
    <x v="3"/>
    <n v="4"/>
    <n v="49.99"/>
    <x v="0"/>
    <n v="42.49"/>
    <n v="169.96"/>
    <x v="1"/>
    <x v="0"/>
    <x v="0"/>
    <x v="7"/>
    <s v="Castilla y León"/>
    <x v="1"/>
    <m/>
    <n v="199.96"/>
    <n v="30"/>
  </r>
  <r>
    <s v="ORD-102969"/>
    <x v="82"/>
    <x v="24"/>
    <x v="3"/>
    <n v="4"/>
    <n v="89.99"/>
    <x v="4"/>
    <n v="71.989999999999995"/>
    <n v="287.95999999999998"/>
    <x v="0"/>
    <x v="2"/>
    <x v="0"/>
    <x v="10"/>
    <s v="Cantabria"/>
    <x v="1"/>
    <n v="3"/>
    <n v="359.96"/>
    <n v="72"/>
  </r>
  <r>
    <s v="ORD-102970"/>
    <x v="211"/>
    <x v="8"/>
    <x v="2"/>
    <n v="2"/>
    <n v="59.99"/>
    <x v="1"/>
    <n v="59.99"/>
    <n v="119.98"/>
    <x v="4"/>
    <x v="1"/>
    <x v="2"/>
    <x v="9"/>
    <s v="Asturias"/>
    <x v="1"/>
    <m/>
    <n v="119.98"/>
    <n v="0"/>
  </r>
  <r>
    <s v="ORD-102971"/>
    <x v="658"/>
    <x v="25"/>
    <x v="4"/>
    <n v="1"/>
    <n v="34.99"/>
    <x v="4"/>
    <n v="27.99"/>
    <n v="27.99"/>
    <x v="0"/>
    <x v="1"/>
    <x v="3"/>
    <x v="9"/>
    <s v="Asturias"/>
    <x v="1"/>
    <n v="2"/>
    <n v="34.99"/>
    <n v="7.0000000000000036"/>
  </r>
  <r>
    <s v="ORD-102972"/>
    <x v="571"/>
    <x v="5"/>
    <x v="1"/>
    <n v="1"/>
    <n v="149.99"/>
    <x v="3"/>
    <n v="134.99"/>
    <n v="134.99"/>
    <x v="0"/>
    <x v="0"/>
    <x v="1"/>
    <x v="0"/>
    <s v="Andalucía"/>
    <x v="0"/>
    <n v="2"/>
    <n v="149.99"/>
    <n v="15"/>
  </r>
  <r>
    <s v="ORD-102973"/>
    <x v="500"/>
    <x v="28"/>
    <x v="0"/>
    <n v="3"/>
    <n v="499.99"/>
    <x v="0"/>
    <n v="424.99"/>
    <n v="1274.97"/>
    <x v="0"/>
    <x v="1"/>
    <x v="2"/>
    <x v="5"/>
    <s v="País Vasco"/>
    <x v="0"/>
    <n v="2"/>
    <n v="1499.97"/>
    <n v="225"/>
  </r>
  <r>
    <s v="ORD-102974"/>
    <x v="92"/>
    <x v="14"/>
    <x v="1"/>
    <n v="5"/>
    <n v="249.99"/>
    <x v="1"/>
    <n v="249.99"/>
    <n v="1249.95"/>
    <x v="0"/>
    <x v="1"/>
    <x v="4"/>
    <x v="13"/>
    <s v="Andalucía"/>
    <x v="0"/>
    <n v="4"/>
    <n v="1249.95"/>
    <n v="0"/>
  </r>
  <r>
    <s v="ORD-102975"/>
    <x v="473"/>
    <x v="4"/>
    <x v="4"/>
    <n v="1"/>
    <n v="349.99"/>
    <x v="1"/>
    <n v="349.99"/>
    <n v="349.99"/>
    <x v="2"/>
    <x v="0"/>
    <x v="0"/>
    <x v="8"/>
    <s v="La Rioja"/>
    <x v="1"/>
    <m/>
    <n v="349.99"/>
    <n v="0"/>
  </r>
  <r>
    <s v="ORD-102976"/>
    <x v="141"/>
    <x v="29"/>
    <x v="0"/>
    <n v="3"/>
    <n v="129.99"/>
    <x v="1"/>
    <n v="129.99"/>
    <n v="389.97"/>
    <x v="0"/>
    <x v="0"/>
    <x v="2"/>
    <x v="10"/>
    <s v="Cantabria"/>
    <x v="1"/>
    <n v="2"/>
    <n v="389.97"/>
    <n v="0"/>
  </r>
  <r>
    <s v="ORD-102977"/>
    <x v="243"/>
    <x v="4"/>
    <x v="4"/>
    <n v="1"/>
    <n v="349.99"/>
    <x v="1"/>
    <n v="349.99"/>
    <n v="349.99"/>
    <x v="1"/>
    <x v="0"/>
    <x v="1"/>
    <x v="3"/>
    <s v="Comunidad de Madrid"/>
    <x v="2"/>
    <m/>
    <n v="349.99"/>
    <n v="0"/>
  </r>
  <r>
    <s v="ORD-102978"/>
    <x v="293"/>
    <x v="3"/>
    <x v="3"/>
    <n v="1"/>
    <n v="34.99"/>
    <x v="4"/>
    <n v="27.99"/>
    <n v="27.99"/>
    <x v="3"/>
    <x v="0"/>
    <x v="1"/>
    <x v="12"/>
    <s v="Región de Murcia"/>
    <x v="1"/>
    <m/>
    <n v="34.99"/>
    <n v="7.0000000000000036"/>
  </r>
  <r>
    <s v="ORD-102979"/>
    <x v="260"/>
    <x v="4"/>
    <x v="4"/>
    <n v="5"/>
    <n v="349.99"/>
    <x v="2"/>
    <n v="332.49"/>
    <n v="1662.45"/>
    <x v="0"/>
    <x v="0"/>
    <x v="0"/>
    <x v="3"/>
    <s v="Comunidad de Madrid"/>
    <x v="2"/>
    <n v="2"/>
    <n v="1749.95"/>
    <n v="87.5"/>
  </r>
  <r>
    <s v="ORD-102980"/>
    <x v="349"/>
    <x v="27"/>
    <x v="1"/>
    <n v="4"/>
    <n v="49.99"/>
    <x v="3"/>
    <n v="44.99"/>
    <n v="179.96"/>
    <x v="2"/>
    <x v="1"/>
    <x v="4"/>
    <x v="1"/>
    <s v="Comunitat Valenciana"/>
    <x v="1"/>
    <m/>
    <n v="199.96"/>
    <n v="20"/>
  </r>
  <r>
    <s v="ORD-102981"/>
    <x v="35"/>
    <x v="6"/>
    <x v="0"/>
    <n v="3"/>
    <n v="89.99"/>
    <x v="1"/>
    <n v="89.99"/>
    <n v="269.97000000000003"/>
    <x v="3"/>
    <x v="0"/>
    <x v="4"/>
    <x v="0"/>
    <s v="Andalucía"/>
    <x v="0"/>
    <m/>
    <n v="269.96999999999997"/>
    <n v="0"/>
  </r>
  <r>
    <s v="ORD-102982"/>
    <x v="295"/>
    <x v="28"/>
    <x v="0"/>
    <n v="1"/>
    <n v="499.99"/>
    <x v="4"/>
    <n v="399.99"/>
    <n v="399.99"/>
    <x v="1"/>
    <x v="0"/>
    <x v="2"/>
    <x v="10"/>
    <s v="Cantabria"/>
    <x v="1"/>
    <m/>
    <n v="499.99"/>
    <n v="100"/>
  </r>
  <r>
    <s v="ORD-102983"/>
    <x v="369"/>
    <x v="5"/>
    <x v="1"/>
    <n v="4"/>
    <n v="149.99"/>
    <x v="1"/>
    <n v="149.99"/>
    <n v="599.96"/>
    <x v="1"/>
    <x v="2"/>
    <x v="1"/>
    <x v="11"/>
    <s v="Cataluña"/>
    <x v="2"/>
    <m/>
    <n v="599.96"/>
    <n v="0"/>
  </r>
  <r>
    <s v="ORD-102984"/>
    <x v="330"/>
    <x v="18"/>
    <x v="2"/>
    <n v="3"/>
    <n v="99.99"/>
    <x v="0"/>
    <n v="84.99"/>
    <n v="254.97"/>
    <x v="1"/>
    <x v="3"/>
    <x v="1"/>
    <x v="2"/>
    <s v="Navarra"/>
    <x v="1"/>
    <m/>
    <n v="299.96999999999997"/>
    <n v="44.999999999999972"/>
  </r>
  <r>
    <s v="ORD-102985"/>
    <x v="403"/>
    <x v="0"/>
    <x v="0"/>
    <n v="5"/>
    <n v="45.99"/>
    <x v="0"/>
    <n v="39.090000000000003"/>
    <n v="195.45"/>
    <x v="0"/>
    <x v="1"/>
    <x v="3"/>
    <x v="9"/>
    <s v="Asturias"/>
    <x v="1"/>
    <n v="3"/>
    <n v="229.95000000000002"/>
    <n v="34.500000000000028"/>
  </r>
  <r>
    <s v="ORD-102986"/>
    <x v="297"/>
    <x v="9"/>
    <x v="2"/>
    <n v="1"/>
    <n v="29.99"/>
    <x v="1"/>
    <n v="29.99"/>
    <n v="29.99"/>
    <x v="0"/>
    <x v="0"/>
    <x v="0"/>
    <x v="12"/>
    <s v="Región de Murcia"/>
    <x v="1"/>
    <n v="2"/>
    <n v="29.99"/>
    <n v="0"/>
  </r>
  <r>
    <s v="ORD-102987"/>
    <x v="583"/>
    <x v="0"/>
    <x v="0"/>
    <n v="1"/>
    <n v="45.99"/>
    <x v="2"/>
    <n v="43.69"/>
    <n v="43.69"/>
    <x v="3"/>
    <x v="1"/>
    <x v="2"/>
    <x v="7"/>
    <s v="Castilla y León"/>
    <x v="1"/>
    <m/>
    <n v="45.99"/>
    <n v="2.3000000000000043"/>
  </r>
  <r>
    <s v="ORD-102988"/>
    <x v="478"/>
    <x v="14"/>
    <x v="1"/>
    <n v="1"/>
    <n v="249.99"/>
    <x v="2"/>
    <n v="237.49"/>
    <n v="237.49"/>
    <x v="0"/>
    <x v="1"/>
    <x v="0"/>
    <x v="12"/>
    <s v="Región de Murcia"/>
    <x v="1"/>
    <n v="2"/>
    <n v="249.99"/>
    <n v="12.5"/>
  </r>
  <r>
    <s v="ORD-102989"/>
    <x v="624"/>
    <x v="0"/>
    <x v="0"/>
    <n v="4"/>
    <n v="45.99"/>
    <x v="1"/>
    <n v="45.99"/>
    <n v="183.96"/>
    <x v="0"/>
    <x v="1"/>
    <x v="0"/>
    <x v="7"/>
    <s v="Castilla y León"/>
    <x v="1"/>
    <n v="5"/>
    <n v="183.96"/>
    <n v="0"/>
  </r>
  <r>
    <s v="ORD-102990"/>
    <x v="644"/>
    <x v="25"/>
    <x v="4"/>
    <n v="2"/>
    <n v="34.99"/>
    <x v="1"/>
    <n v="34.99"/>
    <n v="69.98"/>
    <x v="2"/>
    <x v="1"/>
    <x v="1"/>
    <x v="9"/>
    <s v="Asturias"/>
    <x v="1"/>
    <m/>
    <n v="69.98"/>
    <n v="0"/>
  </r>
  <r>
    <s v="ORD-102991"/>
    <x v="375"/>
    <x v="20"/>
    <x v="3"/>
    <n v="3"/>
    <n v="39.99"/>
    <x v="2"/>
    <n v="37.99"/>
    <n v="113.97"/>
    <x v="0"/>
    <x v="1"/>
    <x v="3"/>
    <x v="11"/>
    <s v="Cataluña"/>
    <x v="2"/>
    <n v="2"/>
    <n v="119.97"/>
    <n v="6"/>
  </r>
  <r>
    <s v="ORD-102992"/>
    <x v="449"/>
    <x v="26"/>
    <x v="1"/>
    <n v="4"/>
    <n v="599.99"/>
    <x v="3"/>
    <n v="539.99"/>
    <n v="2159.96"/>
    <x v="2"/>
    <x v="2"/>
    <x v="0"/>
    <x v="4"/>
    <s v="Castilla y León"/>
    <x v="1"/>
    <m/>
    <n v="2399.96"/>
    <n v="240"/>
  </r>
  <r>
    <s v="ORD-102993"/>
    <x v="439"/>
    <x v="5"/>
    <x v="1"/>
    <n v="1"/>
    <n v="149.99"/>
    <x v="0"/>
    <n v="127.49"/>
    <n v="127.49"/>
    <x v="1"/>
    <x v="0"/>
    <x v="3"/>
    <x v="7"/>
    <s v="Castilla y León"/>
    <x v="1"/>
    <m/>
    <n v="149.99"/>
    <n v="22.500000000000014"/>
  </r>
  <r>
    <s v="ORD-102994"/>
    <x v="269"/>
    <x v="17"/>
    <x v="0"/>
    <n v="1"/>
    <n v="899.99"/>
    <x v="1"/>
    <n v="899.99"/>
    <n v="899.99"/>
    <x v="1"/>
    <x v="2"/>
    <x v="0"/>
    <x v="9"/>
    <s v="Asturias"/>
    <x v="1"/>
    <m/>
    <n v="899.99"/>
    <n v="0"/>
  </r>
  <r>
    <s v="ORD-102995"/>
    <x v="305"/>
    <x v="21"/>
    <x v="0"/>
    <n v="4"/>
    <n v="799.99"/>
    <x v="1"/>
    <n v="799.99"/>
    <n v="3199.96"/>
    <x v="0"/>
    <x v="0"/>
    <x v="3"/>
    <x v="8"/>
    <s v="La Rioja"/>
    <x v="1"/>
    <n v="4"/>
    <n v="3199.96"/>
    <n v="0"/>
  </r>
  <r>
    <s v="ORD-102996"/>
    <x v="394"/>
    <x v="12"/>
    <x v="2"/>
    <n v="4"/>
    <n v="189.99"/>
    <x v="3"/>
    <n v="170.99"/>
    <n v="683.96"/>
    <x v="0"/>
    <x v="0"/>
    <x v="1"/>
    <x v="12"/>
    <s v="Región de Murcia"/>
    <x v="1"/>
    <n v="1"/>
    <n v="759.96"/>
    <n v="76"/>
  </r>
  <r>
    <s v="ORD-102997"/>
    <x v="272"/>
    <x v="8"/>
    <x v="2"/>
    <n v="4"/>
    <n v="59.99"/>
    <x v="0"/>
    <n v="50.99"/>
    <n v="203.96"/>
    <x v="1"/>
    <x v="0"/>
    <x v="1"/>
    <x v="11"/>
    <s v="Cataluña"/>
    <x v="2"/>
    <m/>
    <n v="239.96"/>
    <n v="36"/>
  </r>
  <r>
    <s v="ORD-102998"/>
    <x v="327"/>
    <x v="1"/>
    <x v="1"/>
    <n v="3"/>
    <n v="399.99"/>
    <x v="0"/>
    <n v="339.99"/>
    <n v="1019.97"/>
    <x v="1"/>
    <x v="2"/>
    <x v="0"/>
    <x v="4"/>
    <s v="Castilla y León"/>
    <x v="1"/>
    <m/>
    <n v="1199.97"/>
    <n v="180"/>
  </r>
  <r>
    <s v="ORD-102999"/>
    <x v="161"/>
    <x v="10"/>
    <x v="2"/>
    <n v="1"/>
    <n v="69.989999999999995"/>
    <x v="4"/>
    <n v="55.99"/>
    <n v="55.99"/>
    <x v="0"/>
    <x v="2"/>
    <x v="3"/>
    <x v="5"/>
    <s v="País Vasco"/>
    <x v="0"/>
    <n v="1"/>
    <n v="69.989999999999995"/>
    <n v="13.999999999999993"/>
  </r>
  <r>
    <s v="ORD-103000"/>
    <x v="660"/>
    <x v="22"/>
    <x v="4"/>
    <n v="1"/>
    <n v="44.99"/>
    <x v="1"/>
    <n v="44.99"/>
    <n v="44.99"/>
    <x v="0"/>
    <x v="3"/>
    <x v="4"/>
    <x v="3"/>
    <s v="Comunidad de Madrid"/>
    <x v="2"/>
    <n v="5"/>
    <n v="44.9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2579F-0BCE-4C76-AE56-E38AF588CB30}" name="Ventas_categorí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O20:P26" firstHeaderRow="1" firstDataRow="1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9" hier="-1"/>
  </pageFields>
  <dataFields count="1">
    <dataField name="Suma de total_venta" fld="8" baseField="3" baseItem="0" numFmtId="166"/>
  </dataFields>
  <formats count="1">
    <format dxfId="69">
      <pivotArea outline="0" collapsedLevelsAreSubtotals="1" fieldPosition="0"/>
    </format>
  </formats>
  <chartFormats count="6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5B043-23C9-4F71-89F1-FDB09AD1F93D}" name="Ticket_medio_categorí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L36:M42" firstHeaderRow="1" firstDataRow="1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9" hier="-1"/>
  </pageFields>
  <dataFields count="1">
    <dataField name="Promedio de total_venta" fld="8" subtotal="average" baseField="9" baseItem="2" numFmtId="164"/>
  </dataFields>
  <formats count="2">
    <format dxfId="71">
      <pivotArea grandRow="1" outline="0" collapsedLevelsAreSubtotals="1" fieldPosition="0"/>
    </format>
    <format dxfId="70">
      <pivotArea collapsedLevelsAreSubtotals="1" fieldPosition="0">
        <references count="1">
          <reference field="3" count="0"/>
        </references>
      </pivotArea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9FB55-46B8-44EA-ADEC-3E9936BBAE68}" name="Revenue_brut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73:E74" firstHeaderRow="1" firstDataRow="1" firstDataCol="0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multipleItemSelectionAllowed="1" showAll="0"/>
    <pivotField numFmtId="164" showAll="0"/>
    <pivotField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Suma de Total bruto (antes de descuento)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6383B-CA8C-401C-9497-381D1183FB48}" name="Ingresos_potencial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6:T7" firstHeaderRow="1" firstDataRow="1" firstDataCol="0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h="1" x="3"/>
        <item h="1" x="4"/>
        <item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Suma de total_venta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6FAEB-9F4F-406D-8B07-E3F6B43BAFA9}" name="Revenue_CityTier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R20:S24" firstHeaderRow="1" firstDataRow="1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9" hier="-1"/>
  </pageFields>
  <dataFields count="1">
    <dataField name="Suma de total_venta" fld="8" baseField="3" baseItem="0" numFmtId="166"/>
  </dataFields>
  <formats count="1">
    <format dxfId="72">
      <pivotArea outline="0" collapsedLevelsAreSubtotals="1" fieldPosition="0"/>
    </format>
  </formats>
  <chartFormats count="6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0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78FE5-91D8-47AF-8C38-D740795553C3}" name="Ventas_canal" cacheId="0" dataPosition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5">
  <location ref="O44:Q49" firstHeaderRow="0" firstDataRow="1" firstDataCol="1" rowPageCount="1" colPageCount="1"/>
  <pivotFields count="21">
    <pivotField dataField="1"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Pedidos" fld="0" subtotal="count" baseField="10" baseItem="0"/>
    <dataField name="Total Venta" fld="8" baseField="10" baseItem="0" numFmtId="164"/>
  </dataFields>
  <formats count="2">
    <format dxfId="74">
      <pivotArea outline="0" collapsedLevelsAreSubtotals="1" fieldPosition="0"/>
    </format>
    <format dxfId="73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0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C60C5-BBBF-419D-849A-D892C2F9B2E2}" name="5_peor_valorad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5" rowHeaderCaption="Producto">
  <location ref="O76:P82" firstHeaderRow="1" firstDataRow="1" firstDataCol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axis="axisRow" showAll="0" measureFilter="1" sortType="ascending">
      <items count="31">
        <item x="29"/>
        <item x="8"/>
        <item x="4"/>
        <item x="12"/>
        <item x="3"/>
        <item x="7"/>
        <item x="24"/>
        <item x="1"/>
        <item x="10"/>
        <item x="5"/>
        <item x="23"/>
        <item x="18"/>
        <item x="16"/>
        <item x="17"/>
        <item x="19"/>
        <item x="22"/>
        <item x="11"/>
        <item x="13"/>
        <item x="25"/>
        <item x="0"/>
        <item x="2"/>
        <item x="9"/>
        <item x="27"/>
        <item x="14"/>
        <item x="21"/>
        <item x="26"/>
        <item x="20"/>
        <item x="28"/>
        <item x="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numFmtId="164" showAll="0"/>
    <pivotField numFmtId="164" showAll="0"/>
    <pivotField multipleItemSelectionAllowed="1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25"/>
    </i>
    <i>
      <x/>
    </i>
    <i>
      <x v="8"/>
    </i>
    <i>
      <x v="14"/>
    </i>
    <i>
      <x v="16"/>
    </i>
    <i t="grand">
      <x/>
    </i>
  </rowItems>
  <colItems count="1">
    <i/>
  </colItems>
  <dataFields count="1">
    <dataField name="Valoración promedio" fld="15" subtotal="average" baseField="2" baseItem="25" numFmtId="168"/>
  </dataFields>
  <formats count="2">
    <format dxfId="76">
      <pivotArea outline="0" collapsedLevelsAreSubtotals="1" fieldPosition="0"/>
    </format>
    <format dxfId="75">
      <pivotArea outline="0" fieldPosition="0">
        <references count="1">
          <reference field="4294967294" count="1">
            <x v="0"/>
          </reference>
        </references>
      </pivotArea>
    </format>
  </formats>
  <pivotTableStyleInfo name="Personal" showRowHeaders="1" showColHeaders="1" showRowStripes="0" showColStripes="0" showLastColumn="1"/>
  <filters count="1">
    <filter fld="2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28E22-8630-48C6-B1F3-D29AAA02273F}" name="Ticket_medi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L20:L21" firstHeaderRow="1" firstDataRow="1" firstDataCol="0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Promedio de total_venta" fld="8" subtotal="average" baseField="9" baseItem="2" numFmtId="166"/>
  </dataFields>
  <formats count="1">
    <format dxfId="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2D16B-8D35-402F-A18E-766D9EACA41C}" name="Total_entreg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73:B74" firstHeaderRow="1" firstDataRow="1" firstDataCol="0" rowPageCount="1" colPageCount="1"/>
  <pivotFields count="21">
    <pivotField dataField="1"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multipleItemSelectionAllowed="1" showAll="0"/>
    <pivotField numFmtId="164" showAll="0"/>
    <pivotField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Cuenta de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2E70E-B827-4F59-9EA8-E9BCFFAA4F2D}" name="Importe_devolucion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W6:W7" firstHeaderRow="1" firstDataRow="1" firstDataCol="0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h="1" x="3"/>
        <item x="4"/>
        <item h="1"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Suma de total_venta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12DE5-0E7E-4334-82D0-9536639AFB43}" name="Ticket_medio_can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L26:M31" firstHeaderRow="1" firstDataRow="1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9" hier="-1"/>
  </pageFields>
  <dataFields count="1">
    <dataField name="Promedio de total_venta" fld="8" subtotal="average" baseField="9" baseItem="2" numFmtId="164"/>
  </dataFields>
  <formats count="3">
    <format dxfId="80">
      <pivotArea collapsedLevelsAreSubtotals="1" fieldPosition="0">
        <references count="1">
          <reference field="10" count="1">
            <x v="0"/>
          </reference>
        </references>
      </pivotArea>
    </format>
    <format dxfId="79">
      <pivotArea collapsedLevelsAreSubtotals="1" fieldPosition="0">
        <references count="1">
          <reference field="10" count="3">
            <x v="1"/>
            <x v="2"/>
            <x v="3"/>
          </reference>
        </references>
      </pivotArea>
    </format>
    <format dxfId="7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F3802-0527-4089-9E91-B19D13CFD7F8}" name="Ctd_ciudad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42:C58" firstHeaderRow="1" firstDataRow="1" firstDataCol="1" rowPageCount="1" colPageCount="1"/>
  <pivotFields count="21">
    <pivotField dataField="1"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axis="axisRow" showAll="0">
      <items count="16">
        <item x="1"/>
        <item x="11"/>
        <item x="5"/>
        <item x="4"/>
        <item x="8"/>
        <item x="3"/>
        <item x="13"/>
        <item x="12"/>
        <item x="9"/>
        <item x="2"/>
        <item x="10"/>
        <item x="0"/>
        <item x="6"/>
        <item x="7"/>
        <item x="14"/>
        <item t="default"/>
      </items>
    </pivotField>
    <pivotField showAll="0"/>
    <pivotField showAll="0"/>
    <pivotField showAll="0"/>
    <pivotField numFmtId="164" showAll="0"/>
    <pivotField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9" hier="-1"/>
  </pageFields>
  <dataFields count="1">
    <dataField name="Cuenta de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DD08C-633A-4839-AFC6-E390855F1A9D}" name="5_mejor_valorad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5" rowHeaderCaption="Producto">
  <location ref="O67:P73" firstHeaderRow="1" firstDataRow="1" firstDataCol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axis="axisRow" showAll="0" measureFilter="1" sortType="descending">
      <items count="31">
        <item x="29"/>
        <item x="8"/>
        <item x="4"/>
        <item x="12"/>
        <item x="3"/>
        <item x="7"/>
        <item x="24"/>
        <item x="1"/>
        <item x="10"/>
        <item x="5"/>
        <item x="23"/>
        <item x="18"/>
        <item x="16"/>
        <item x="17"/>
        <item x="19"/>
        <item x="22"/>
        <item x="11"/>
        <item x="13"/>
        <item x="25"/>
        <item x="0"/>
        <item x="2"/>
        <item x="9"/>
        <item x="27"/>
        <item x="14"/>
        <item x="21"/>
        <item x="26"/>
        <item x="20"/>
        <item x="28"/>
        <item x="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numFmtId="164" showAll="0"/>
    <pivotField numFmtId="164" showAll="0"/>
    <pivotField multipleItemSelectionAllowed="1"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23"/>
    </i>
    <i>
      <x v="24"/>
    </i>
    <i>
      <x v="22"/>
    </i>
    <i>
      <x v="5"/>
    </i>
    <i>
      <x v="18"/>
    </i>
    <i t="grand">
      <x/>
    </i>
  </rowItems>
  <colItems count="1">
    <i/>
  </colItems>
  <dataFields count="1">
    <dataField name="Valoración promedio" fld="15" subtotal="average" baseField="2" baseItem="23" numFmtId="168"/>
  </dataFields>
  <formats count="2">
    <format dxfId="82">
      <pivotArea outline="0" collapsedLevelsAreSubtotals="1" fieldPosition="0"/>
    </format>
    <format dxfId="81">
      <pivotArea outline="0" fieldPosition="0">
        <references count="1">
          <reference field="4294967294" count="1">
            <x v="0"/>
          </reference>
        </references>
      </pivotArea>
    </format>
  </formats>
  <pivotTableStyleInfo name="Personal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41728-23C0-4DDF-8D5F-9C5DD7D54C4F}" name="Pedidos_cancel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6:K7" firstHeaderRow="1" firstDataRow="1" firstDataCol="0" rowPageCount="1" colPageCount="1"/>
  <pivotFields count="21">
    <pivotField dataField="1"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x="3"/>
        <item h="1" x="4"/>
        <item h="1"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Cuenta de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E6248-6982-40B7-9E05-0D520B8ADB3B}" name="Ingresos_ne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6:Q7" firstHeaderRow="1" firstDataRow="1" firstDataCol="0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Suma de total_venta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DFF-BE46-441A-A584-E849265C0C72}" name="Total_pedi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B7" firstHeaderRow="1" firstDataRow="1" firstDataCol="0" rowPageCount="1" colPageCount="1"/>
  <pivotFields count="21">
    <pivotField dataField="1"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Cuenta de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67075-C52F-4F83-B381-DBE2A3E855E8}" name="Dev_categorí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U33:V39" firstHeaderRow="1" firstDataRow="1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dataField="1"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h="1" x="3"/>
        <item x="4"/>
        <item h="1"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9" hier="-1"/>
  </pageFields>
  <dataFields count="1">
    <dataField name="Suma de cantidad" fld="4" baseField="0" baseItem="0"/>
  </dataFields>
  <chartFormats count="1"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C4327-F40F-4EFA-8E68-DA13325B0515}" name="5_menos_pedi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 rowHeaderCaption="Producto">
  <location ref="E56:F62" firstHeaderRow="1" firstDataRow="1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axis="axisRow" showAll="0" measureFilter="1">
      <items count="31">
        <item x="29"/>
        <item x="8"/>
        <item x="4"/>
        <item x="12"/>
        <item x="3"/>
        <item x="7"/>
        <item x="24"/>
        <item x="1"/>
        <item x="10"/>
        <item x="5"/>
        <item x="23"/>
        <item x="18"/>
        <item x="16"/>
        <item x="17"/>
        <item x="19"/>
        <item x="22"/>
        <item x="11"/>
        <item x="13"/>
        <item x="25"/>
        <item x="0"/>
        <item x="2"/>
        <item x="9"/>
        <item x="27"/>
        <item x="14"/>
        <item x="21"/>
        <item x="26"/>
        <item x="20"/>
        <item x="28"/>
        <item x="6"/>
        <item x="15"/>
        <item t="default"/>
      </items>
    </pivotField>
    <pivotField showAll="0"/>
    <pivotField dataField="1"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2"/>
  </rowFields>
  <rowItems count="6">
    <i>
      <x v="2"/>
    </i>
    <i>
      <x v="7"/>
    </i>
    <i>
      <x v="13"/>
    </i>
    <i>
      <x v="27"/>
    </i>
    <i>
      <x v="29"/>
    </i>
    <i t="grand">
      <x/>
    </i>
  </rowItems>
  <colItems count="1">
    <i/>
  </colItems>
  <pageFields count="1">
    <pageField fld="9" hier="-1"/>
  </pageFields>
  <dataFields count="1">
    <dataField name="Cantidad " fld="4" baseField="2" baseItem="1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ersonal" showRowHeaders="1" showColHeaders="1" showRowStripes="0" showColStripes="0" showLastColumn="1"/>
  <filters count="1">
    <filter fld="2" type="count" evalOrder="-1" id="7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A3495-3D91-4668-B219-9FAE33A0780A}" name="Entregados_con_descuent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67:B68" firstHeaderRow="1" firstDataRow="1" firstDataCol="0" rowPageCount="2" colPageCount="1"/>
  <pivotFields count="21">
    <pivotField dataField="1"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axis="axisPage" multipleItemSelectionAllowed="1" showAll="0">
      <items count="6">
        <item h="1" x="1"/>
        <item x="2"/>
        <item x="3"/>
        <item x="0"/>
        <item x="4"/>
        <item t="default"/>
      </items>
    </pivotField>
    <pivotField numFmtId="164" showAll="0"/>
    <pivotField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2">
    <pageField fld="9" hier="-1"/>
    <pageField fld="6" hier="-1"/>
  </pageFields>
  <dataFields count="1">
    <dataField name="Cuenta de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3FA8F-A7EE-45EC-BE21-F39E11392CE5}" name="evolución_mensu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F20:I34" firstHeaderRow="1" firstDataRow="2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Page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3">
    <i>
      <x v="1"/>
    </i>
    <i>
      <x v="2"/>
    </i>
    <i t="grand">
      <x/>
    </i>
  </colItems>
  <pageFields count="1">
    <pageField fld="9" item="3" hier="-1"/>
  </pageFields>
  <dataFields count="1">
    <dataField name="Suma de total_venta" fld="8" baseField="0" baseItem="0" numFmtId="164"/>
  </dataFields>
  <formats count="1">
    <format dxfId="83">
      <pivotArea collapsedLevelsAreSubtotals="1" fieldPosition="0">
        <references count="2">
          <reference field="18" count="1">
            <x v="1"/>
          </reference>
          <reference field="20" count="1" selected="0">
            <x v="1"/>
          </reference>
        </references>
      </pivotArea>
    </format>
  </formats>
  <chartFormats count="2"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5C0B1-B71C-4AA6-B8EF-113FE79395B5}" name="Cantidad_categorí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O31:P37" firstHeaderRow="1" firstDataRow="1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dataField="1"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9" hier="-1"/>
  </pageFields>
  <dataFields count="1">
    <dataField name="Suma de cantidad" fld="4" baseField="0" baseItem="0"/>
  </dataFields>
  <chartFormats count="1"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D789A-7621-4782-A42D-63BD1DC58E42}" name="5_más_pedid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1" rowHeaderCaption="Producto">
  <location ref="E45:F51" firstHeaderRow="1" firstDataRow="1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axis="axisRow" showAll="0" measureFilter="1">
      <items count="31">
        <item x="29"/>
        <item x="8"/>
        <item x="4"/>
        <item x="12"/>
        <item x="3"/>
        <item x="7"/>
        <item x="24"/>
        <item x="1"/>
        <item x="10"/>
        <item x="5"/>
        <item x="23"/>
        <item x="18"/>
        <item x="16"/>
        <item x="17"/>
        <item x="19"/>
        <item x="22"/>
        <item x="11"/>
        <item x="13"/>
        <item x="25"/>
        <item x="0"/>
        <item x="2"/>
        <item x="9"/>
        <item x="27"/>
        <item x="14"/>
        <item x="21"/>
        <item x="26"/>
        <item x="20"/>
        <item x="28"/>
        <item x="6"/>
        <item x="15"/>
        <item t="default"/>
      </items>
    </pivotField>
    <pivotField showAll="0"/>
    <pivotField dataField="1"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2"/>
  </rowFields>
  <rowItems count="6">
    <i>
      <x v="1"/>
    </i>
    <i>
      <x v="3"/>
    </i>
    <i>
      <x v="15"/>
    </i>
    <i>
      <x v="19"/>
    </i>
    <i>
      <x v="26"/>
    </i>
    <i t="grand">
      <x/>
    </i>
  </rowItems>
  <colItems count="1">
    <i/>
  </colItems>
  <pageFields count="1">
    <pageField fld="9" hier="-1"/>
  </pageFields>
  <dataFields count="1">
    <dataField name="Suma de cantidad" fld="4" baseField="0" baseItem="0"/>
  </dataFields>
  <chartFormats count="1"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ersonal" showRowHeaders="1" showColHeaders="1" showRowStripes="0" showColStripes="0" showLastColumn="1"/>
  <filters count="1">
    <filter fld="2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94740-8FA6-4AB4-B706-3AD6F1F043CA}" name="Pedidos_devuel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6:N7" firstHeaderRow="1" firstDataRow="1" firstDataCol="0" rowPageCount="1" colPageCount="1"/>
  <pivotFields count="21">
    <pivotField dataField="1"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h="1" x="3"/>
        <item x="4"/>
        <item h="1"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Cuenta de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D5A52-3A6A-420F-B8AC-9CFE0D7B7391}" name="Importe_cancel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6:Z7" firstHeaderRow="1" firstDataRow="1" firstDataCol="0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x="3"/>
        <item h="1" x="4"/>
        <item h="1"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Suma de total_venta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E45A5-C15B-42A5-ADBF-F1CB42F5E69D}" name="Cancel_categorí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U20:V26" firstHeaderRow="1" firstDataRow="1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dataField="1"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x="3"/>
        <item h="1" x="4"/>
        <item h="1"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9" hier="-1"/>
  </pageFields>
  <dataFields count="1">
    <dataField name="Suma de cantidad" fld="4" baseField="0" baseItem="0"/>
  </dataFields>
  <chartFormats count="1"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BCE7F-9432-49F7-81A1-61359FA01D94}" name="Evolución_dev_cance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T48:W62" firstHeaderRow="1" firstDataRow="2" firstDataCol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Col" multipleItemSelectionAllowed="1" showAll="0">
      <items count="6">
        <item x="3"/>
        <item x="4"/>
        <item h="1"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a de total_venta" fld="8" baseField="0" baseItem="0" numFmtId="164"/>
  </dataFields>
  <chartFormats count="2"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2FE16-28B1-48F6-8AFB-796F7DFCD710}" name="Pedidos_activ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6:E7" firstHeaderRow="1" firstDataRow="1" firstDataCol="0" rowPageCount="1" colPageCount="1"/>
  <pivotFields count="21">
    <pivotField dataField="1"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h="1" x="3"/>
        <item h="1" x="4"/>
        <item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Cuenta de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81FF2-9175-403D-BBC0-8635765162BF}" name="estado_pedi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0:C26" firstHeaderRow="1" firstDataRow="1" firstDataCol="1"/>
  <pivotFields count="21">
    <pivotField dataField="1"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82DEB-C9C2-449E-A6CE-60A113AF599D}" name="Ventas_método_pag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2">
  <location ref="O56:P62" firstHeaderRow="1" firstDataRow="1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9" hier="-1"/>
  </pageFields>
  <dataFields count="1">
    <dataField name="Suma de total_venta" fld="8" baseField="3" baseItem="0" numFmtId="166"/>
  </dataFields>
  <formats count="1">
    <format dxfId="84">
      <pivotArea outline="0" collapsedLevelsAreSubtotals="1" fieldPosition="0"/>
    </format>
  </formats>
  <chartFormats count="13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4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4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4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4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4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4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09A4E-6664-4649-8E2C-170518CF6706}" name="Cantidad_m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J51:M65" firstHeaderRow="1" firstDataRow="2" firstDataCol="1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dataField="1"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3">
    <i>
      <x v="1"/>
    </i>
    <i>
      <x v="2"/>
    </i>
    <i t="grand">
      <x/>
    </i>
  </colItems>
  <pageFields count="1">
    <pageField fld="9" hier="-1"/>
  </pageFields>
  <dataFields count="1">
    <dataField name="Suma de cantidad" fld="4" baseField="0" baseItem="0"/>
  </dataFields>
  <formats count="1">
    <format dxfId="85">
      <pivotArea collapsedLevelsAreSubtotals="1" fieldPosition="0">
        <references count="2">
          <reference field="18" count="1">
            <x v="1"/>
          </reference>
          <reference field="20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961E6-B7D4-49FE-AA76-B9F6DA3F9EAF}" name="Revenue_net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67:E68" firstHeaderRow="1" firstDataRow="1" firstDataCol="0" rowPageCount="1" colPageCount="1"/>
  <pivotFields count="21">
    <pivotField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multipleItemSelectionAllowed="1" showAll="0"/>
    <pivotField numFmtId="164" showAll="0"/>
    <pivotField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Suma de Descuento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41BBB-1B45-491D-9653-19953A2C1867}" name="Pedidos_complet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6:H7" firstHeaderRow="1" firstDataRow="1" firstDataCol="0" rowPageCount="1" colPageCount="1"/>
  <pivotFields count="21">
    <pivotField dataField="1" showAll="0"/>
    <pivotField numFmtId="14" showAll="0">
      <items count="716">
        <item x="709"/>
        <item x="347"/>
        <item x="703"/>
        <item x="246"/>
        <item x="522"/>
        <item x="506"/>
        <item x="455"/>
        <item x="615"/>
        <item x="39"/>
        <item x="297"/>
        <item x="708"/>
        <item x="15"/>
        <item x="324"/>
        <item x="578"/>
        <item x="714"/>
        <item x="692"/>
        <item x="251"/>
        <item x="667"/>
        <item x="464"/>
        <item x="377"/>
        <item x="435"/>
        <item x="663"/>
        <item x="589"/>
        <item x="550"/>
        <item x="579"/>
        <item x="513"/>
        <item x="209"/>
        <item x="493"/>
        <item x="617"/>
        <item x="83"/>
        <item x="322"/>
        <item x="10"/>
        <item x="518"/>
        <item x="621"/>
        <item x="332"/>
        <item x="635"/>
        <item x="682"/>
        <item x="706"/>
        <item x="637"/>
        <item x="622"/>
        <item x="449"/>
        <item x="301"/>
        <item x="164"/>
        <item x="147"/>
        <item x="649"/>
        <item x="376"/>
        <item x="310"/>
        <item x="434"/>
        <item x="380"/>
        <item x="472"/>
        <item x="546"/>
        <item x="683"/>
        <item x="236"/>
        <item x="516"/>
        <item x="698"/>
        <item x="161"/>
        <item x="336"/>
        <item x="202"/>
        <item x="707"/>
        <item x="340"/>
        <item x="95"/>
        <item x="28"/>
        <item x="633"/>
        <item x="309"/>
        <item x="146"/>
        <item x="92"/>
        <item x="210"/>
        <item x="359"/>
        <item x="526"/>
        <item x="247"/>
        <item x="112"/>
        <item x="448"/>
        <item x="99"/>
        <item x="534"/>
        <item x="207"/>
        <item x="119"/>
        <item x="78"/>
        <item x="642"/>
        <item x="244"/>
        <item x="5"/>
        <item x="200"/>
        <item x="35"/>
        <item x="557"/>
        <item x="199"/>
        <item x="71"/>
        <item x="591"/>
        <item x="153"/>
        <item x="82"/>
        <item x="1"/>
        <item x="661"/>
        <item x="363"/>
        <item x="131"/>
        <item x="141"/>
        <item x="255"/>
        <item x="350"/>
        <item x="713"/>
        <item x="643"/>
        <item x="419"/>
        <item x="27"/>
        <item x="30"/>
        <item x="315"/>
        <item x="626"/>
        <item x="480"/>
        <item x="323"/>
        <item x="631"/>
        <item x="349"/>
        <item x="501"/>
        <item x="62"/>
        <item x="77"/>
        <item x="286"/>
        <item x="602"/>
        <item x="551"/>
        <item x="16"/>
        <item x="238"/>
        <item x="382"/>
        <item x="554"/>
        <item x="40"/>
        <item x="295"/>
        <item x="110"/>
        <item x="404"/>
        <item x="688"/>
        <item x="79"/>
        <item x="63"/>
        <item x="443"/>
        <item x="470"/>
        <item x="100"/>
        <item x="142"/>
        <item x="549"/>
        <item x="178"/>
        <item x="212"/>
        <item x="632"/>
        <item x="144"/>
        <item x="541"/>
        <item x="273"/>
        <item x="697"/>
        <item x="467"/>
        <item x="305"/>
        <item x="279"/>
        <item x="600"/>
        <item x="623"/>
        <item x="304"/>
        <item x="29"/>
        <item x="462"/>
        <item x="306"/>
        <item x="673"/>
        <item x="267"/>
        <item x="702"/>
        <item x="190"/>
        <item x="489"/>
        <item x="228"/>
        <item x="504"/>
        <item x="176"/>
        <item x="494"/>
        <item x="608"/>
        <item x="18"/>
        <item x="353"/>
        <item x="33"/>
        <item x="330"/>
        <item x="159"/>
        <item x="616"/>
        <item x="241"/>
        <item x="187"/>
        <item x="510"/>
        <item x="226"/>
        <item x="536"/>
        <item x="351"/>
        <item x="679"/>
        <item x="296"/>
        <item x="76"/>
        <item x="669"/>
        <item x="378"/>
        <item x="124"/>
        <item x="694"/>
        <item x="689"/>
        <item x="96"/>
        <item x="545"/>
        <item x="320"/>
        <item x="488"/>
        <item x="169"/>
        <item x="17"/>
        <item x="46"/>
        <item x="158"/>
        <item x="407"/>
        <item x="195"/>
        <item x="593"/>
        <item x="511"/>
        <item x="355"/>
        <item x="205"/>
        <item x="542"/>
        <item x="256"/>
        <item x="115"/>
        <item x="129"/>
        <item x="392"/>
        <item x="561"/>
        <item x="88"/>
        <item x="409"/>
        <item x="425"/>
        <item x="433"/>
        <item x="563"/>
        <item x="291"/>
        <item x="2"/>
        <item x="185"/>
        <item x="568"/>
        <item x="607"/>
        <item x="311"/>
        <item x="41"/>
        <item x="580"/>
        <item x="381"/>
        <item x="502"/>
        <item x="590"/>
        <item x="678"/>
        <item x="461"/>
        <item x="431"/>
        <item x="72"/>
        <item x="11"/>
        <item x="674"/>
        <item x="671"/>
        <item x="151"/>
        <item x="477"/>
        <item x="471"/>
        <item x="263"/>
        <item x="13"/>
        <item x="299"/>
        <item x="365"/>
        <item x="48"/>
        <item x="415"/>
        <item x="395"/>
        <item x="253"/>
        <item x="524"/>
        <item x="89"/>
        <item x="227"/>
        <item x="25"/>
        <item x="163"/>
        <item x="704"/>
        <item x="97"/>
        <item x="335"/>
        <item x="560"/>
        <item x="59"/>
        <item x="168"/>
        <item x="303"/>
        <item x="145"/>
        <item x="75"/>
        <item x="20"/>
        <item x="192"/>
        <item x="712"/>
        <item x="605"/>
        <item x="486"/>
        <item x="38"/>
        <item x="327"/>
        <item x="12"/>
        <item x="243"/>
        <item x="47"/>
        <item x="364"/>
        <item x="312"/>
        <item x="397"/>
        <item x="584"/>
        <item x="701"/>
        <item x="618"/>
        <item x="592"/>
        <item x="609"/>
        <item x="496"/>
        <item x="403"/>
        <item x="473"/>
        <item x="492"/>
        <item x="636"/>
        <item x="634"/>
        <item x="418"/>
        <item x="640"/>
        <item x="497"/>
        <item x="8"/>
        <item x="532"/>
        <item x="356"/>
        <item x="606"/>
        <item x="664"/>
        <item x="668"/>
        <item x="625"/>
        <item x="232"/>
        <item x="127"/>
        <item x="250"/>
        <item x="42"/>
        <item x="103"/>
        <item x="156"/>
        <item x="139"/>
        <item x="559"/>
        <item x="475"/>
        <item x="638"/>
        <item x="213"/>
        <item x="91"/>
        <item x="223"/>
        <item x="439"/>
        <item x="460"/>
        <item x="231"/>
        <item x="216"/>
        <item x="412"/>
        <item x="691"/>
        <item x="687"/>
        <item x="123"/>
        <item x="86"/>
        <item x="133"/>
        <item x="710"/>
        <item x="302"/>
        <item x="113"/>
        <item x="126"/>
        <item x="54"/>
        <item x="576"/>
        <item x="137"/>
        <item x="581"/>
        <item x="93"/>
        <item x="530"/>
        <item x="695"/>
        <item x="500"/>
        <item x="354"/>
        <item x="179"/>
        <item x="319"/>
        <item x="109"/>
        <item x="442"/>
        <item x="152"/>
        <item x="34"/>
        <item x="548"/>
        <item x="36"/>
        <item x="343"/>
        <item x="329"/>
        <item x="218"/>
        <item x="529"/>
        <item x="258"/>
        <item x="342"/>
        <item x="19"/>
        <item x="453"/>
        <item x="281"/>
        <item x="574"/>
        <item x="162"/>
        <item x="143"/>
        <item x="66"/>
        <item x="597"/>
        <item x="257"/>
        <item x="564"/>
        <item x="456"/>
        <item x="328"/>
        <item x="646"/>
        <item x="214"/>
        <item x="24"/>
        <item x="656"/>
        <item x="476"/>
        <item x="613"/>
        <item x="677"/>
        <item x="87"/>
        <item x="233"/>
        <item x="647"/>
        <item x="346"/>
        <item x="484"/>
        <item x="188"/>
        <item x="595"/>
        <item x="628"/>
        <item x="520"/>
        <item x="558"/>
        <item x="274"/>
        <item x="490"/>
        <item x="271"/>
        <item x="641"/>
        <item x="45"/>
        <item x="4"/>
        <item x="385"/>
        <item x="317"/>
        <item x="107"/>
        <item x="604"/>
        <item x="482"/>
        <item x="341"/>
        <item x="132"/>
        <item x="445"/>
        <item x="533"/>
        <item x="690"/>
        <item x="654"/>
        <item x="507"/>
        <item x="372"/>
        <item x="331"/>
        <item x="242"/>
        <item x="189"/>
        <item x="630"/>
        <item x="527"/>
        <item x="570"/>
        <item x="348"/>
        <item x="9"/>
        <item x="7"/>
        <item x="396"/>
        <item x="495"/>
        <item x="620"/>
        <item x="424"/>
        <item x="655"/>
        <item x="198"/>
        <item x="648"/>
        <item x="275"/>
        <item x="272"/>
        <item x="32"/>
        <item x="544"/>
        <item x="249"/>
        <item x="594"/>
        <item x="555"/>
        <item x="670"/>
        <item x="280"/>
        <item x="49"/>
        <item x="700"/>
        <item x="598"/>
        <item x="696"/>
        <item x="307"/>
        <item x="370"/>
        <item x="165"/>
        <item x="426"/>
        <item x="31"/>
        <item x="639"/>
        <item x="104"/>
        <item x="373"/>
        <item x="362"/>
        <item x="440"/>
        <item x="438"/>
        <item x="466"/>
        <item x="515"/>
        <item x="601"/>
        <item x="538"/>
        <item x="659"/>
        <item x="220"/>
        <item x="138"/>
        <item x="55"/>
        <item x="73"/>
        <item x="314"/>
        <item x="155"/>
        <item x="523"/>
        <item x="421"/>
        <item x="148"/>
        <item x="452"/>
        <item x="398"/>
        <item x="547"/>
        <item x="465"/>
        <item x="585"/>
        <item x="562"/>
        <item x="535"/>
        <item x="122"/>
        <item x="277"/>
        <item x="498"/>
        <item x="653"/>
        <item x="108"/>
        <item x="175"/>
        <item x="118"/>
        <item x="705"/>
        <item x="43"/>
        <item x="680"/>
        <item x="478"/>
        <item x="505"/>
        <item x="206"/>
        <item x="201"/>
        <item x="454"/>
        <item x="357"/>
        <item x="173"/>
        <item x="174"/>
        <item x="172"/>
        <item x="508"/>
        <item x="483"/>
        <item x="428"/>
        <item x="481"/>
        <item x="384"/>
        <item x="463"/>
        <item x="512"/>
        <item x="229"/>
        <item x="166"/>
        <item x="684"/>
        <item x="685"/>
        <item x="326"/>
        <item x="57"/>
        <item x="219"/>
        <item x="70"/>
        <item x="624"/>
        <item x="171"/>
        <item x="644"/>
        <item x="318"/>
        <item x="627"/>
        <item x="196"/>
        <item x="366"/>
        <item x="60"/>
        <item x="287"/>
        <item x="657"/>
        <item x="339"/>
        <item x="234"/>
        <item x="660"/>
        <item x="368"/>
        <item x="111"/>
        <item x="114"/>
        <item x="334"/>
        <item x="69"/>
        <item x="408"/>
        <item x="588"/>
        <item x="261"/>
        <item x="468"/>
        <item x="528"/>
        <item x="389"/>
        <item x="474"/>
        <item x="383"/>
        <item x="61"/>
        <item x="117"/>
        <item x="128"/>
        <item x="259"/>
        <item x="221"/>
        <item x="525"/>
        <item x="269"/>
        <item x="458"/>
        <item x="650"/>
        <item x="429"/>
        <item x="224"/>
        <item x="222"/>
        <item x="410"/>
        <item x="401"/>
        <item x="582"/>
        <item x="711"/>
        <item x="52"/>
        <item x="610"/>
        <item x="566"/>
        <item x="106"/>
        <item x="239"/>
        <item x="289"/>
        <item x="321"/>
        <item x="672"/>
        <item x="225"/>
        <item x="422"/>
        <item x="276"/>
        <item x="420"/>
        <item x="94"/>
        <item x="479"/>
        <item x="193"/>
        <item x="180"/>
        <item x="293"/>
        <item x="553"/>
        <item x="254"/>
        <item x="167"/>
        <item x="450"/>
        <item x="21"/>
        <item x="183"/>
        <item x="379"/>
        <item x="265"/>
        <item x="573"/>
        <item x="599"/>
        <item x="68"/>
        <item x="26"/>
        <item x="352"/>
        <item x="121"/>
        <item x="338"/>
        <item x="285"/>
        <item x="140"/>
        <item x="44"/>
        <item x="571"/>
        <item x="540"/>
        <item x="56"/>
        <item x="300"/>
        <item x="237"/>
        <item x="411"/>
        <item x="572"/>
        <item x="90"/>
        <item x="186"/>
        <item x="85"/>
        <item x="485"/>
        <item x="134"/>
        <item x="451"/>
        <item x="427"/>
        <item x="391"/>
        <item x="136"/>
        <item x="390"/>
        <item x="37"/>
        <item x="245"/>
        <item x="170"/>
        <item x="552"/>
        <item x="203"/>
        <item x="491"/>
        <item x="539"/>
        <item x="184"/>
        <item x="325"/>
        <item x="240"/>
        <item x="204"/>
        <item x="211"/>
        <item x="432"/>
        <item x="215"/>
        <item x="292"/>
        <item x="521"/>
        <item x="499"/>
        <item x="51"/>
        <item x="308"/>
        <item x="693"/>
        <item x="125"/>
        <item x="135"/>
        <item x="577"/>
        <item x="154"/>
        <item x="102"/>
        <item x="361"/>
        <item x="344"/>
        <item x="387"/>
        <item x="437"/>
        <item x="282"/>
        <item x="565"/>
        <item x="278"/>
        <item x="270"/>
        <item x="503"/>
        <item x="150"/>
        <item x="101"/>
        <item x="444"/>
        <item x="569"/>
        <item x="587"/>
        <item x="394"/>
        <item x="567"/>
        <item x="416"/>
        <item x="665"/>
        <item x="393"/>
        <item x="22"/>
        <item x="149"/>
        <item x="681"/>
        <item x="230"/>
        <item x="556"/>
        <item x="345"/>
        <item x="64"/>
        <item x="413"/>
        <item x="235"/>
        <item x="614"/>
        <item x="294"/>
        <item x="400"/>
        <item x="446"/>
        <item x="611"/>
        <item x="386"/>
        <item x="459"/>
        <item x="575"/>
        <item x="98"/>
        <item x="65"/>
        <item x="509"/>
        <item x="130"/>
        <item x="290"/>
        <item x="333"/>
        <item x="374"/>
        <item x="191"/>
        <item x="375"/>
        <item x="405"/>
        <item x="531"/>
        <item x="603"/>
        <item x="417"/>
        <item x="652"/>
        <item x="0"/>
        <item x="686"/>
        <item x="469"/>
        <item x="260"/>
        <item x="658"/>
        <item x="675"/>
        <item x="266"/>
        <item x="406"/>
        <item x="402"/>
        <item x="80"/>
        <item x="436"/>
        <item x="74"/>
        <item x="666"/>
        <item x="369"/>
        <item x="457"/>
        <item x="414"/>
        <item x="699"/>
        <item x="197"/>
        <item x="194"/>
        <item x="447"/>
        <item x="58"/>
        <item x="264"/>
        <item x="586"/>
        <item x="248"/>
        <item x="105"/>
        <item x="537"/>
        <item x="645"/>
        <item x="629"/>
        <item x="514"/>
        <item x="208"/>
        <item x="262"/>
        <item x="612"/>
        <item x="519"/>
        <item x="23"/>
        <item x="252"/>
        <item x="284"/>
        <item x="120"/>
        <item x="157"/>
        <item x="182"/>
        <item x="268"/>
        <item x="160"/>
        <item x="50"/>
        <item x="14"/>
        <item x="430"/>
        <item x="596"/>
        <item x="358"/>
        <item x="388"/>
        <item x="298"/>
        <item x="651"/>
        <item x="53"/>
        <item x="517"/>
        <item x="217"/>
        <item x="662"/>
        <item x="316"/>
        <item x="619"/>
        <item x="181"/>
        <item x="441"/>
        <item x="676"/>
        <item x="67"/>
        <item x="423"/>
        <item x="3"/>
        <item x="177"/>
        <item x="313"/>
        <item x="360"/>
        <item x="84"/>
        <item x="543"/>
        <item x="337"/>
        <item x="6"/>
        <item x="116"/>
        <item x="583"/>
        <item x="81"/>
        <item x="283"/>
        <item x="399"/>
        <item x="288"/>
        <item x="487"/>
        <item x="367"/>
        <item x="37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axis="axisPage" multipleItemSelectionAllowed="1" showAll="0">
      <items count="6">
        <item h="1" x="3"/>
        <item h="1" x="4"/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pageFields count="1">
    <pageField fld="9" hier="-1"/>
  </pageFields>
  <dataFields count="1">
    <dataField name="Cuenta de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9AD08A-A1BA-4D00-97B0-D2CE8E5AF37A}" autoFormatId="16" applyNumberFormats="0" applyBorderFormats="0" applyFontFormats="0" applyPatternFormats="0" applyAlignmentFormats="0" applyWidthHeightFormats="0">
  <queryTableRefresh nextId="23" unboundColumnsRight="2">
    <queryTableFields count="18">
      <queryTableField id="1" name="order_id" tableColumnId="1"/>
      <queryTableField id="2" name="fecha_compra" tableColumnId="2"/>
      <queryTableField id="3" name="producto" tableColumnId="3"/>
      <queryTableField id="4" name="categoria" tableColumnId="4"/>
      <queryTableField id="5" name="cantidad" tableColumnId="5"/>
      <queryTableField id="6" name="precio_base" tableColumnId="6"/>
      <queryTableField id="7" name="descuento_pct" tableColumnId="7"/>
      <queryTableField id="8" name="precio_unitario" tableColumnId="8"/>
      <queryTableField id="9" name="total_venta" tableColumnId="9"/>
      <queryTableField id="10" name="estado_entrega" tableColumnId="10"/>
      <queryTableField id="11" name="canal_venta" tableColumnId="11"/>
      <queryTableField id="12" name="metodo_pago" tableColumnId="12"/>
      <queryTableField id="13" name="ciudad" tableColumnId="13"/>
      <queryTableField id="14" name="region" tableColumnId="14"/>
      <queryTableField id="15" name="city_tier" tableColumnId="15"/>
      <queryTableField id="16" name="valoracion_cliente" tableColumnId="16"/>
      <queryTableField id="17" dataBound="0" tableColumnId="17"/>
      <queryTableField id="18" dataBound="0" tableColumnId="1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_compra" xr10:uid="{0B6B55B9-43C0-41E6-86F8-775937BFB736}" sourceName="Meses (fecha_compra)">
  <pivotTables>
    <pivotTable tabId="1" name="5_más_pedidos"/>
    <pivotTable tabId="1" name="5_mejor_valorados"/>
    <pivotTable tabId="1" name="5_menos_pedidos"/>
    <pivotTable tabId="1" name="5_peor_valorados"/>
    <pivotTable tabId="1" name="Pedidos_activos"/>
    <pivotTable tabId="1" name="Pedidos_cancelados"/>
    <pivotTable tabId="1" name="Pedidos_completados"/>
    <pivotTable tabId="1" name="Pedidos_devueltos"/>
    <pivotTable tabId="1" name="Ventas_canal"/>
    <pivotTable tabId="1" name="Ventas_método_pago"/>
    <pivotTable tabId="1" name="Cantidad_categoría"/>
    <pivotTable tabId="1" name="Ventas_categoría"/>
    <pivotTable tabId="1" name="Revenue_CityTier"/>
    <pivotTable tabId="1" name="Ticket_medio_categoría"/>
    <pivotTable tabId="1" name="Ticket_medio"/>
  </pivotTables>
  <data>
    <tabular pivotCacheId="175197228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entrega" xr10:uid="{C2A3D4AE-49B9-4D18-86F4-3ED4CBB4F4E1}" sourceName="estado_entrega">
  <pivotTables>
    <pivotTable tabId="1" name="estado_pedidos"/>
    <pivotTable tabId="1" name="Cantidad_categoría"/>
    <pivotTable tabId="1" name="5_más_pedidos"/>
    <pivotTable tabId="1" name="5_menos_pedidos"/>
  </pivotTables>
  <data>
    <tabular pivotCacheId="1751972281">
      <items count="5">
        <i x="3" s="1"/>
        <i x="4" s="1"/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compra" xr10:uid="{BFEC3B92-9D26-43C5-A39E-12C27654DB7A}" sourceName="Años (fecha_compra)">
  <pivotTables>
    <pivotTable tabId="1" name="5_más_pedidos"/>
    <pivotTable tabId="1" name="5_mejor_valorados"/>
    <pivotTable tabId="1" name="5_menos_pedidos"/>
    <pivotTable tabId="1" name="5_peor_valorados"/>
    <pivotTable tabId="1" name="Cantidad_categoría"/>
    <pivotTable tabId="1" name="Importe_cancelados"/>
    <pivotTable tabId="1" name="Importe_devoluciones"/>
    <pivotTable tabId="1" name="Ingresos_netos"/>
    <pivotTable tabId="1" name="Ingresos_potenciales"/>
    <pivotTable tabId="1" name="Pedidos_activos"/>
    <pivotTable tabId="1" name="Pedidos_cancelados"/>
    <pivotTable tabId="1" name="Pedidos_completados"/>
    <pivotTable tabId="1" name="Pedidos_devueltos"/>
    <pivotTable tabId="1" name="Ventas_canal"/>
    <pivotTable tabId="1" name="Ventas_categoría"/>
    <pivotTable tabId="1" name="Ventas_método_pago"/>
    <pivotTable tabId="1" name="Total_pedidos"/>
    <pivotTable tabId="1" name="Revenue_CityTier"/>
    <pivotTable tabId="1" name="Ticket_medio"/>
    <pivotTable tabId="1" name="Ticket_medio_canal"/>
    <pivotTable tabId="1" name="Ticket_medio_categoría"/>
    <pivotTable tabId="1" name="Evolución_dev_cancel"/>
    <pivotTable tabId="1" name="Entregados_con_descuento"/>
    <pivotTable tabId="1" name="Total_entregados"/>
    <pivotTable tabId="1" name="Revenue_bruto"/>
    <pivotTable tabId="1" name="Revenue_neto"/>
  </pivotTables>
  <data>
    <tabular pivotCacheId="1751972281">
      <items count="5">
        <i x="1" s="1"/>
        <i x="2" s="1"/>
        <i x="0" s="1" nd="1"/>
        <i x="4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fecha_compra)" xr10:uid="{D70CF56A-3E5B-4CBD-BCEE-8C5AC9B8B36C}" cache="SegmentaciónDeDatos_Meses__fecha_compra" caption="Meses (fecha_compra)" columnCount="3" style="SlicerStyleOther2 2" rowHeight="257175"/>
  <slicer name="estado_entrega" xr10:uid="{B3F3D07F-A078-43B6-9F85-47AC81CBBB86}" cache="SegmentaciónDeDatos_estado_entrega" caption="estado_entrega" style="SlicerStyleOther2 2" rowHeight="257175"/>
  <slicer name="Años (fecha_compra)" xr10:uid="{B9EAE3C4-514D-41A2-9D38-CE8B9BBF66F5}" cache="SegmentaciónDeDatos_Años__fecha_compra" caption="Años (fecha_compra)" columnCount="2" style="SlicerStyleOther2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9AE30-08CA-4E30-8E80-1979FFCDB09D}" name="Ventas" displayName="Ventas" ref="A1:R3001" tableType="queryTable" totalsRowShown="0">
  <autoFilter ref="A1:R3001" xr:uid="{03D9AE30-08CA-4E30-8E80-1979FFCDB09D}"/>
  <tableColumns count="18">
    <tableColumn id="1" xr3:uid="{48546356-8826-4B01-8116-7114E2A87023}" uniqueName="1" name="order_id" queryTableFieldId="1" dataDxfId="100"/>
    <tableColumn id="2" xr3:uid="{2CF49B5B-085D-418A-B489-142CDDD383A4}" uniqueName="2" name="fecha_compra" queryTableFieldId="2" dataDxfId="99"/>
    <tableColumn id="3" xr3:uid="{BE43970D-95A0-49DB-B5C4-7EF89CEAA121}" uniqueName="3" name="producto" queryTableFieldId="3" dataDxfId="98"/>
    <tableColumn id="4" xr3:uid="{55DDFA67-3725-43FC-83C1-D41AEFA4FBE6}" uniqueName="4" name="categoria" queryTableFieldId="4" dataDxfId="97"/>
    <tableColumn id="5" xr3:uid="{EF61AD50-CBC1-47F8-9053-B26A0912BE09}" uniqueName="5" name="cantidad" queryTableFieldId="5"/>
    <tableColumn id="6" xr3:uid="{064DE585-1C60-4CD2-9F02-3CE532355A4C}" uniqueName="6" name="precio_base" queryTableFieldId="6" dataDxfId="96"/>
    <tableColumn id="7" xr3:uid="{5AC95526-A6B8-4CAE-8F73-268A1A5191FC}" uniqueName="7" name="descuento_pct" queryTableFieldId="7"/>
    <tableColumn id="8" xr3:uid="{B599727F-C208-4851-8CFD-12B2AE007EB1}" uniqueName="8" name="precio_unitario" queryTableFieldId="8" dataDxfId="95"/>
    <tableColumn id="9" xr3:uid="{3153750A-027D-4ED8-A341-3CA5E273F095}" uniqueName="9" name="total_venta" queryTableFieldId="9" dataDxfId="94"/>
    <tableColumn id="10" xr3:uid="{8868C859-A769-480E-9582-1AA4E59417C4}" uniqueName="10" name="estado_entrega" queryTableFieldId="10" dataDxfId="93"/>
    <tableColumn id="11" xr3:uid="{F04EEA9E-1D2E-47B0-B9A3-6A56101A9640}" uniqueName="11" name="canal_venta" queryTableFieldId="11" dataDxfId="92"/>
    <tableColumn id="12" xr3:uid="{DDF7A31F-16ED-4A65-ADEE-FD9E7C1B5F3F}" uniqueName="12" name="metodo_pago" queryTableFieldId="12" dataDxfId="91"/>
    <tableColumn id="13" xr3:uid="{7097C28E-BF46-4AD1-8D36-425DE5E6A73A}" uniqueName="13" name="ciudad" queryTableFieldId="13" dataDxfId="90"/>
    <tableColumn id="14" xr3:uid="{7CE96109-D621-452C-B492-CEA2D72E9FF8}" uniqueName="14" name="region" queryTableFieldId="14" dataDxfId="89"/>
    <tableColumn id="15" xr3:uid="{A304F378-A147-447F-ADD3-EC1D62730061}" uniqueName="15" name="city_tier" queryTableFieldId="15" dataDxfId="88"/>
    <tableColumn id="16" xr3:uid="{B1B9EA0D-DA9B-43A1-B06E-0B7245BD42A7}" uniqueName="16" name="valoracion_cliente" queryTableFieldId="16"/>
    <tableColumn id="17" xr3:uid="{C111D226-66D4-40BF-A71A-F5EB58668412}" uniqueName="17" name="Total bruto (antes de descuento)" queryTableFieldId="17" dataDxfId="87">
      <calculatedColumnFormula>Ventas[[#This Row],[precio_base]]*Ventas[[#This Row],[cantidad]]</calculatedColumnFormula>
    </tableColumn>
    <tableColumn id="18" xr3:uid="{F4D0B69B-B437-4FDF-9D3B-0A41DE552286}" uniqueName="18" name="Descuento" queryTableFieldId="18" dataDxfId="86">
      <calculatedColumnFormula>Ventas[[#This Row],[Total bruto (antes de descuento)]]-Ventas[[#This Row],[total_venta]]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8538-3952-4479-8288-A782CA3E1A3C}">
  <dimension ref="A1:R3001"/>
  <sheetViews>
    <sheetView workbookViewId="0">
      <selection activeCell="T12" sqref="T12"/>
    </sheetView>
  </sheetViews>
  <sheetFormatPr baseColWidth="10" defaultRowHeight="15" x14ac:dyDescent="0.25"/>
  <cols>
    <col min="1" max="1" width="11.5703125" bestFit="1" customWidth="1"/>
    <col min="2" max="2" width="15.85546875" bestFit="1" customWidth="1"/>
    <col min="3" max="3" width="20.7109375" bestFit="1" customWidth="1"/>
    <col min="4" max="4" width="11.5703125" bestFit="1" customWidth="1"/>
    <col min="5" max="5" width="11" bestFit="1" customWidth="1"/>
    <col min="6" max="6" width="15.5703125" style="2" bestFit="1" customWidth="1"/>
    <col min="7" max="7" width="16.5703125" bestFit="1" customWidth="1"/>
    <col min="8" max="8" width="18.42578125" style="2" bestFit="1" customWidth="1"/>
    <col min="9" max="9" width="14.7109375" style="2" bestFit="1" customWidth="1"/>
    <col min="10" max="10" width="17.140625" bestFit="1" customWidth="1"/>
    <col min="11" max="11" width="13.85546875" bestFit="1" customWidth="1"/>
    <col min="12" max="12" width="16.5703125" bestFit="1" customWidth="1"/>
    <col min="13" max="13" width="10.140625" bestFit="1" customWidth="1"/>
    <col min="14" max="14" width="20.7109375" bestFit="1" customWidth="1"/>
    <col min="15" max="15" width="10.5703125" bestFit="1" customWidth="1"/>
    <col min="16" max="16" width="19.85546875" bestFit="1" customWidth="1"/>
    <col min="17" max="17" width="33" bestFit="1" customWidth="1"/>
    <col min="18" max="18" width="1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3125</v>
      </c>
      <c r="R1" t="s">
        <v>3126</v>
      </c>
    </row>
    <row r="2" spans="1:18" x14ac:dyDescent="0.25">
      <c r="A2" t="s">
        <v>16</v>
      </c>
      <c r="B2" s="1">
        <v>45581</v>
      </c>
      <c r="C2" t="s">
        <v>17</v>
      </c>
      <c r="D2" t="s">
        <v>18</v>
      </c>
      <c r="E2">
        <v>1</v>
      </c>
      <c r="F2" s="2">
        <v>45.99</v>
      </c>
      <c r="G2">
        <v>15</v>
      </c>
      <c r="H2" s="2">
        <v>39.090000000000003</v>
      </c>
      <c r="I2" s="2">
        <v>39.090000000000003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>
        <v>5</v>
      </c>
      <c r="Q2" s="2">
        <f>Ventas[[#This Row],[precio_base]]*Ventas[[#This Row],[cantidad]]</f>
        <v>45.99</v>
      </c>
      <c r="R2" s="2">
        <f>Ventas[[#This Row],[Total bruto (antes de descuento)]]-Ventas[[#This Row],[total_venta]]</f>
        <v>6.8999999999999986</v>
      </c>
    </row>
    <row r="3" spans="1:18" x14ac:dyDescent="0.25">
      <c r="A3" t="s">
        <v>25</v>
      </c>
      <c r="B3" s="1">
        <v>45016</v>
      </c>
      <c r="C3" t="s">
        <v>26</v>
      </c>
      <c r="D3" t="s">
        <v>27</v>
      </c>
      <c r="E3">
        <v>4</v>
      </c>
      <c r="F3" s="2">
        <v>399.99</v>
      </c>
      <c r="G3">
        <v>0</v>
      </c>
      <c r="H3" s="2">
        <v>399.99</v>
      </c>
      <c r="I3" s="2">
        <v>1599.96</v>
      </c>
      <c r="J3" t="s">
        <v>19</v>
      </c>
      <c r="K3" t="s">
        <v>20</v>
      </c>
      <c r="L3" t="s">
        <v>28</v>
      </c>
      <c r="M3" t="s">
        <v>22</v>
      </c>
      <c r="N3" t="s">
        <v>23</v>
      </c>
      <c r="O3" t="s">
        <v>24</v>
      </c>
      <c r="P3">
        <v>5</v>
      </c>
      <c r="Q3" s="2">
        <f>Ventas[[#This Row],[precio_base]]*Ventas[[#This Row],[cantidad]]</f>
        <v>1599.96</v>
      </c>
      <c r="R3" s="2">
        <f>Ventas[[#This Row],[Total bruto (antes de descuento)]]-Ventas[[#This Row],[total_venta]]</f>
        <v>0</v>
      </c>
    </row>
    <row r="4" spans="1:18" x14ac:dyDescent="0.25">
      <c r="A4" t="s">
        <v>29</v>
      </c>
      <c r="B4" s="1">
        <v>45130</v>
      </c>
      <c r="C4" t="s">
        <v>30</v>
      </c>
      <c r="D4" t="s">
        <v>31</v>
      </c>
      <c r="E4">
        <v>5</v>
      </c>
      <c r="F4" s="2">
        <v>299.99</v>
      </c>
      <c r="G4">
        <v>5</v>
      </c>
      <c r="H4" s="2">
        <v>284.99</v>
      </c>
      <c r="I4" s="2">
        <v>1424.95</v>
      </c>
      <c r="J4" t="s">
        <v>19</v>
      </c>
      <c r="K4" t="s">
        <v>20</v>
      </c>
      <c r="L4" t="s">
        <v>32</v>
      </c>
      <c r="M4" t="s">
        <v>33</v>
      </c>
      <c r="N4" t="s">
        <v>34</v>
      </c>
      <c r="O4" t="s">
        <v>35</v>
      </c>
      <c r="P4">
        <v>2</v>
      </c>
      <c r="Q4" s="2">
        <f>Ventas[[#This Row],[precio_base]]*Ventas[[#This Row],[cantidad]]</f>
        <v>1499.95</v>
      </c>
      <c r="R4" s="2">
        <f>Ventas[[#This Row],[Total bruto (antes de descuento)]]-Ventas[[#This Row],[total_venta]]</f>
        <v>75</v>
      </c>
    </row>
    <row r="5" spans="1:18" x14ac:dyDescent="0.25">
      <c r="A5" t="s">
        <v>36</v>
      </c>
      <c r="B5" s="1">
        <v>45641</v>
      </c>
      <c r="C5" t="s">
        <v>37</v>
      </c>
      <c r="D5" t="s">
        <v>38</v>
      </c>
      <c r="E5">
        <v>3</v>
      </c>
      <c r="F5" s="2">
        <v>34.99</v>
      </c>
      <c r="G5">
        <v>0</v>
      </c>
      <c r="H5" s="2">
        <v>34.99</v>
      </c>
      <c r="I5" s="2">
        <v>104.97</v>
      </c>
      <c r="J5" t="s">
        <v>19</v>
      </c>
      <c r="K5" t="s">
        <v>20</v>
      </c>
      <c r="L5" t="s">
        <v>21</v>
      </c>
      <c r="M5" t="s">
        <v>39</v>
      </c>
      <c r="N5" t="s">
        <v>40</v>
      </c>
      <c r="O5" t="s">
        <v>35</v>
      </c>
      <c r="P5">
        <v>1</v>
      </c>
      <c r="Q5" s="2">
        <f>Ventas[[#This Row],[precio_base]]*Ventas[[#This Row],[cantidad]]</f>
        <v>104.97</v>
      </c>
      <c r="R5" s="2">
        <f>Ventas[[#This Row],[Total bruto (antes de descuento)]]-Ventas[[#This Row],[total_venta]]</f>
        <v>0</v>
      </c>
    </row>
    <row r="6" spans="1:18" x14ac:dyDescent="0.25">
      <c r="A6" t="s">
        <v>41</v>
      </c>
      <c r="B6" s="1">
        <v>45294</v>
      </c>
      <c r="C6" t="s">
        <v>42</v>
      </c>
      <c r="D6" t="s">
        <v>43</v>
      </c>
      <c r="E6">
        <v>3</v>
      </c>
      <c r="F6" s="2">
        <v>349.99</v>
      </c>
      <c r="G6">
        <v>10</v>
      </c>
      <c r="H6" s="2">
        <v>314.99</v>
      </c>
      <c r="I6" s="2">
        <v>944.97</v>
      </c>
      <c r="J6" t="s">
        <v>19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>
        <v>4</v>
      </c>
      <c r="Q6" s="2">
        <f>Ventas[[#This Row],[precio_base]]*Ventas[[#This Row],[cantidad]]</f>
        <v>1049.97</v>
      </c>
      <c r="R6" s="2">
        <f>Ventas[[#This Row],[Total bruto (antes de descuento)]]-Ventas[[#This Row],[total_venta]]</f>
        <v>105</v>
      </c>
    </row>
    <row r="7" spans="1:18" x14ac:dyDescent="0.25">
      <c r="A7" t="s">
        <v>49</v>
      </c>
      <c r="B7" s="1">
        <v>45007</v>
      </c>
      <c r="C7" t="s">
        <v>50</v>
      </c>
      <c r="D7" t="s">
        <v>27</v>
      </c>
      <c r="E7">
        <v>3</v>
      </c>
      <c r="F7" s="2">
        <v>149.99</v>
      </c>
      <c r="G7">
        <v>20</v>
      </c>
      <c r="H7" s="2">
        <v>119.99</v>
      </c>
      <c r="I7" s="2">
        <v>359.97</v>
      </c>
      <c r="J7" t="s">
        <v>51</v>
      </c>
      <c r="K7" t="s">
        <v>52</v>
      </c>
      <c r="L7" t="s">
        <v>45</v>
      </c>
      <c r="M7" t="s">
        <v>53</v>
      </c>
      <c r="N7" t="s">
        <v>54</v>
      </c>
      <c r="O7" t="s">
        <v>35</v>
      </c>
      <c r="Q7" s="2">
        <f>Ventas[[#This Row],[precio_base]]*Ventas[[#This Row],[cantidad]]</f>
        <v>449.97</v>
      </c>
      <c r="R7" s="2">
        <f>Ventas[[#This Row],[Total bruto (antes de descuento)]]-Ventas[[#This Row],[total_venta]]</f>
        <v>90</v>
      </c>
    </row>
    <row r="8" spans="1:18" x14ac:dyDescent="0.25">
      <c r="A8" t="s">
        <v>55</v>
      </c>
      <c r="B8" s="1">
        <v>45648</v>
      </c>
      <c r="C8" t="s">
        <v>56</v>
      </c>
      <c r="D8" t="s">
        <v>18</v>
      </c>
      <c r="E8">
        <v>1</v>
      </c>
      <c r="F8" s="2">
        <v>89.99</v>
      </c>
      <c r="G8">
        <v>15</v>
      </c>
      <c r="H8" s="2">
        <v>76.489999999999995</v>
      </c>
      <c r="I8" s="2">
        <v>76.489999999999995</v>
      </c>
      <c r="J8" t="s">
        <v>19</v>
      </c>
      <c r="K8" t="s">
        <v>57</v>
      </c>
      <c r="L8" t="s">
        <v>32</v>
      </c>
      <c r="M8" t="s">
        <v>58</v>
      </c>
      <c r="N8" t="s">
        <v>59</v>
      </c>
      <c r="O8" t="s">
        <v>24</v>
      </c>
      <c r="P8">
        <v>1</v>
      </c>
      <c r="Q8" s="2">
        <f>Ventas[[#This Row],[precio_base]]*Ventas[[#This Row],[cantidad]]</f>
        <v>89.99</v>
      </c>
      <c r="R8" s="2">
        <f>Ventas[[#This Row],[Total bruto (antes de descuento)]]-Ventas[[#This Row],[total_venta]]</f>
        <v>13.5</v>
      </c>
    </row>
    <row r="9" spans="1:18" x14ac:dyDescent="0.25">
      <c r="A9" t="s">
        <v>60</v>
      </c>
      <c r="B9" s="1">
        <v>45316</v>
      </c>
      <c r="C9" t="s">
        <v>61</v>
      </c>
      <c r="D9" t="s">
        <v>38</v>
      </c>
      <c r="E9">
        <v>4</v>
      </c>
      <c r="F9" s="2">
        <v>19.989999999999998</v>
      </c>
      <c r="G9">
        <v>15</v>
      </c>
      <c r="H9" s="2">
        <v>16.989999999999998</v>
      </c>
      <c r="I9" s="2">
        <v>67.959999999999994</v>
      </c>
      <c r="J9" t="s">
        <v>62</v>
      </c>
      <c r="K9" t="s">
        <v>20</v>
      </c>
      <c r="L9" t="s">
        <v>21</v>
      </c>
      <c r="M9" t="s">
        <v>63</v>
      </c>
      <c r="N9" t="s">
        <v>34</v>
      </c>
      <c r="O9" t="s">
        <v>24</v>
      </c>
      <c r="Q9" s="2">
        <f>Ventas[[#This Row],[precio_base]]*Ventas[[#This Row],[cantidad]]</f>
        <v>79.959999999999994</v>
      </c>
      <c r="R9" s="2">
        <f>Ventas[[#This Row],[Total bruto (antes de descuento)]]-Ventas[[#This Row],[total_venta]]</f>
        <v>12</v>
      </c>
    </row>
    <row r="10" spans="1:18" x14ac:dyDescent="0.25">
      <c r="A10" t="s">
        <v>64</v>
      </c>
      <c r="B10" s="1">
        <v>45200</v>
      </c>
      <c r="C10" t="s">
        <v>30</v>
      </c>
      <c r="D10" t="s">
        <v>31</v>
      </c>
      <c r="E10">
        <v>1</v>
      </c>
      <c r="F10" s="2">
        <v>299.99</v>
      </c>
      <c r="G10">
        <v>10</v>
      </c>
      <c r="H10" s="2">
        <v>269.99</v>
      </c>
      <c r="I10" s="2">
        <v>269.99</v>
      </c>
      <c r="J10" t="s">
        <v>51</v>
      </c>
      <c r="K10" t="s">
        <v>44</v>
      </c>
      <c r="L10" t="s">
        <v>21</v>
      </c>
      <c r="M10" t="s">
        <v>65</v>
      </c>
      <c r="N10" t="s">
        <v>54</v>
      </c>
      <c r="O10" t="s">
        <v>35</v>
      </c>
      <c r="Q10" s="2">
        <f>Ventas[[#This Row],[precio_base]]*Ventas[[#This Row],[cantidad]]</f>
        <v>299.99</v>
      </c>
      <c r="R10" s="2">
        <f>Ventas[[#This Row],[Total bruto (antes de descuento)]]-Ventas[[#This Row],[total_venta]]</f>
        <v>30</v>
      </c>
    </row>
    <row r="11" spans="1:18" x14ac:dyDescent="0.25">
      <c r="A11" t="s">
        <v>66</v>
      </c>
      <c r="B11" s="1">
        <v>45315</v>
      </c>
      <c r="C11" t="s">
        <v>61</v>
      </c>
      <c r="D11" t="s">
        <v>38</v>
      </c>
      <c r="E11">
        <v>5</v>
      </c>
      <c r="F11" s="2">
        <v>19.989999999999998</v>
      </c>
      <c r="G11">
        <v>0</v>
      </c>
      <c r="H11" s="2">
        <v>19.989999999999998</v>
      </c>
      <c r="I11" s="2">
        <v>99.95</v>
      </c>
      <c r="J11" t="s">
        <v>51</v>
      </c>
      <c r="K11" t="s">
        <v>52</v>
      </c>
      <c r="L11" t="s">
        <v>21</v>
      </c>
      <c r="M11" t="s">
        <v>67</v>
      </c>
      <c r="N11" t="s">
        <v>68</v>
      </c>
      <c r="O11" t="s">
        <v>35</v>
      </c>
      <c r="Q11" s="2">
        <f>Ventas[[#This Row],[precio_base]]*Ventas[[#This Row],[cantidad]]</f>
        <v>99.949999999999989</v>
      </c>
      <c r="R11" s="2">
        <f>Ventas[[#This Row],[Total bruto (antes de descuento)]]-Ventas[[#This Row],[total_venta]]</f>
        <v>0</v>
      </c>
    </row>
    <row r="12" spans="1:18" x14ac:dyDescent="0.25">
      <c r="A12" t="s">
        <v>69</v>
      </c>
      <c r="B12" s="1">
        <v>44959</v>
      </c>
      <c r="C12" t="s">
        <v>70</v>
      </c>
      <c r="D12" t="s">
        <v>31</v>
      </c>
      <c r="E12">
        <v>3</v>
      </c>
      <c r="F12" s="2">
        <v>59.99</v>
      </c>
      <c r="G12">
        <v>5</v>
      </c>
      <c r="H12" s="2">
        <v>56.99</v>
      </c>
      <c r="I12" s="2">
        <v>170.97</v>
      </c>
      <c r="J12" t="s">
        <v>19</v>
      </c>
      <c r="K12" t="s">
        <v>52</v>
      </c>
      <c r="L12" t="s">
        <v>45</v>
      </c>
      <c r="M12" t="s">
        <v>22</v>
      </c>
      <c r="N12" t="s">
        <v>23</v>
      </c>
      <c r="O12" t="s">
        <v>24</v>
      </c>
      <c r="P12">
        <v>3</v>
      </c>
      <c r="Q12" s="2">
        <f>Ventas[[#This Row],[precio_base]]*Ventas[[#This Row],[cantidad]]</f>
        <v>179.97</v>
      </c>
      <c r="R12" s="2">
        <f>Ventas[[#This Row],[Total bruto (antes de descuento)]]-Ventas[[#This Row],[total_venta]]</f>
        <v>9</v>
      </c>
    </row>
    <row r="13" spans="1:18" x14ac:dyDescent="0.25">
      <c r="A13" t="s">
        <v>71</v>
      </c>
      <c r="B13" s="1">
        <v>45144</v>
      </c>
      <c r="C13" t="s">
        <v>72</v>
      </c>
      <c r="D13" t="s">
        <v>31</v>
      </c>
      <c r="E13">
        <v>4</v>
      </c>
      <c r="F13" s="2">
        <v>29.99</v>
      </c>
      <c r="G13">
        <v>5</v>
      </c>
      <c r="H13" s="2">
        <v>28.49</v>
      </c>
      <c r="I13" s="2">
        <v>113.96</v>
      </c>
      <c r="J13" t="s">
        <v>62</v>
      </c>
      <c r="K13" t="s">
        <v>44</v>
      </c>
      <c r="L13" t="s">
        <v>21</v>
      </c>
      <c r="M13" t="s">
        <v>73</v>
      </c>
      <c r="N13" t="s">
        <v>74</v>
      </c>
      <c r="O13" t="s">
        <v>35</v>
      </c>
      <c r="Q13" s="2">
        <f>Ventas[[#This Row],[precio_base]]*Ventas[[#This Row],[cantidad]]</f>
        <v>119.96</v>
      </c>
      <c r="R13" s="2">
        <f>Ventas[[#This Row],[Total bruto (antes de descuento)]]-Ventas[[#This Row],[total_venta]]</f>
        <v>6</v>
      </c>
    </row>
    <row r="14" spans="1:18" x14ac:dyDescent="0.25">
      <c r="A14" t="s">
        <v>75</v>
      </c>
      <c r="B14" s="1">
        <v>45179</v>
      </c>
      <c r="C14" t="s">
        <v>76</v>
      </c>
      <c r="D14" t="s">
        <v>31</v>
      </c>
      <c r="E14">
        <v>5</v>
      </c>
      <c r="F14" s="2">
        <v>69.989999999999995</v>
      </c>
      <c r="G14">
        <v>10</v>
      </c>
      <c r="H14" s="2">
        <v>62.99</v>
      </c>
      <c r="I14" s="2">
        <v>314.95</v>
      </c>
      <c r="J14" t="s">
        <v>19</v>
      </c>
      <c r="K14" t="s">
        <v>20</v>
      </c>
      <c r="L14" t="s">
        <v>45</v>
      </c>
      <c r="M14" t="s">
        <v>33</v>
      </c>
      <c r="N14" t="s">
        <v>34</v>
      </c>
      <c r="O14" t="s">
        <v>35</v>
      </c>
      <c r="P14">
        <v>3</v>
      </c>
      <c r="Q14" s="2">
        <f>Ventas[[#This Row],[precio_base]]*Ventas[[#This Row],[cantidad]]</f>
        <v>349.95</v>
      </c>
      <c r="R14" s="2">
        <f>Ventas[[#This Row],[Total bruto (antes de descuento)]]-Ventas[[#This Row],[total_venta]]</f>
        <v>35</v>
      </c>
    </row>
    <row r="15" spans="1:18" x14ac:dyDescent="0.25">
      <c r="A15" t="s">
        <v>77</v>
      </c>
      <c r="B15" s="1">
        <v>45151</v>
      </c>
      <c r="C15" t="s">
        <v>78</v>
      </c>
      <c r="D15" t="s">
        <v>18</v>
      </c>
      <c r="E15">
        <v>5</v>
      </c>
      <c r="F15" s="2">
        <v>349.99</v>
      </c>
      <c r="G15">
        <v>5</v>
      </c>
      <c r="H15" s="2">
        <v>332.49</v>
      </c>
      <c r="I15" s="2">
        <v>1662.45</v>
      </c>
      <c r="J15" t="s">
        <v>19</v>
      </c>
      <c r="K15" t="s">
        <v>52</v>
      </c>
      <c r="L15" t="s">
        <v>21</v>
      </c>
      <c r="M15" t="s">
        <v>46</v>
      </c>
      <c r="N15" t="s">
        <v>47</v>
      </c>
      <c r="O15" t="s">
        <v>48</v>
      </c>
      <c r="P15">
        <v>2</v>
      </c>
      <c r="Q15" s="2">
        <f>Ventas[[#This Row],[precio_base]]*Ventas[[#This Row],[cantidad]]</f>
        <v>1749.95</v>
      </c>
      <c r="R15" s="2">
        <f>Ventas[[#This Row],[Total bruto (antes de descuento)]]-Ventas[[#This Row],[total_venta]]</f>
        <v>87.5</v>
      </c>
    </row>
    <row r="16" spans="1:18" x14ac:dyDescent="0.25">
      <c r="A16" t="s">
        <v>79</v>
      </c>
      <c r="B16" s="1">
        <v>45623</v>
      </c>
      <c r="C16" t="s">
        <v>37</v>
      </c>
      <c r="D16" t="s">
        <v>38</v>
      </c>
      <c r="E16">
        <v>5</v>
      </c>
      <c r="F16" s="2">
        <v>34.99</v>
      </c>
      <c r="G16">
        <v>0</v>
      </c>
      <c r="H16" s="2">
        <v>34.99</v>
      </c>
      <c r="I16" s="2">
        <v>174.95</v>
      </c>
      <c r="J16" t="s">
        <v>19</v>
      </c>
      <c r="K16" t="s">
        <v>57</v>
      </c>
      <c r="L16" t="s">
        <v>45</v>
      </c>
      <c r="M16" t="s">
        <v>33</v>
      </c>
      <c r="N16" t="s">
        <v>34</v>
      </c>
      <c r="O16" t="s">
        <v>35</v>
      </c>
      <c r="P16">
        <v>5</v>
      </c>
      <c r="Q16" s="2">
        <f>Ventas[[#This Row],[precio_base]]*Ventas[[#This Row],[cantidad]]</f>
        <v>174.95000000000002</v>
      </c>
      <c r="R16" s="2">
        <f>Ventas[[#This Row],[Total bruto (antes de descuento)]]-Ventas[[#This Row],[total_venta]]</f>
        <v>0</v>
      </c>
    </row>
    <row r="17" spans="1:18" x14ac:dyDescent="0.25">
      <c r="A17" t="s">
        <v>80</v>
      </c>
      <c r="B17" s="1">
        <v>44938</v>
      </c>
      <c r="C17" t="s">
        <v>81</v>
      </c>
      <c r="D17" t="s">
        <v>31</v>
      </c>
      <c r="E17">
        <v>1</v>
      </c>
      <c r="F17" s="2">
        <v>189.99</v>
      </c>
      <c r="G17">
        <v>15</v>
      </c>
      <c r="H17" s="2">
        <v>161.49</v>
      </c>
      <c r="I17" s="2">
        <v>161.49</v>
      </c>
      <c r="J17" t="s">
        <v>62</v>
      </c>
      <c r="K17" t="s">
        <v>20</v>
      </c>
      <c r="L17" t="s">
        <v>28</v>
      </c>
      <c r="M17" t="s">
        <v>39</v>
      </c>
      <c r="N17" t="s">
        <v>40</v>
      </c>
      <c r="O17" t="s">
        <v>35</v>
      </c>
      <c r="Q17" s="2">
        <f>Ventas[[#This Row],[precio_base]]*Ventas[[#This Row],[cantidad]]</f>
        <v>189.99</v>
      </c>
      <c r="R17" s="2">
        <f>Ventas[[#This Row],[Total bruto (antes de descuento)]]-Ventas[[#This Row],[total_venta]]</f>
        <v>28.5</v>
      </c>
    </row>
    <row r="18" spans="1:18" x14ac:dyDescent="0.25">
      <c r="A18" t="s">
        <v>82</v>
      </c>
      <c r="B18" s="1">
        <v>45041</v>
      </c>
      <c r="C18" t="s">
        <v>83</v>
      </c>
      <c r="D18" t="s">
        <v>38</v>
      </c>
      <c r="E18">
        <v>4</v>
      </c>
      <c r="F18" s="2">
        <v>49.99</v>
      </c>
      <c r="G18">
        <v>0</v>
      </c>
      <c r="H18" s="2">
        <v>49.99</v>
      </c>
      <c r="I18" s="2">
        <v>199.96</v>
      </c>
      <c r="J18" t="s">
        <v>19</v>
      </c>
      <c r="K18" t="s">
        <v>52</v>
      </c>
      <c r="L18" t="s">
        <v>21</v>
      </c>
      <c r="M18" t="s">
        <v>84</v>
      </c>
      <c r="N18" t="s">
        <v>85</v>
      </c>
      <c r="O18" t="s">
        <v>35</v>
      </c>
      <c r="P18">
        <v>5</v>
      </c>
      <c r="Q18" s="2">
        <f>Ventas[[#This Row],[precio_base]]*Ventas[[#This Row],[cantidad]]</f>
        <v>199.96</v>
      </c>
      <c r="R18" s="2">
        <f>Ventas[[#This Row],[Total bruto (antes de descuento)]]-Ventas[[#This Row],[total_venta]]</f>
        <v>0</v>
      </c>
    </row>
    <row r="19" spans="1:18" x14ac:dyDescent="0.25">
      <c r="A19" t="s">
        <v>86</v>
      </c>
      <c r="B19" s="1">
        <v>45109</v>
      </c>
      <c r="C19" t="s">
        <v>87</v>
      </c>
      <c r="D19" t="s">
        <v>27</v>
      </c>
      <c r="E19">
        <v>1</v>
      </c>
      <c r="F19" s="2">
        <v>249.99</v>
      </c>
      <c r="G19">
        <v>20</v>
      </c>
      <c r="H19" s="2">
        <v>199.99</v>
      </c>
      <c r="I19" s="2">
        <v>199.99</v>
      </c>
      <c r="J19" t="s">
        <v>51</v>
      </c>
      <c r="K19" t="s">
        <v>44</v>
      </c>
      <c r="L19" t="s">
        <v>28</v>
      </c>
      <c r="M19" t="s">
        <v>67</v>
      </c>
      <c r="N19" t="s">
        <v>68</v>
      </c>
      <c r="O19" t="s">
        <v>35</v>
      </c>
      <c r="Q19" s="2">
        <f>Ventas[[#This Row],[precio_base]]*Ventas[[#This Row],[cantidad]]</f>
        <v>249.99</v>
      </c>
      <c r="R19" s="2">
        <f>Ventas[[#This Row],[Total bruto (antes de descuento)]]-Ventas[[#This Row],[total_venta]]</f>
        <v>50</v>
      </c>
    </row>
    <row r="20" spans="1:18" x14ac:dyDescent="0.25">
      <c r="A20" t="s">
        <v>88</v>
      </c>
      <c r="B20" s="1">
        <v>45083</v>
      </c>
      <c r="C20" t="s">
        <v>89</v>
      </c>
      <c r="D20" t="s">
        <v>38</v>
      </c>
      <c r="E20">
        <v>2</v>
      </c>
      <c r="F20" s="2">
        <v>69.989999999999995</v>
      </c>
      <c r="G20">
        <v>10</v>
      </c>
      <c r="H20" s="2">
        <v>62.99</v>
      </c>
      <c r="I20" s="2">
        <v>125.98</v>
      </c>
      <c r="J20" t="s">
        <v>90</v>
      </c>
      <c r="K20" t="s">
        <v>44</v>
      </c>
      <c r="L20" t="s">
        <v>21</v>
      </c>
      <c r="M20" t="s">
        <v>53</v>
      </c>
      <c r="N20" t="s">
        <v>54</v>
      </c>
      <c r="O20" t="s">
        <v>35</v>
      </c>
      <c r="Q20" s="2">
        <f>Ventas[[#This Row],[precio_base]]*Ventas[[#This Row],[cantidad]]</f>
        <v>139.97999999999999</v>
      </c>
      <c r="R20" s="2">
        <f>Ventas[[#This Row],[Total bruto (antes de descuento)]]-Ventas[[#This Row],[total_venta]]</f>
        <v>13.999999999999986</v>
      </c>
    </row>
    <row r="21" spans="1:18" x14ac:dyDescent="0.25">
      <c r="A21" t="s">
        <v>91</v>
      </c>
      <c r="B21" s="1">
        <v>45258</v>
      </c>
      <c r="C21" t="s">
        <v>92</v>
      </c>
      <c r="D21" t="s">
        <v>27</v>
      </c>
      <c r="E21">
        <v>1</v>
      </c>
      <c r="F21" s="2">
        <v>79.989999999999995</v>
      </c>
      <c r="G21">
        <v>0</v>
      </c>
      <c r="H21" s="2">
        <v>79.989999999999995</v>
      </c>
      <c r="I21" s="2">
        <v>79.989999999999995</v>
      </c>
      <c r="J21" t="s">
        <v>90</v>
      </c>
      <c r="K21" t="s">
        <v>57</v>
      </c>
      <c r="L21" t="s">
        <v>32</v>
      </c>
      <c r="M21" t="s">
        <v>53</v>
      </c>
      <c r="N21" t="s">
        <v>54</v>
      </c>
      <c r="O21" t="s">
        <v>35</v>
      </c>
      <c r="Q21" s="2">
        <f>Ventas[[#This Row],[precio_base]]*Ventas[[#This Row],[cantidad]]</f>
        <v>79.989999999999995</v>
      </c>
      <c r="R21" s="2">
        <f>Ventas[[#This Row],[Total bruto (antes de descuento)]]-Ventas[[#This Row],[total_venta]]</f>
        <v>0</v>
      </c>
    </row>
    <row r="22" spans="1:18" x14ac:dyDescent="0.25">
      <c r="A22" t="s">
        <v>93</v>
      </c>
      <c r="B22" s="1">
        <v>45172</v>
      </c>
      <c r="C22" t="s">
        <v>94</v>
      </c>
      <c r="D22" t="s">
        <v>18</v>
      </c>
      <c r="E22">
        <v>2</v>
      </c>
      <c r="F22" s="2">
        <v>899.99</v>
      </c>
      <c r="G22">
        <v>10</v>
      </c>
      <c r="H22" s="2">
        <v>809.99</v>
      </c>
      <c r="I22" s="2">
        <v>1619.98</v>
      </c>
      <c r="J22" t="s">
        <v>90</v>
      </c>
      <c r="K22" t="s">
        <v>44</v>
      </c>
      <c r="L22" t="s">
        <v>32</v>
      </c>
      <c r="M22" t="s">
        <v>95</v>
      </c>
      <c r="N22" t="s">
        <v>96</v>
      </c>
      <c r="O22" t="s">
        <v>48</v>
      </c>
      <c r="Q22" s="2">
        <f>Ventas[[#This Row],[precio_base]]*Ventas[[#This Row],[cantidad]]</f>
        <v>1799.98</v>
      </c>
      <c r="R22" s="2">
        <f>Ventas[[#This Row],[Total bruto (antes de descuento)]]-Ventas[[#This Row],[total_venta]]</f>
        <v>180</v>
      </c>
    </row>
    <row r="23" spans="1:18" x14ac:dyDescent="0.25">
      <c r="A23" t="s">
        <v>97</v>
      </c>
      <c r="B23" s="1">
        <v>45472</v>
      </c>
      <c r="C23" t="s">
        <v>98</v>
      </c>
      <c r="D23" t="s">
        <v>31</v>
      </c>
      <c r="E23">
        <v>2</v>
      </c>
      <c r="F23" s="2">
        <v>99.99</v>
      </c>
      <c r="G23">
        <v>0</v>
      </c>
      <c r="H23" s="2">
        <v>99.99</v>
      </c>
      <c r="I23" s="2">
        <v>199.98</v>
      </c>
      <c r="J23" t="s">
        <v>51</v>
      </c>
      <c r="K23" t="s">
        <v>20</v>
      </c>
      <c r="L23" t="s">
        <v>45</v>
      </c>
      <c r="M23" t="s">
        <v>65</v>
      </c>
      <c r="N23" t="s">
        <v>54</v>
      </c>
      <c r="O23" t="s">
        <v>35</v>
      </c>
      <c r="Q23" s="2">
        <f>Ventas[[#This Row],[precio_base]]*Ventas[[#This Row],[cantidad]]</f>
        <v>199.98</v>
      </c>
      <c r="R23" s="2">
        <f>Ventas[[#This Row],[Total bruto (antes de descuento)]]-Ventas[[#This Row],[total_venta]]</f>
        <v>0</v>
      </c>
    </row>
    <row r="24" spans="1:18" x14ac:dyDescent="0.25">
      <c r="A24" t="s">
        <v>99</v>
      </c>
      <c r="B24" s="1">
        <v>45548</v>
      </c>
      <c r="C24" t="s">
        <v>37</v>
      </c>
      <c r="D24" t="s">
        <v>38</v>
      </c>
      <c r="E24">
        <v>2</v>
      </c>
      <c r="F24" s="2">
        <v>34.99</v>
      </c>
      <c r="G24">
        <v>10</v>
      </c>
      <c r="H24" s="2">
        <v>31.49</v>
      </c>
      <c r="I24" s="2">
        <v>62.98</v>
      </c>
      <c r="J24" t="s">
        <v>51</v>
      </c>
      <c r="K24" t="s">
        <v>20</v>
      </c>
      <c r="L24" t="s">
        <v>21</v>
      </c>
      <c r="M24" t="s">
        <v>84</v>
      </c>
      <c r="N24" t="s">
        <v>85</v>
      </c>
      <c r="O24" t="s">
        <v>35</v>
      </c>
      <c r="Q24" s="2">
        <f>Ventas[[#This Row],[precio_base]]*Ventas[[#This Row],[cantidad]]</f>
        <v>69.98</v>
      </c>
      <c r="R24" s="2">
        <f>Ventas[[#This Row],[Total bruto (antes de descuento)]]-Ventas[[#This Row],[total_venta]]</f>
        <v>7.0000000000000071</v>
      </c>
    </row>
    <row r="25" spans="1:18" x14ac:dyDescent="0.25">
      <c r="A25" t="s">
        <v>100</v>
      </c>
      <c r="B25" s="1">
        <v>45614</v>
      </c>
      <c r="C25" t="s">
        <v>72</v>
      </c>
      <c r="D25" t="s">
        <v>31</v>
      </c>
      <c r="E25">
        <v>3</v>
      </c>
      <c r="F25" s="2">
        <v>29.99</v>
      </c>
      <c r="G25">
        <v>5</v>
      </c>
      <c r="H25" s="2">
        <v>28.49</v>
      </c>
      <c r="I25" s="2">
        <v>85.47</v>
      </c>
      <c r="J25" t="s">
        <v>62</v>
      </c>
      <c r="K25" t="s">
        <v>20</v>
      </c>
      <c r="L25" t="s">
        <v>21</v>
      </c>
      <c r="M25" t="s">
        <v>101</v>
      </c>
      <c r="N25" t="s">
        <v>102</v>
      </c>
      <c r="O25" t="s">
        <v>35</v>
      </c>
      <c r="Q25" s="2">
        <f>Ventas[[#This Row],[precio_base]]*Ventas[[#This Row],[cantidad]]</f>
        <v>89.97</v>
      </c>
      <c r="R25" s="2">
        <f>Ventas[[#This Row],[Total bruto (antes de descuento)]]-Ventas[[#This Row],[total_venta]]</f>
        <v>4.5</v>
      </c>
    </row>
    <row r="26" spans="1:18" x14ac:dyDescent="0.25">
      <c r="A26" t="s">
        <v>103</v>
      </c>
      <c r="B26" s="1">
        <v>45273</v>
      </c>
      <c r="C26" t="s">
        <v>104</v>
      </c>
      <c r="D26" t="s">
        <v>18</v>
      </c>
      <c r="E26">
        <v>5</v>
      </c>
      <c r="F26" s="2">
        <v>1199.99</v>
      </c>
      <c r="G26">
        <v>10</v>
      </c>
      <c r="H26" s="2">
        <v>1079.99</v>
      </c>
      <c r="I26" s="2">
        <v>5399.95</v>
      </c>
      <c r="J26" t="s">
        <v>19</v>
      </c>
      <c r="K26" t="s">
        <v>20</v>
      </c>
      <c r="L26" t="s">
        <v>28</v>
      </c>
      <c r="M26" t="s">
        <v>22</v>
      </c>
      <c r="N26" t="s">
        <v>23</v>
      </c>
      <c r="O26" t="s">
        <v>24</v>
      </c>
      <c r="P26">
        <v>1</v>
      </c>
      <c r="Q26" s="2">
        <f>Ventas[[#This Row],[precio_base]]*Ventas[[#This Row],[cantidad]]</f>
        <v>5999.95</v>
      </c>
      <c r="R26" s="2">
        <f>Ventas[[#This Row],[Total bruto (antes de descuento)]]-Ventas[[#This Row],[total_venta]]</f>
        <v>600</v>
      </c>
    </row>
    <row r="27" spans="1:18" x14ac:dyDescent="0.25">
      <c r="A27" t="s">
        <v>105</v>
      </c>
      <c r="B27" s="1">
        <v>45161</v>
      </c>
      <c r="C27" t="s">
        <v>56</v>
      </c>
      <c r="D27" t="s">
        <v>18</v>
      </c>
      <c r="E27">
        <v>1</v>
      </c>
      <c r="F27" s="2">
        <v>89.99</v>
      </c>
      <c r="G27">
        <v>20</v>
      </c>
      <c r="H27" s="2">
        <v>71.989999999999995</v>
      </c>
      <c r="I27" s="2">
        <v>71.989999999999995</v>
      </c>
      <c r="J27" t="s">
        <v>19</v>
      </c>
      <c r="K27" t="s">
        <v>20</v>
      </c>
      <c r="L27" t="s">
        <v>28</v>
      </c>
      <c r="M27" t="s">
        <v>65</v>
      </c>
      <c r="N27" t="s">
        <v>54</v>
      </c>
      <c r="O27" t="s">
        <v>35</v>
      </c>
      <c r="P27">
        <v>2</v>
      </c>
      <c r="Q27" s="2">
        <f>Ventas[[#This Row],[precio_base]]*Ventas[[#This Row],[cantidad]]</f>
        <v>89.99</v>
      </c>
      <c r="R27" s="2">
        <f>Ventas[[#This Row],[Total bruto (antes de descuento)]]-Ventas[[#This Row],[total_venta]]</f>
        <v>18</v>
      </c>
    </row>
    <row r="28" spans="1:18" x14ac:dyDescent="0.25">
      <c r="A28" t="s">
        <v>106</v>
      </c>
      <c r="B28" s="1">
        <v>45479</v>
      </c>
      <c r="C28" t="s">
        <v>78</v>
      </c>
      <c r="D28" t="s">
        <v>18</v>
      </c>
      <c r="E28">
        <v>5</v>
      </c>
      <c r="F28" s="2">
        <v>349.99</v>
      </c>
      <c r="G28">
        <v>10</v>
      </c>
      <c r="H28" s="2">
        <v>314.99</v>
      </c>
      <c r="I28" s="2">
        <v>1574.95</v>
      </c>
      <c r="J28" t="s">
        <v>19</v>
      </c>
      <c r="K28" t="s">
        <v>44</v>
      </c>
      <c r="L28" t="s">
        <v>45</v>
      </c>
      <c r="M28" t="s">
        <v>39</v>
      </c>
      <c r="N28" t="s">
        <v>40</v>
      </c>
      <c r="O28" t="s">
        <v>35</v>
      </c>
      <c r="P28">
        <v>1</v>
      </c>
      <c r="Q28" s="2">
        <f>Ventas[[#This Row],[precio_base]]*Ventas[[#This Row],[cantidad]]</f>
        <v>1749.95</v>
      </c>
      <c r="R28" s="2">
        <f>Ventas[[#This Row],[Total bruto (antes de descuento)]]-Ventas[[#This Row],[total_venta]]</f>
        <v>175</v>
      </c>
    </row>
    <row r="29" spans="1:18" x14ac:dyDescent="0.25">
      <c r="A29" t="s">
        <v>107</v>
      </c>
      <c r="B29" s="1">
        <v>45026</v>
      </c>
      <c r="C29" t="s">
        <v>81</v>
      </c>
      <c r="D29" t="s">
        <v>31</v>
      </c>
      <c r="E29">
        <v>4</v>
      </c>
      <c r="F29" s="2">
        <v>189.99</v>
      </c>
      <c r="G29">
        <v>0</v>
      </c>
      <c r="H29" s="2">
        <v>189.99</v>
      </c>
      <c r="I29" s="2">
        <v>759.96</v>
      </c>
      <c r="J29" t="s">
        <v>19</v>
      </c>
      <c r="K29" t="s">
        <v>52</v>
      </c>
      <c r="L29" t="s">
        <v>21</v>
      </c>
      <c r="M29" t="s">
        <v>101</v>
      </c>
      <c r="N29" t="s">
        <v>102</v>
      </c>
      <c r="O29" t="s">
        <v>35</v>
      </c>
      <c r="P29">
        <v>1</v>
      </c>
      <c r="Q29" s="2">
        <f>Ventas[[#This Row],[precio_base]]*Ventas[[#This Row],[cantidad]]</f>
        <v>759.96</v>
      </c>
      <c r="R29" s="2">
        <f>Ventas[[#This Row],[Total bruto (antes de descuento)]]-Ventas[[#This Row],[total_venta]]</f>
        <v>0</v>
      </c>
    </row>
    <row r="30" spans="1:18" x14ac:dyDescent="0.25">
      <c r="A30" t="s">
        <v>108</v>
      </c>
      <c r="B30" s="1">
        <v>44989</v>
      </c>
      <c r="C30" t="s">
        <v>109</v>
      </c>
      <c r="D30" t="s">
        <v>38</v>
      </c>
      <c r="E30">
        <v>3</v>
      </c>
      <c r="F30" s="2">
        <v>39.99</v>
      </c>
      <c r="G30">
        <v>20</v>
      </c>
      <c r="H30" s="2">
        <v>31.99</v>
      </c>
      <c r="I30" s="2">
        <v>95.97</v>
      </c>
      <c r="J30" t="s">
        <v>62</v>
      </c>
      <c r="K30" t="s">
        <v>20</v>
      </c>
      <c r="L30" t="s">
        <v>45</v>
      </c>
      <c r="M30" t="s">
        <v>22</v>
      </c>
      <c r="N30" t="s">
        <v>23</v>
      </c>
      <c r="O30" t="s">
        <v>24</v>
      </c>
      <c r="Q30" s="2">
        <f>Ventas[[#This Row],[precio_base]]*Ventas[[#This Row],[cantidad]]</f>
        <v>119.97</v>
      </c>
      <c r="R30" s="2">
        <f>Ventas[[#This Row],[Total bruto (antes de descuento)]]-Ventas[[#This Row],[total_venta]]</f>
        <v>24</v>
      </c>
    </row>
    <row r="31" spans="1:18" x14ac:dyDescent="0.25">
      <c r="A31" t="s">
        <v>110</v>
      </c>
      <c r="B31" s="1">
        <v>45070</v>
      </c>
      <c r="C31" t="s">
        <v>37</v>
      </c>
      <c r="D31" t="s">
        <v>38</v>
      </c>
      <c r="E31">
        <v>2</v>
      </c>
      <c r="F31" s="2">
        <v>34.99</v>
      </c>
      <c r="G31">
        <v>0</v>
      </c>
      <c r="H31" s="2">
        <v>34.99</v>
      </c>
      <c r="I31" s="2">
        <v>69.98</v>
      </c>
      <c r="J31" t="s">
        <v>19</v>
      </c>
      <c r="K31" t="s">
        <v>52</v>
      </c>
      <c r="L31" t="s">
        <v>45</v>
      </c>
      <c r="M31" t="s">
        <v>67</v>
      </c>
      <c r="N31" t="s">
        <v>68</v>
      </c>
      <c r="O31" t="s">
        <v>35</v>
      </c>
      <c r="P31">
        <v>5</v>
      </c>
      <c r="Q31" s="2">
        <f>Ventas[[#This Row],[precio_base]]*Ventas[[#This Row],[cantidad]]</f>
        <v>69.98</v>
      </c>
      <c r="R31" s="2">
        <f>Ventas[[#This Row],[Total bruto (antes de descuento)]]-Ventas[[#This Row],[total_venta]]</f>
        <v>0</v>
      </c>
    </row>
    <row r="32" spans="1:18" x14ac:dyDescent="0.25">
      <c r="A32" t="s">
        <v>111</v>
      </c>
      <c r="B32" s="1">
        <v>45027</v>
      </c>
      <c r="C32" t="s">
        <v>94</v>
      </c>
      <c r="D32" t="s">
        <v>18</v>
      </c>
      <c r="E32">
        <v>5</v>
      </c>
      <c r="F32" s="2">
        <v>899.99</v>
      </c>
      <c r="G32">
        <v>20</v>
      </c>
      <c r="H32" s="2">
        <v>719.99</v>
      </c>
      <c r="I32" s="2">
        <v>3599.95</v>
      </c>
      <c r="J32" t="s">
        <v>19</v>
      </c>
      <c r="K32" t="s">
        <v>52</v>
      </c>
      <c r="L32" t="s">
        <v>32</v>
      </c>
      <c r="M32" t="s">
        <v>95</v>
      </c>
      <c r="N32" t="s">
        <v>96</v>
      </c>
      <c r="O32" t="s">
        <v>48</v>
      </c>
      <c r="P32">
        <v>2</v>
      </c>
      <c r="Q32" s="2">
        <f>Ventas[[#This Row],[precio_base]]*Ventas[[#This Row],[cantidad]]</f>
        <v>4499.95</v>
      </c>
      <c r="R32" s="2">
        <f>Ventas[[#This Row],[Total bruto (antes de descuento)]]-Ventas[[#This Row],[total_venta]]</f>
        <v>900</v>
      </c>
    </row>
    <row r="33" spans="1:18" x14ac:dyDescent="0.25">
      <c r="A33" t="s">
        <v>112</v>
      </c>
      <c r="B33" s="1">
        <v>45343</v>
      </c>
      <c r="C33" t="s">
        <v>92</v>
      </c>
      <c r="D33" t="s">
        <v>27</v>
      </c>
      <c r="E33">
        <v>4</v>
      </c>
      <c r="F33" s="2">
        <v>79.989999999999995</v>
      </c>
      <c r="G33">
        <v>0</v>
      </c>
      <c r="H33" s="2">
        <v>79.989999999999995</v>
      </c>
      <c r="I33" s="2">
        <v>319.95999999999998</v>
      </c>
      <c r="J33" t="s">
        <v>62</v>
      </c>
      <c r="K33" t="s">
        <v>20</v>
      </c>
      <c r="L33" t="s">
        <v>45</v>
      </c>
      <c r="M33" t="s">
        <v>53</v>
      </c>
      <c r="N33" t="s">
        <v>54</v>
      </c>
      <c r="O33" t="s">
        <v>35</v>
      </c>
      <c r="Q33" s="2">
        <f>Ventas[[#This Row],[precio_base]]*Ventas[[#This Row],[cantidad]]</f>
        <v>319.95999999999998</v>
      </c>
      <c r="R33" s="2">
        <f>Ventas[[#This Row],[Total bruto (antes de descuento)]]-Ventas[[#This Row],[total_venta]]</f>
        <v>0</v>
      </c>
    </row>
    <row r="34" spans="1:18" x14ac:dyDescent="0.25">
      <c r="A34" t="s">
        <v>113</v>
      </c>
      <c r="B34" s="1">
        <v>45326</v>
      </c>
      <c r="C34" t="s">
        <v>61</v>
      </c>
      <c r="D34" t="s">
        <v>38</v>
      </c>
      <c r="E34">
        <v>4</v>
      </c>
      <c r="F34" s="2">
        <v>19.989999999999998</v>
      </c>
      <c r="G34">
        <v>0</v>
      </c>
      <c r="H34" s="2">
        <v>19.989999999999998</v>
      </c>
      <c r="I34" s="2">
        <v>79.959999999999994</v>
      </c>
      <c r="J34" t="s">
        <v>19</v>
      </c>
      <c r="K34" t="s">
        <v>57</v>
      </c>
      <c r="L34" t="s">
        <v>45</v>
      </c>
      <c r="M34" t="s">
        <v>84</v>
      </c>
      <c r="N34" t="s">
        <v>85</v>
      </c>
      <c r="O34" t="s">
        <v>35</v>
      </c>
      <c r="P34">
        <v>4</v>
      </c>
      <c r="Q34" s="2">
        <f>Ventas[[#This Row],[precio_base]]*Ventas[[#This Row],[cantidad]]</f>
        <v>79.959999999999994</v>
      </c>
      <c r="R34" s="2">
        <f>Ventas[[#This Row],[Total bruto (antes de descuento)]]-Ventas[[#This Row],[total_venta]]</f>
        <v>0</v>
      </c>
    </row>
    <row r="35" spans="1:18" x14ac:dyDescent="0.25">
      <c r="A35" t="s">
        <v>114</v>
      </c>
      <c r="B35" s="1">
        <v>45085</v>
      </c>
      <c r="C35" t="s">
        <v>115</v>
      </c>
      <c r="D35" t="s">
        <v>18</v>
      </c>
      <c r="E35">
        <v>3</v>
      </c>
      <c r="F35" s="2">
        <v>799.99</v>
      </c>
      <c r="G35">
        <v>0</v>
      </c>
      <c r="H35" s="2">
        <v>799.99</v>
      </c>
      <c r="I35" s="2">
        <v>2399.9699999999998</v>
      </c>
      <c r="J35" t="s">
        <v>116</v>
      </c>
      <c r="K35" t="s">
        <v>44</v>
      </c>
      <c r="L35" t="s">
        <v>21</v>
      </c>
      <c r="M35" t="s">
        <v>33</v>
      </c>
      <c r="N35" t="s">
        <v>34</v>
      </c>
      <c r="O35" t="s">
        <v>35</v>
      </c>
      <c r="Q35" s="2">
        <f>Ventas[[#This Row],[precio_base]]*Ventas[[#This Row],[cantidad]]</f>
        <v>2399.9700000000003</v>
      </c>
      <c r="R35" s="2">
        <f>Ventas[[#This Row],[Total bruto (antes de descuento)]]-Ventas[[#This Row],[total_venta]]</f>
        <v>0</v>
      </c>
    </row>
    <row r="36" spans="1:18" x14ac:dyDescent="0.25">
      <c r="A36" t="s">
        <v>117</v>
      </c>
      <c r="B36" s="1">
        <v>45248</v>
      </c>
      <c r="C36" t="s">
        <v>94</v>
      </c>
      <c r="D36" t="s">
        <v>18</v>
      </c>
      <c r="E36">
        <v>1</v>
      </c>
      <c r="F36" s="2">
        <v>899.99</v>
      </c>
      <c r="G36">
        <v>10</v>
      </c>
      <c r="H36" s="2">
        <v>809.99</v>
      </c>
      <c r="I36" s="2">
        <v>809.99</v>
      </c>
      <c r="J36" t="s">
        <v>19</v>
      </c>
      <c r="K36" t="s">
        <v>52</v>
      </c>
      <c r="L36" t="s">
        <v>21</v>
      </c>
      <c r="M36" t="s">
        <v>53</v>
      </c>
      <c r="N36" t="s">
        <v>54</v>
      </c>
      <c r="O36" t="s">
        <v>35</v>
      </c>
      <c r="P36">
        <v>5</v>
      </c>
      <c r="Q36" s="2">
        <f>Ventas[[#This Row],[precio_base]]*Ventas[[#This Row],[cantidad]]</f>
        <v>899.99</v>
      </c>
      <c r="R36" s="2">
        <f>Ventas[[#This Row],[Total bruto (antes de descuento)]]-Ventas[[#This Row],[total_venta]]</f>
        <v>90</v>
      </c>
    </row>
    <row r="37" spans="1:18" x14ac:dyDescent="0.25">
      <c r="A37" t="s">
        <v>118</v>
      </c>
      <c r="B37" s="1">
        <v>45009</v>
      </c>
      <c r="C37" t="s">
        <v>42</v>
      </c>
      <c r="D37" t="s">
        <v>43</v>
      </c>
      <c r="E37">
        <v>2</v>
      </c>
      <c r="F37" s="2">
        <v>349.99</v>
      </c>
      <c r="G37">
        <v>0</v>
      </c>
      <c r="H37" s="2">
        <v>349.99</v>
      </c>
      <c r="I37" s="2">
        <v>699.98</v>
      </c>
      <c r="J37" t="s">
        <v>19</v>
      </c>
      <c r="K37" t="s">
        <v>52</v>
      </c>
      <c r="L37" t="s">
        <v>45</v>
      </c>
      <c r="M37" t="s">
        <v>73</v>
      </c>
      <c r="N37" t="s">
        <v>74</v>
      </c>
      <c r="O37" t="s">
        <v>35</v>
      </c>
      <c r="P37">
        <v>5</v>
      </c>
      <c r="Q37" s="2">
        <f>Ventas[[#This Row],[precio_base]]*Ventas[[#This Row],[cantidad]]</f>
        <v>699.98</v>
      </c>
      <c r="R37" s="2">
        <f>Ventas[[#This Row],[Total bruto (antes de descuento)]]-Ventas[[#This Row],[total_venta]]</f>
        <v>0</v>
      </c>
    </row>
    <row r="38" spans="1:18" x14ac:dyDescent="0.25">
      <c r="A38" t="s">
        <v>119</v>
      </c>
      <c r="B38" s="1">
        <v>45179</v>
      </c>
      <c r="C38" t="s">
        <v>26</v>
      </c>
      <c r="D38" t="s">
        <v>27</v>
      </c>
      <c r="E38">
        <v>5</v>
      </c>
      <c r="F38" s="2">
        <v>399.99</v>
      </c>
      <c r="G38">
        <v>0</v>
      </c>
      <c r="H38" s="2">
        <v>399.99</v>
      </c>
      <c r="I38" s="2">
        <v>1999.95</v>
      </c>
      <c r="J38" t="s">
        <v>51</v>
      </c>
      <c r="K38" t="s">
        <v>44</v>
      </c>
      <c r="L38" t="s">
        <v>45</v>
      </c>
      <c r="M38" t="s">
        <v>120</v>
      </c>
      <c r="N38" t="s">
        <v>23</v>
      </c>
      <c r="O38" t="s">
        <v>24</v>
      </c>
      <c r="Q38" s="2">
        <f>Ventas[[#This Row],[precio_base]]*Ventas[[#This Row],[cantidad]]</f>
        <v>1999.95</v>
      </c>
      <c r="R38" s="2">
        <f>Ventas[[#This Row],[Total bruto (antes de descuento)]]-Ventas[[#This Row],[total_venta]]</f>
        <v>0</v>
      </c>
    </row>
    <row r="39" spans="1:18" x14ac:dyDescent="0.25">
      <c r="A39" t="s">
        <v>121</v>
      </c>
      <c r="B39" s="1">
        <v>45250</v>
      </c>
      <c r="C39" t="s">
        <v>122</v>
      </c>
      <c r="D39" t="s">
        <v>43</v>
      </c>
      <c r="E39">
        <v>3</v>
      </c>
      <c r="F39" s="2">
        <v>44.99</v>
      </c>
      <c r="G39">
        <v>0</v>
      </c>
      <c r="H39" s="2">
        <v>44.99</v>
      </c>
      <c r="I39" s="2">
        <v>134.97</v>
      </c>
      <c r="J39" t="s">
        <v>51</v>
      </c>
      <c r="K39" t="s">
        <v>20</v>
      </c>
      <c r="L39" t="s">
        <v>45</v>
      </c>
      <c r="M39" t="s">
        <v>123</v>
      </c>
      <c r="N39" t="s">
        <v>124</v>
      </c>
      <c r="O39" t="s">
        <v>24</v>
      </c>
      <c r="Q39" s="2">
        <f>Ventas[[#This Row],[precio_base]]*Ventas[[#This Row],[cantidad]]</f>
        <v>134.97</v>
      </c>
      <c r="R39" s="2">
        <f>Ventas[[#This Row],[Total bruto (antes de descuento)]]-Ventas[[#This Row],[total_venta]]</f>
        <v>0</v>
      </c>
    </row>
    <row r="40" spans="1:18" x14ac:dyDescent="0.25">
      <c r="A40" t="s">
        <v>125</v>
      </c>
      <c r="B40" s="1">
        <v>45614</v>
      </c>
      <c r="C40" t="s">
        <v>72</v>
      </c>
      <c r="D40" t="s">
        <v>31</v>
      </c>
      <c r="E40">
        <v>3</v>
      </c>
      <c r="F40" s="2">
        <v>29.99</v>
      </c>
      <c r="G40">
        <v>5</v>
      </c>
      <c r="H40" s="2">
        <v>28.49</v>
      </c>
      <c r="I40" s="2">
        <v>85.47</v>
      </c>
      <c r="J40" t="s">
        <v>19</v>
      </c>
      <c r="K40" t="s">
        <v>52</v>
      </c>
      <c r="L40" t="s">
        <v>21</v>
      </c>
      <c r="M40" t="s">
        <v>39</v>
      </c>
      <c r="N40" t="s">
        <v>40</v>
      </c>
      <c r="O40" t="s">
        <v>35</v>
      </c>
      <c r="P40">
        <v>5</v>
      </c>
      <c r="Q40" s="2">
        <f>Ventas[[#This Row],[precio_base]]*Ventas[[#This Row],[cantidad]]</f>
        <v>89.97</v>
      </c>
      <c r="R40" s="2">
        <f>Ventas[[#This Row],[Total bruto (antes de descuento)]]-Ventas[[#This Row],[total_venta]]</f>
        <v>4.5</v>
      </c>
    </row>
    <row r="41" spans="1:18" x14ac:dyDescent="0.25">
      <c r="A41" t="s">
        <v>126</v>
      </c>
      <c r="B41" s="1">
        <v>45503</v>
      </c>
      <c r="C41" t="s">
        <v>17</v>
      </c>
      <c r="D41" t="s">
        <v>18</v>
      </c>
      <c r="E41">
        <v>1</v>
      </c>
      <c r="F41" s="2">
        <v>45.99</v>
      </c>
      <c r="G41">
        <v>10</v>
      </c>
      <c r="H41" s="2">
        <v>41.39</v>
      </c>
      <c r="I41" s="2">
        <v>41.39</v>
      </c>
      <c r="J41" t="s">
        <v>19</v>
      </c>
      <c r="K41" t="s">
        <v>20</v>
      </c>
      <c r="L41" t="s">
        <v>21</v>
      </c>
      <c r="M41" t="s">
        <v>58</v>
      </c>
      <c r="N41" t="s">
        <v>59</v>
      </c>
      <c r="O41" t="s">
        <v>24</v>
      </c>
      <c r="P41">
        <v>1</v>
      </c>
      <c r="Q41" s="2">
        <f>Ventas[[#This Row],[precio_base]]*Ventas[[#This Row],[cantidad]]</f>
        <v>45.99</v>
      </c>
      <c r="R41" s="2">
        <f>Ventas[[#This Row],[Total bruto (antes de descuento)]]-Ventas[[#This Row],[total_venta]]</f>
        <v>4.6000000000000014</v>
      </c>
    </row>
    <row r="42" spans="1:18" x14ac:dyDescent="0.25">
      <c r="A42" t="s">
        <v>127</v>
      </c>
      <c r="B42" s="1">
        <v>45177</v>
      </c>
      <c r="C42" t="s">
        <v>89</v>
      </c>
      <c r="D42" t="s">
        <v>38</v>
      </c>
      <c r="E42">
        <v>3</v>
      </c>
      <c r="F42" s="2">
        <v>69.989999999999995</v>
      </c>
      <c r="G42">
        <v>0</v>
      </c>
      <c r="H42" s="2">
        <v>69.989999999999995</v>
      </c>
      <c r="I42" s="2">
        <v>209.97</v>
      </c>
      <c r="J42" t="s">
        <v>19</v>
      </c>
      <c r="K42" t="s">
        <v>44</v>
      </c>
      <c r="L42" t="s">
        <v>28</v>
      </c>
      <c r="M42" t="s">
        <v>65</v>
      </c>
      <c r="N42" t="s">
        <v>54</v>
      </c>
      <c r="O42" t="s">
        <v>35</v>
      </c>
      <c r="P42">
        <v>5</v>
      </c>
      <c r="Q42" s="2">
        <f>Ventas[[#This Row],[precio_base]]*Ventas[[#This Row],[cantidad]]</f>
        <v>209.96999999999997</v>
      </c>
      <c r="R42" s="2">
        <f>Ventas[[#This Row],[Total bruto (antes de descuento)]]-Ventas[[#This Row],[total_venta]]</f>
        <v>0</v>
      </c>
    </row>
    <row r="43" spans="1:18" x14ac:dyDescent="0.25">
      <c r="A43" t="s">
        <v>128</v>
      </c>
      <c r="B43" s="1">
        <v>44935</v>
      </c>
      <c r="C43" t="s">
        <v>81</v>
      </c>
      <c r="D43" t="s">
        <v>31</v>
      </c>
      <c r="E43">
        <v>5</v>
      </c>
      <c r="F43" s="2">
        <v>189.99</v>
      </c>
      <c r="G43">
        <v>0</v>
      </c>
      <c r="H43" s="2">
        <v>189.99</v>
      </c>
      <c r="I43" s="2">
        <v>949.95</v>
      </c>
      <c r="J43" t="s">
        <v>90</v>
      </c>
      <c r="K43" t="s">
        <v>52</v>
      </c>
      <c r="L43" t="s">
        <v>21</v>
      </c>
      <c r="M43" t="s">
        <v>95</v>
      </c>
      <c r="N43" t="s">
        <v>96</v>
      </c>
      <c r="O43" t="s">
        <v>48</v>
      </c>
      <c r="Q43" s="2">
        <f>Ventas[[#This Row],[precio_base]]*Ventas[[#This Row],[cantidad]]</f>
        <v>949.95</v>
      </c>
      <c r="R43" s="2">
        <f>Ventas[[#This Row],[Total bruto (antes de descuento)]]-Ventas[[#This Row],[total_venta]]</f>
        <v>0</v>
      </c>
    </row>
    <row r="44" spans="1:18" x14ac:dyDescent="0.25">
      <c r="A44" t="s">
        <v>129</v>
      </c>
      <c r="B44" s="1">
        <v>45045</v>
      </c>
      <c r="C44" t="s">
        <v>130</v>
      </c>
      <c r="D44" t="s">
        <v>43</v>
      </c>
      <c r="E44">
        <v>1</v>
      </c>
      <c r="F44" s="2">
        <v>24.99</v>
      </c>
      <c r="G44">
        <v>15</v>
      </c>
      <c r="H44" s="2">
        <v>21.24</v>
      </c>
      <c r="I44" s="2">
        <v>21.24</v>
      </c>
      <c r="J44" t="s">
        <v>19</v>
      </c>
      <c r="K44" t="s">
        <v>20</v>
      </c>
      <c r="L44" t="s">
        <v>21</v>
      </c>
      <c r="M44" t="s">
        <v>58</v>
      </c>
      <c r="N44" t="s">
        <v>59</v>
      </c>
      <c r="O44" t="s">
        <v>24</v>
      </c>
      <c r="P44">
        <v>3</v>
      </c>
      <c r="Q44" s="2">
        <f>Ventas[[#This Row],[precio_base]]*Ventas[[#This Row],[cantidad]]</f>
        <v>24.99</v>
      </c>
      <c r="R44" s="2">
        <f>Ventas[[#This Row],[Total bruto (antes de descuento)]]-Ventas[[#This Row],[total_venta]]</f>
        <v>3.75</v>
      </c>
    </row>
    <row r="45" spans="1:18" x14ac:dyDescent="0.25">
      <c r="A45" t="s">
        <v>131</v>
      </c>
      <c r="B45" s="1">
        <v>45135</v>
      </c>
      <c r="C45" t="s">
        <v>81</v>
      </c>
      <c r="D45" t="s">
        <v>31</v>
      </c>
      <c r="E45">
        <v>3</v>
      </c>
      <c r="F45" s="2">
        <v>189.99</v>
      </c>
      <c r="G45">
        <v>10</v>
      </c>
      <c r="H45" s="2">
        <v>170.99</v>
      </c>
      <c r="I45" s="2">
        <v>512.97</v>
      </c>
      <c r="J45" t="s">
        <v>19</v>
      </c>
      <c r="K45" t="s">
        <v>52</v>
      </c>
      <c r="L45" t="s">
        <v>21</v>
      </c>
      <c r="M45" t="s">
        <v>53</v>
      </c>
      <c r="N45" t="s">
        <v>54</v>
      </c>
      <c r="O45" t="s">
        <v>35</v>
      </c>
      <c r="P45">
        <v>4</v>
      </c>
      <c r="Q45" s="2">
        <f>Ventas[[#This Row],[precio_base]]*Ventas[[#This Row],[cantidad]]</f>
        <v>569.97</v>
      </c>
      <c r="R45" s="2">
        <f>Ventas[[#This Row],[Total bruto (antes de descuento)]]-Ventas[[#This Row],[total_venta]]</f>
        <v>57</v>
      </c>
    </row>
    <row r="46" spans="1:18" x14ac:dyDescent="0.25">
      <c r="A46" t="s">
        <v>132</v>
      </c>
      <c r="B46" s="1">
        <v>45210</v>
      </c>
      <c r="C46" t="s">
        <v>94</v>
      </c>
      <c r="D46" t="s">
        <v>18</v>
      </c>
      <c r="E46">
        <v>1</v>
      </c>
      <c r="F46" s="2">
        <v>899.99</v>
      </c>
      <c r="G46">
        <v>0</v>
      </c>
      <c r="H46" s="2">
        <v>899.99</v>
      </c>
      <c r="I46" s="2">
        <v>899.99</v>
      </c>
      <c r="J46" t="s">
        <v>51</v>
      </c>
      <c r="K46" t="s">
        <v>57</v>
      </c>
      <c r="L46" t="s">
        <v>21</v>
      </c>
      <c r="M46" t="s">
        <v>73</v>
      </c>
      <c r="N46" t="s">
        <v>74</v>
      </c>
      <c r="O46" t="s">
        <v>35</v>
      </c>
      <c r="Q46" s="2">
        <f>Ventas[[#This Row],[precio_base]]*Ventas[[#This Row],[cantidad]]</f>
        <v>899.99</v>
      </c>
      <c r="R46" s="2">
        <f>Ventas[[#This Row],[Total bruto (antes de descuento)]]-Ventas[[#This Row],[total_venta]]</f>
        <v>0</v>
      </c>
    </row>
    <row r="47" spans="1:18" x14ac:dyDescent="0.25">
      <c r="A47" t="s">
        <v>133</v>
      </c>
      <c r="B47" s="1">
        <v>45379</v>
      </c>
      <c r="C47" t="s">
        <v>50</v>
      </c>
      <c r="D47" t="s">
        <v>27</v>
      </c>
      <c r="E47">
        <v>4</v>
      </c>
      <c r="F47" s="2">
        <v>149.99</v>
      </c>
      <c r="G47">
        <v>10</v>
      </c>
      <c r="H47" s="2">
        <v>134.99</v>
      </c>
      <c r="I47" s="2">
        <v>539.96</v>
      </c>
      <c r="J47" t="s">
        <v>19</v>
      </c>
      <c r="K47" t="s">
        <v>52</v>
      </c>
      <c r="L47" t="s">
        <v>28</v>
      </c>
      <c r="M47" t="s">
        <v>95</v>
      </c>
      <c r="N47" t="s">
        <v>96</v>
      </c>
      <c r="O47" t="s">
        <v>48</v>
      </c>
      <c r="P47">
        <v>2</v>
      </c>
      <c r="Q47" s="2">
        <f>Ventas[[#This Row],[precio_base]]*Ventas[[#This Row],[cantidad]]</f>
        <v>599.96</v>
      </c>
      <c r="R47" s="2">
        <f>Ventas[[#This Row],[Total bruto (antes de descuento)]]-Ventas[[#This Row],[total_venta]]</f>
        <v>60</v>
      </c>
    </row>
    <row r="48" spans="1:18" x14ac:dyDescent="0.25">
      <c r="A48" t="s">
        <v>134</v>
      </c>
      <c r="B48" s="1">
        <v>45485</v>
      </c>
      <c r="C48" t="s">
        <v>94</v>
      </c>
      <c r="D48" t="s">
        <v>18</v>
      </c>
      <c r="E48">
        <v>3</v>
      </c>
      <c r="F48" s="2">
        <v>899.99</v>
      </c>
      <c r="G48">
        <v>10</v>
      </c>
      <c r="H48" s="2">
        <v>809.99</v>
      </c>
      <c r="I48" s="2">
        <v>2429.9699999999998</v>
      </c>
      <c r="J48" t="s">
        <v>19</v>
      </c>
      <c r="K48" t="s">
        <v>20</v>
      </c>
      <c r="L48" t="s">
        <v>21</v>
      </c>
      <c r="M48" t="s">
        <v>120</v>
      </c>
      <c r="N48" t="s">
        <v>23</v>
      </c>
      <c r="O48" t="s">
        <v>24</v>
      </c>
      <c r="P48">
        <v>1</v>
      </c>
      <c r="Q48" s="2">
        <f>Ventas[[#This Row],[precio_base]]*Ventas[[#This Row],[cantidad]]</f>
        <v>2699.9700000000003</v>
      </c>
      <c r="R48" s="2">
        <f>Ventas[[#This Row],[Total bruto (antes de descuento)]]-Ventas[[#This Row],[total_venta]]</f>
        <v>270.00000000000045</v>
      </c>
    </row>
    <row r="49" spans="1:18" x14ac:dyDescent="0.25">
      <c r="A49" t="s">
        <v>135</v>
      </c>
      <c r="B49" s="1">
        <v>45293</v>
      </c>
      <c r="C49" t="s">
        <v>115</v>
      </c>
      <c r="D49" t="s">
        <v>18</v>
      </c>
      <c r="E49">
        <v>2</v>
      </c>
      <c r="F49" s="2">
        <v>799.99</v>
      </c>
      <c r="G49">
        <v>15</v>
      </c>
      <c r="H49" s="2">
        <v>679.99</v>
      </c>
      <c r="I49" s="2">
        <v>1359.98</v>
      </c>
      <c r="J49" t="s">
        <v>19</v>
      </c>
      <c r="K49" t="s">
        <v>44</v>
      </c>
      <c r="L49" t="s">
        <v>32</v>
      </c>
      <c r="M49" t="s">
        <v>39</v>
      </c>
      <c r="N49" t="s">
        <v>40</v>
      </c>
      <c r="O49" t="s">
        <v>35</v>
      </c>
      <c r="P49">
        <v>5</v>
      </c>
      <c r="Q49" s="2">
        <f>Ventas[[#This Row],[precio_base]]*Ventas[[#This Row],[cantidad]]</f>
        <v>1599.98</v>
      </c>
      <c r="R49" s="2">
        <f>Ventas[[#This Row],[Total bruto (antes de descuento)]]-Ventas[[#This Row],[total_venta]]</f>
        <v>240</v>
      </c>
    </row>
    <row r="50" spans="1:18" x14ac:dyDescent="0.25">
      <c r="A50" t="s">
        <v>136</v>
      </c>
      <c r="B50" s="1">
        <v>45085</v>
      </c>
      <c r="C50" t="s">
        <v>122</v>
      </c>
      <c r="D50" t="s">
        <v>43</v>
      </c>
      <c r="E50">
        <v>2</v>
      </c>
      <c r="F50" s="2">
        <v>44.99</v>
      </c>
      <c r="G50">
        <v>20</v>
      </c>
      <c r="H50" s="2">
        <v>35.99</v>
      </c>
      <c r="I50" s="2">
        <v>71.98</v>
      </c>
      <c r="J50" t="s">
        <v>19</v>
      </c>
      <c r="K50" t="s">
        <v>52</v>
      </c>
      <c r="L50" t="s">
        <v>32</v>
      </c>
      <c r="M50" t="s">
        <v>39</v>
      </c>
      <c r="N50" t="s">
        <v>40</v>
      </c>
      <c r="O50" t="s">
        <v>35</v>
      </c>
      <c r="P50">
        <v>1</v>
      </c>
      <c r="Q50" s="2">
        <f>Ventas[[#This Row],[precio_base]]*Ventas[[#This Row],[cantidad]]</f>
        <v>89.98</v>
      </c>
      <c r="R50" s="2">
        <f>Ventas[[#This Row],[Total bruto (antes de descuento)]]-Ventas[[#This Row],[total_venta]]</f>
        <v>18</v>
      </c>
    </row>
    <row r="51" spans="1:18" x14ac:dyDescent="0.25">
      <c r="A51" t="s">
        <v>137</v>
      </c>
      <c r="B51" s="1">
        <v>45110</v>
      </c>
      <c r="C51" t="s">
        <v>76</v>
      </c>
      <c r="D51" t="s">
        <v>31</v>
      </c>
      <c r="E51">
        <v>3</v>
      </c>
      <c r="F51" s="2">
        <v>69.989999999999995</v>
      </c>
      <c r="G51">
        <v>20</v>
      </c>
      <c r="H51" s="2">
        <v>55.99</v>
      </c>
      <c r="I51" s="2">
        <v>167.97</v>
      </c>
      <c r="J51" t="s">
        <v>90</v>
      </c>
      <c r="K51" t="s">
        <v>44</v>
      </c>
      <c r="L51" t="s">
        <v>28</v>
      </c>
      <c r="M51" t="s">
        <v>39</v>
      </c>
      <c r="N51" t="s">
        <v>40</v>
      </c>
      <c r="O51" t="s">
        <v>35</v>
      </c>
      <c r="Q51" s="2">
        <f>Ventas[[#This Row],[precio_base]]*Ventas[[#This Row],[cantidad]]</f>
        <v>209.96999999999997</v>
      </c>
      <c r="R51" s="2">
        <f>Ventas[[#This Row],[Total bruto (antes de descuento)]]-Ventas[[#This Row],[total_venta]]</f>
        <v>41.999999999999972</v>
      </c>
    </row>
    <row r="52" spans="1:18" x14ac:dyDescent="0.25">
      <c r="A52" t="s">
        <v>138</v>
      </c>
      <c r="B52" s="1">
        <v>45181</v>
      </c>
      <c r="C52" t="s">
        <v>61</v>
      </c>
      <c r="D52" t="s">
        <v>38</v>
      </c>
      <c r="E52">
        <v>2</v>
      </c>
      <c r="F52" s="2">
        <v>19.989999999999998</v>
      </c>
      <c r="G52">
        <v>20</v>
      </c>
      <c r="H52" s="2">
        <v>15.99</v>
      </c>
      <c r="I52" s="2">
        <v>31.98</v>
      </c>
      <c r="J52" t="s">
        <v>51</v>
      </c>
      <c r="K52" t="s">
        <v>52</v>
      </c>
      <c r="L52" t="s">
        <v>32</v>
      </c>
      <c r="M52" t="s">
        <v>120</v>
      </c>
      <c r="N52" t="s">
        <v>23</v>
      </c>
      <c r="O52" t="s">
        <v>24</v>
      </c>
      <c r="Q52" s="2">
        <f>Ventas[[#This Row],[precio_base]]*Ventas[[#This Row],[cantidad]]</f>
        <v>39.979999999999997</v>
      </c>
      <c r="R52" s="2">
        <f>Ventas[[#This Row],[Total bruto (antes de descuento)]]-Ventas[[#This Row],[total_venta]]</f>
        <v>7.9999999999999964</v>
      </c>
    </row>
    <row r="53" spans="1:18" x14ac:dyDescent="0.25">
      <c r="A53" t="s">
        <v>139</v>
      </c>
      <c r="B53" s="1">
        <v>45154</v>
      </c>
      <c r="C53" t="s">
        <v>115</v>
      </c>
      <c r="D53" t="s">
        <v>18</v>
      </c>
      <c r="E53">
        <v>4</v>
      </c>
      <c r="F53" s="2">
        <v>799.99</v>
      </c>
      <c r="G53">
        <v>0</v>
      </c>
      <c r="H53" s="2">
        <v>799.99</v>
      </c>
      <c r="I53" s="2">
        <v>3199.96</v>
      </c>
      <c r="J53" t="s">
        <v>19</v>
      </c>
      <c r="K53" t="s">
        <v>52</v>
      </c>
      <c r="L53" t="s">
        <v>21</v>
      </c>
      <c r="M53" t="s">
        <v>39</v>
      </c>
      <c r="N53" t="s">
        <v>40</v>
      </c>
      <c r="O53" t="s">
        <v>35</v>
      </c>
      <c r="P53">
        <v>2</v>
      </c>
      <c r="Q53" s="2">
        <f>Ventas[[#This Row],[precio_base]]*Ventas[[#This Row],[cantidad]]</f>
        <v>3199.96</v>
      </c>
      <c r="R53" s="2">
        <f>Ventas[[#This Row],[Total bruto (antes de descuento)]]-Ventas[[#This Row],[total_venta]]</f>
        <v>0</v>
      </c>
    </row>
    <row r="54" spans="1:18" x14ac:dyDescent="0.25">
      <c r="A54" t="s">
        <v>140</v>
      </c>
      <c r="B54" s="1">
        <v>45335</v>
      </c>
      <c r="C54" t="s">
        <v>141</v>
      </c>
      <c r="D54" t="s">
        <v>38</v>
      </c>
      <c r="E54">
        <v>3</v>
      </c>
      <c r="F54" s="2">
        <v>89.99</v>
      </c>
      <c r="G54">
        <v>20</v>
      </c>
      <c r="H54" s="2">
        <v>71.989999999999995</v>
      </c>
      <c r="I54" s="2">
        <v>215.97</v>
      </c>
      <c r="J54" t="s">
        <v>19</v>
      </c>
      <c r="K54" t="s">
        <v>20</v>
      </c>
      <c r="L54" t="s">
        <v>28</v>
      </c>
      <c r="M54" t="s">
        <v>39</v>
      </c>
      <c r="N54" t="s">
        <v>40</v>
      </c>
      <c r="O54" t="s">
        <v>35</v>
      </c>
      <c r="P54">
        <v>4</v>
      </c>
      <c r="Q54" s="2">
        <f>Ventas[[#This Row],[precio_base]]*Ventas[[#This Row],[cantidad]]</f>
        <v>269.96999999999997</v>
      </c>
      <c r="R54" s="2">
        <f>Ventas[[#This Row],[Total bruto (antes de descuento)]]-Ventas[[#This Row],[total_venta]]</f>
        <v>53.999999999999972</v>
      </c>
    </row>
    <row r="55" spans="1:18" x14ac:dyDescent="0.25">
      <c r="A55" t="s">
        <v>142</v>
      </c>
      <c r="B55" s="1">
        <v>45622</v>
      </c>
      <c r="C55" t="s">
        <v>143</v>
      </c>
      <c r="D55" t="s">
        <v>43</v>
      </c>
      <c r="E55">
        <v>5</v>
      </c>
      <c r="F55" s="2">
        <v>34.99</v>
      </c>
      <c r="G55">
        <v>0</v>
      </c>
      <c r="H55" s="2">
        <v>34.99</v>
      </c>
      <c r="I55" s="2">
        <v>174.95</v>
      </c>
      <c r="J55" t="s">
        <v>90</v>
      </c>
      <c r="K55" t="s">
        <v>52</v>
      </c>
      <c r="L55" t="s">
        <v>21</v>
      </c>
      <c r="M55" t="s">
        <v>95</v>
      </c>
      <c r="N55" t="s">
        <v>96</v>
      </c>
      <c r="O55" t="s">
        <v>48</v>
      </c>
      <c r="Q55" s="2">
        <f>Ventas[[#This Row],[precio_base]]*Ventas[[#This Row],[cantidad]]</f>
        <v>174.95000000000002</v>
      </c>
      <c r="R55" s="2">
        <f>Ventas[[#This Row],[Total bruto (antes de descuento)]]-Ventas[[#This Row],[total_venta]]</f>
        <v>0</v>
      </c>
    </row>
    <row r="56" spans="1:18" x14ac:dyDescent="0.25">
      <c r="A56" t="s">
        <v>144</v>
      </c>
      <c r="B56" s="1">
        <v>45521</v>
      </c>
      <c r="C56" t="s">
        <v>61</v>
      </c>
      <c r="D56" t="s">
        <v>38</v>
      </c>
      <c r="E56">
        <v>1</v>
      </c>
      <c r="F56" s="2">
        <v>19.989999999999998</v>
      </c>
      <c r="G56">
        <v>0</v>
      </c>
      <c r="H56" s="2">
        <v>19.989999999999998</v>
      </c>
      <c r="I56" s="2">
        <v>19.989999999999998</v>
      </c>
      <c r="J56" t="s">
        <v>19</v>
      </c>
      <c r="K56" t="s">
        <v>44</v>
      </c>
      <c r="L56" t="s">
        <v>21</v>
      </c>
      <c r="M56" t="s">
        <v>123</v>
      </c>
      <c r="N56" t="s">
        <v>124</v>
      </c>
      <c r="O56" t="s">
        <v>24</v>
      </c>
      <c r="P56">
        <v>5</v>
      </c>
      <c r="Q56" s="2">
        <f>Ventas[[#This Row],[precio_base]]*Ventas[[#This Row],[cantidad]]</f>
        <v>19.989999999999998</v>
      </c>
      <c r="R56" s="2">
        <f>Ventas[[#This Row],[Total bruto (antes de descuento)]]-Ventas[[#This Row],[total_venta]]</f>
        <v>0</v>
      </c>
    </row>
    <row r="57" spans="1:18" x14ac:dyDescent="0.25">
      <c r="A57" t="s">
        <v>145</v>
      </c>
      <c r="B57" s="1">
        <v>45450</v>
      </c>
      <c r="C57" t="s">
        <v>17</v>
      </c>
      <c r="D57" t="s">
        <v>18</v>
      </c>
      <c r="E57">
        <v>4</v>
      </c>
      <c r="F57" s="2">
        <v>45.99</v>
      </c>
      <c r="G57">
        <v>10</v>
      </c>
      <c r="H57" s="2">
        <v>41.39</v>
      </c>
      <c r="I57" s="2">
        <v>165.56</v>
      </c>
      <c r="J57" t="s">
        <v>19</v>
      </c>
      <c r="K57" t="s">
        <v>44</v>
      </c>
      <c r="L57" t="s">
        <v>21</v>
      </c>
      <c r="M57" t="s">
        <v>46</v>
      </c>
      <c r="N57" t="s">
        <v>47</v>
      </c>
      <c r="O57" t="s">
        <v>48</v>
      </c>
      <c r="P57">
        <v>5</v>
      </c>
      <c r="Q57" s="2">
        <f>Ventas[[#This Row],[precio_base]]*Ventas[[#This Row],[cantidad]]</f>
        <v>183.96</v>
      </c>
      <c r="R57" s="2">
        <f>Ventas[[#This Row],[Total bruto (antes de descuento)]]-Ventas[[#This Row],[total_venta]]</f>
        <v>18.400000000000006</v>
      </c>
    </row>
    <row r="58" spans="1:18" x14ac:dyDescent="0.25">
      <c r="A58" t="s">
        <v>146</v>
      </c>
      <c r="B58" s="1">
        <v>45630</v>
      </c>
      <c r="C58" t="s">
        <v>76</v>
      </c>
      <c r="D58" t="s">
        <v>31</v>
      </c>
      <c r="E58">
        <v>2</v>
      </c>
      <c r="F58" s="2">
        <v>69.989999999999995</v>
      </c>
      <c r="G58">
        <v>0</v>
      </c>
      <c r="H58" s="2">
        <v>69.989999999999995</v>
      </c>
      <c r="I58" s="2">
        <v>139.97999999999999</v>
      </c>
      <c r="J58" t="s">
        <v>19</v>
      </c>
      <c r="K58" t="s">
        <v>52</v>
      </c>
      <c r="L58" t="s">
        <v>28</v>
      </c>
      <c r="M58" t="s">
        <v>73</v>
      </c>
      <c r="N58" t="s">
        <v>74</v>
      </c>
      <c r="O58" t="s">
        <v>35</v>
      </c>
      <c r="P58">
        <v>1</v>
      </c>
      <c r="Q58" s="2">
        <f>Ventas[[#This Row],[precio_base]]*Ventas[[#This Row],[cantidad]]</f>
        <v>139.97999999999999</v>
      </c>
      <c r="R58" s="2">
        <f>Ventas[[#This Row],[Total bruto (antes de descuento)]]-Ventas[[#This Row],[total_venta]]</f>
        <v>0</v>
      </c>
    </row>
    <row r="59" spans="1:18" x14ac:dyDescent="0.25">
      <c r="A59" t="s">
        <v>147</v>
      </c>
      <c r="B59" s="1">
        <v>45234</v>
      </c>
      <c r="C59" t="s">
        <v>87</v>
      </c>
      <c r="D59" t="s">
        <v>27</v>
      </c>
      <c r="E59">
        <v>3</v>
      </c>
      <c r="F59" s="2">
        <v>249.99</v>
      </c>
      <c r="G59">
        <v>15</v>
      </c>
      <c r="H59" s="2">
        <v>212.49</v>
      </c>
      <c r="I59" s="2">
        <v>637.47</v>
      </c>
      <c r="J59" t="s">
        <v>19</v>
      </c>
      <c r="K59" t="s">
        <v>44</v>
      </c>
      <c r="L59" t="s">
        <v>45</v>
      </c>
      <c r="M59" t="s">
        <v>120</v>
      </c>
      <c r="N59" t="s">
        <v>23</v>
      </c>
      <c r="O59" t="s">
        <v>24</v>
      </c>
      <c r="P59">
        <v>2</v>
      </c>
      <c r="Q59" s="2">
        <f>Ventas[[#This Row],[precio_base]]*Ventas[[#This Row],[cantidad]]</f>
        <v>749.97</v>
      </c>
      <c r="R59" s="2">
        <f>Ventas[[#This Row],[Total bruto (antes de descuento)]]-Ventas[[#This Row],[total_venta]]</f>
        <v>112.5</v>
      </c>
    </row>
    <row r="60" spans="1:18" x14ac:dyDescent="0.25">
      <c r="A60" t="s">
        <v>148</v>
      </c>
      <c r="B60" s="1">
        <v>45357</v>
      </c>
      <c r="C60" t="s">
        <v>81</v>
      </c>
      <c r="D60" t="s">
        <v>31</v>
      </c>
      <c r="E60">
        <v>4</v>
      </c>
      <c r="F60" s="2">
        <v>189.99</v>
      </c>
      <c r="G60">
        <v>15</v>
      </c>
      <c r="H60" s="2">
        <v>161.49</v>
      </c>
      <c r="I60" s="2">
        <v>645.96</v>
      </c>
      <c r="J60" t="s">
        <v>51</v>
      </c>
      <c r="K60" t="s">
        <v>44</v>
      </c>
      <c r="L60" t="s">
        <v>21</v>
      </c>
      <c r="M60" t="s">
        <v>63</v>
      </c>
      <c r="N60" t="s">
        <v>34</v>
      </c>
      <c r="O60" t="s">
        <v>24</v>
      </c>
      <c r="Q60" s="2">
        <f>Ventas[[#This Row],[precio_base]]*Ventas[[#This Row],[cantidad]]</f>
        <v>759.96</v>
      </c>
      <c r="R60" s="2">
        <f>Ventas[[#This Row],[Total bruto (antes de descuento)]]-Ventas[[#This Row],[total_venta]]</f>
        <v>114</v>
      </c>
    </row>
    <row r="61" spans="1:18" x14ac:dyDescent="0.25">
      <c r="A61" t="s">
        <v>149</v>
      </c>
      <c r="B61" s="1">
        <v>45488</v>
      </c>
      <c r="C61" t="s">
        <v>143</v>
      </c>
      <c r="D61" t="s">
        <v>43</v>
      </c>
      <c r="E61">
        <v>1</v>
      </c>
      <c r="F61" s="2">
        <v>34.99</v>
      </c>
      <c r="G61">
        <v>0</v>
      </c>
      <c r="H61" s="2">
        <v>34.99</v>
      </c>
      <c r="I61" s="2">
        <v>34.99</v>
      </c>
      <c r="J61" t="s">
        <v>19</v>
      </c>
      <c r="K61" t="s">
        <v>52</v>
      </c>
      <c r="L61" t="s">
        <v>28</v>
      </c>
      <c r="M61" t="s">
        <v>120</v>
      </c>
      <c r="N61" t="s">
        <v>23</v>
      </c>
      <c r="O61" t="s">
        <v>24</v>
      </c>
      <c r="P61">
        <v>3</v>
      </c>
      <c r="Q61" s="2">
        <f>Ventas[[#This Row],[precio_base]]*Ventas[[#This Row],[cantidad]]</f>
        <v>34.99</v>
      </c>
      <c r="R61" s="2">
        <f>Ventas[[#This Row],[Total bruto (antes de descuento)]]-Ventas[[#This Row],[total_venta]]</f>
        <v>0</v>
      </c>
    </row>
    <row r="62" spans="1:18" x14ac:dyDescent="0.25">
      <c r="A62" t="s">
        <v>150</v>
      </c>
      <c r="B62" s="1">
        <v>45403</v>
      </c>
      <c r="C62" t="s">
        <v>151</v>
      </c>
      <c r="D62" t="s">
        <v>27</v>
      </c>
      <c r="E62">
        <v>4</v>
      </c>
      <c r="F62" s="2">
        <v>599.99</v>
      </c>
      <c r="G62">
        <v>15</v>
      </c>
      <c r="H62" s="2">
        <v>509.99</v>
      </c>
      <c r="I62" s="2">
        <v>2039.96</v>
      </c>
      <c r="J62" t="s">
        <v>19</v>
      </c>
      <c r="K62" t="s">
        <v>52</v>
      </c>
      <c r="L62" t="s">
        <v>152</v>
      </c>
      <c r="M62" t="s">
        <v>101</v>
      </c>
      <c r="N62" t="s">
        <v>102</v>
      </c>
      <c r="O62" t="s">
        <v>35</v>
      </c>
      <c r="P62">
        <v>2</v>
      </c>
      <c r="Q62" s="2">
        <f>Ventas[[#This Row],[precio_base]]*Ventas[[#This Row],[cantidad]]</f>
        <v>2399.96</v>
      </c>
      <c r="R62" s="2">
        <f>Ventas[[#This Row],[Total bruto (antes de descuento)]]-Ventas[[#This Row],[total_venta]]</f>
        <v>360</v>
      </c>
    </row>
    <row r="63" spans="1:18" x14ac:dyDescent="0.25">
      <c r="A63" t="s">
        <v>153</v>
      </c>
      <c r="B63" s="1">
        <v>45601</v>
      </c>
      <c r="C63" t="s">
        <v>56</v>
      </c>
      <c r="D63" t="s">
        <v>18</v>
      </c>
      <c r="E63">
        <v>3</v>
      </c>
      <c r="F63" s="2">
        <v>89.99</v>
      </c>
      <c r="G63">
        <v>10</v>
      </c>
      <c r="H63" s="2">
        <v>80.989999999999995</v>
      </c>
      <c r="I63" s="2">
        <v>242.97</v>
      </c>
      <c r="J63" t="s">
        <v>51</v>
      </c>
      <c r="K63" t="s">
        <v>20</v>
      </c>
      <c r="L63" t="s">
        <v>32</v>
      </c>
      <c r="M63" t="s">
        <v>33</v>
      </c>
      <c r="N63" t="s">
        <v>34</v>
      </c>
      <c r="O63" t="s">
        <v>35</v>
      </c>
      <c r="Q63" s="2">
        <f>Ventas[[#This Row],[precio_base]]*Ventas[[#This Row],[cantidad]]</f>
        <v>269.96999999999997</v>
      </c>
      <c r="R63" s="2">
        <f>Ventas[[#This Row],[Total bruto (antes de descuento)]]-Ventas[[#This Row],[total_venta]]</f>
        <v>26.999999999999972</v>
      </c>
    </row>
    <row r="64" spans="1:18" x14ac:dyDescent="0.25">
      <c r="A64" t="s">
        <v>154</v>
      </c>
      <c r="B64" s="1">
        <v>45167</v>
      </c>
      <c r="C64" t="s">
        <v>81</v>
      </c>
      <c r="D64" t="s">
        <v>31</v>
      </c>
      <c r="E64">
        <v>3</v>
      </c>
      <c r="F64" s="2">
        <v>189.99</v>
      </c>
      <c r="G64">
        <v>0</v>
      </c>
      <c r="H64" s="2">
        <v>189.99</v>
      </c>
      <c r="I64" s="2">
        <v>569.97</v>
      </c>
      <c r="J64" t="s">
        <v>62</v>
      </c>
      <c r="K64" t="s">
        <v>20</v>
      </c>
      <c r="L64" t="s">
        <v>21</v>
      </c>
      <c r="M64" t="s">
        <v>63</v>
      </c>
      <c r="N64" t="s">
        <v>34</v>
      </c>
      <c r="O64" t="s">
        <v>24</v>
      </c>
      <c r="Q64" s="2">
        <f>Ventas[[#This Row],[precio_base]]*Ventas[[#This Row],[cantidad]]</f>
        <v>569.97</v>
      </c>
      <c r="R64" s="2">
        <f>Ventas[[#This Row],[Total bruto (antes de descuento)]]-Ventas[[#This Row],[total_venta]]</f>
        <v>0</v>
      </c>
    </row>
    <row r="65" spans="1:18" x14ac:dyDescent="0.25">
      <c r="A65" t="s">
        <v>155</v>
      </c>
      <c r="B65" s="1">
        <v>45413</v>
      </c>
      <c r="C65" t="s">
        <v>156</v>
      </c>
      <c r="D65" t="s">
        <v>27</v>
      </c>
      <c r="E65">
        <v>1</v>
      </c>
      <c r="F65" s="2">
        <v>49.99</v>
      </c>
      <c r="G65">
        <v>5</v>
      </c>
      <c r="H65" s="2">
        <v>47.49</v>
      </c>
      <c r="I65" s="2">
        <v>47.49</v>
      </c>
      <c r="J65" t="s">
        <v>19</v>
      </c>
      <c r="K65" t="s">
        <v>44</v>
      </c>
      <c r="L65" t="s">
        <v>28</v>
      </c>
      <c r="M65" t="s">
        <v>73</v>
      </c>
      <c r="N65" t="s">
        <v>74</v>
      </c>
      <c r="O65" t="s">
        <v>35</v>
      </c>
      <c r="P65">
        <v>4</v>
      </c>
      <c r="Q65" s="2">
        <f>Ventas[[#This Row],[precio_base]]*Ventas[[#This Row],[cantidad]]</f>
        <v>49.99</v>
      </c>
      <c r="R65" s="2">
        <f>Ventas[[#This Row],[Total bruto (antes de descuento)]]-Ventas[[#This Row],[total_venta]]</f>
        <v>2.5</v>
      </c>
    </row>
    <row r="66" spans="1:18" x14ac:dyDescent="0.25">
      <c r="A66" t="s">
        <v>157</v>
      </c>
      <c r="B66" s="1">
        <v>45433</v>
      </c>
      <c r="C66" t="s">
        <v>109</v>
      </c>
      <c r="D66" t="s">
        <v>38</v>
      </c>
      <c r="E66">
        <v>2</v>
      </c>
      <c r="F66" s="2">
        <v>39.99</v>
      </c>
      <c r="G66">
        <v>0</v>
      </c>
      <c r="H66" s="2">
        <v>39.99</v>
      </c>
      <c r="I66" s="2">
        <v>79.98</v>
      </c>
      <c r="J66" t="s">
        <v>51</v>
      </c>
      <c r="K66" t="s">
        <v>52</v>
      </c>
      <c r="L66" t="s">
        <v>32</v>
      </c>
      <c r="M66" t="s">
        <v>46</v>
      </c>
      <c r="N66" t="s">
        <v>47</v>
      </c>
      <c r="O66" t="s">
        <v>48</v>
      </c>
      <c r="Q66" s="2">
        <f>Ventas[[#This Row],[precio_base]]*Ventas[[#This Row],[cantidad]]</f>
        <v>79.98</v>
      </c>
      <c r="R66" s="2">
        <f>Ventas[[#This Row],[Total bruto (antes de descuento)]]-Ventas[[#This Row],[total_venta]]</f>
        <v>0</v>
      </c>
    </row>
    <row r="67" spans="1:18" x14ac:dyDescent="0.25">
      <c r="A67" t="s">
        <v>158</v>
      </c>
      <c r="B67" s="1">
        <v>45036</v>
      </c>
      <c r="C67" t="s">
        <v>98</v>
      </c>
      <c r="D67" t="s">
        <v>31</v>
      </c>
      <c r="E67">
        <v>4</v>
      </c>
      <c r="F67" s="2">
        <v>99.99</v>
      </c>
      <c r="G67">
        <v>0</v>
      </c>
      <c r="H67" s="2">
        <v>99.99</v>
      </c>
      <c r="I67" s="2">
        <v>399.96</v>
      </c>
      <c r="J67" t="s">
        <v>19</v>
      </c>
      <c r="K67" t="s">
        <v>44</v>
      </c>
      <c r="L67" t="s">
        <v>21</v>
      </c>
      <c r="M67" t="s">
        <v>84</v>
      </c>
      <c r="N67" t="s">
        <v>85</v>
      </c>
      <c r="O67" t="s">
        <v>35</v>
      </c>
      <c r="P67">
        <v>2</v>
      </c>
      <c r="Q67" s="2">
        <f>Ventas[[#This Row],[precio_base]]*Ventas[[#This Row],[cantidad]]</f>
        <v>399.96</v>
      </c>
      <c r="R67" s="2">
        <f>Ventas[[#This Row],[Total bruto (antes de descuento)]]-Ventas[[#This Row],[total_venta]]</f>
        <v>0</v>
      </c>
    </row>
    <row r="68" spans="1:18" x14ac:dyDescent="0.25">
      <c r="A68" t="s">
        <v>159</v>
      </c>
      <c r="B68" s="1">
        <v>45051</v>
      </c>
      <c r="C68" t="s">
        <v>151</v>
      </c>
      <c r="D68" t="s">
        <v>27</v>
      </c>
      <c r="E68">
        <v>2</v>
      </c>
      <c r="F68" s="2">
        <v>599.99</v>
      </c>
      <c r="G68">
        <v>20</v>
      </c>
      <c r="H68" s="2">
        <v>479.99</v>
      </c>
      <c r="I68" s="2">
        <v>959.98</v>
      </c>
      <c r="J68" t="s">
        <v>19</v>
      </c>
      <c r="K68" t="s">
        <v>57</v>
      </c>
      <c r="L68" t="s">
        <v>45</v>
      </c>
      <c r="M68" t="s">
        <v>65</v>
      </c>
      <c r="N68" t="s">
        <v>54</v>
      </c>
      <c r="O68" t="s">
        <v>35</v>
      </c>
      <c r="P68">
        <v>4</v>
      </c>
      <c r="Q68" s="2">
        <f>Ventas[[#This Row],[precio_base]]*Ventas[[#This Row],[cantidad]]</f>
        <v>1199.98</v>
      </c>
      <c r="R68" s="2">
        <f>Ventas[[#This Row],[Total bruto (antes de descuento)]]-Ventas[[#This Row],[total_venta]]</f>
        <v>240</v>
      </c>
    </row>
    <row r="69" spans="1:18" x14ac:dyDescent="0.25">
      <c r="A69" t="s">
        <v>160</v>
      </c>
      <c r="B69" s="1">
        <v>45554</v>
      </c>
      <c r="C69" t="s">
        <v>143</v>
      </c>
      <c r="D69" t="s">
        <v>43</v>
      </c>
      <c r="E69">
        <v>5</v>
      </c>
      <c r="F69" s="2">
        <v>34.99</v>
      </c>
      <c r="G69">
        <v>5</v>
      </c>
      <c r="H69" s="2">
        <v>33.24</v>
      </c>
      <c r="I69" s="2">
        <v>166.2</v>
      </c>
      <c r="J69" t="s">
        <v>62</v>
      </c>
      <c r="K69" t="s">
        <v>20</v>
      </c>
      <c r="L69" t="s">
        <v>21</v>
      </c>
      <c r="M69" t="s">
        <v>65</v>
      </c>
      <c r="N69" t="s">
        <v>54</v>
      </c>
      <c r="O69" t="s">
        <v>35</v>
      </c>
      <c r="Q69" s="2">
        <f>Ventas[[#This Row],[precio_base]]*Ventas[[#This Row],[cantidad]]</f>
        <v>174.95000000000002</v>
      </c>
      <c r="R69" s="2">
        <f>Ventas[[#This Row],[Total bruto (antes de descuento)]]-Ventas[[#This Row],[total_venta]]</f>
        <v>8.7500000000000284</v>
      </c>
    </row>
    <row r="70" spans="1:18" x14ac:dyDescent="0.25">
      <c r="A70" t="s">
        <v>161</v>
      </c>
      <c r="B70" s="1">
        <v>45413</v>
      </c>
      <c r="C70" t="s">
        <v>151</v>
      </c>
      <c r="D70" t="s">
        <v>27</v>
      </c>
      <c r="E70">
        <v>3</v>
      </c>
      <c r="F70" s="2">
        <v>599.99</v>
      </c>
      <c r="G70">
        <v>20</v>
      </c>
      <c r="H70" s="2">
        <v>479.99</v>
      </c>
      <c r="I70" s="2">
        <v>1439.97</v>
      </c>
      <c r="J70" t="s">
        <v>19</v>
      </c>
      <c r="K70" t="s">
        <v>20</v>
      </c>
      <c r="L70" t="s">
        <v>28</v>
      </c>
      <c r="M70" t="s">
        <v>73</v>
      </c>
      <c r="N70" t="s">
        <v>74</v>
      </c>
      <c r="O70" t="s">
        <v>35</v>
      </c>
      <c r="P70">
        <v>4</v>
      </c>
      <c r="Q70" s="2">
        <f>Ventas[[#This Row],[precio_base]]*Ventas[[#This Row],[cantidad]]</f>
        <v>1799.97</v>
      </c>
      <c r="R70" s="2">
        <f>Ventas[[#This Row],[Total bruto (antes de descuento)]]-Ventas[[#This Row],[total_venta]]</f>
        <v>360</v>
      </c>
    </row>
    <row r="71" spans="1:18" x14ac:dyDescent="0.25">
      <c r="A71" t="s">
        <v>162</v>
      </c>
      <c r="B71" s="1">
        <v>45568</v>
      </c>
      <c r="C71" t="s">
        <v>163</v>
      </c>
      <c r="D71" t="s">
        <v>18</v>
      </c>
      <c r="E71">
        <v>3</v>
      </c>
      <c r="F71" s="2">
        <v>499.99</v>
      </c>
      <c r="G71">
        <v>5</v>
      </c>
      <c r="H71" s="2">
        <v>474.99</v>
      </c>
      <c r="I71" s="2">
        <v>1424.97</v>
      </c>
      <c r="J71" t="s">
        <v>19</v>
      </c>
      <c r="K71" t="s">
        <v>20</v>
      </c>
      <c r="L71" t="s">
        <v>21</v>
      </c>
      <c r="M71" t="s">
        <v>58</v>
      </c>
      <c r="N71" t="s">
        <v>59</v>
      </c>
      <c r="O71" t="s">
        <v>24</v>
      </c>
      <c r="P71">
        <v>5</v>
      </c>
      <c r="Q71" s="2">
        <f>Ventas[[#This Row],[precio_base]]*Ventas[[#This Row],[cantidad]]</f>
        <v>1499.97</v>
      </c>
      <c r="R71" s="2">
        <f>Ventas[[#This Row],[Total bruto (antes de descuento)]]-Ventas[[#This Row],[total_venta]]</f>
        <v>75</v>
      </c>
    </row>
    <row r="72" spans="1:18" x14ac:dyDescent="0.25">
      <c r="A72" t="s">
        <v>164</v>
      </c>
      <c r="B72" s="1">
        <v>45009</v>
      </c>
      <c r="C72" t="s">
        <v>78</v>
      </c>
      <c r="D72" t="s">
        <v>18</v>
      </c>
      <c r="E72">
        <v>2</v>
      </c>
      <c r="F72" s="2">
        <v>349.99</v>
      </c>
      <c r="G72">
        <v>0</v>
      </c>
      <c r="H72" s="2">
        <v>349.99</v>
      </c>
      <c r="I72" s="2">
        <v>699.98</v>
      </c>
      <c r="J72" t="s">
        <v>19</v>
      </c>
      <c r="K72" t="s">
        <v>44</v>
      </c>
      <c r="L72" t="s">
        <v>21</v>
      </c>
      <c r="M72" t="s">
        <v>63</v>
      </c>
      <c r="N72" t="s">
        <v>34</v>
      </c>
      <c r="O72" t="s">
        <v>24</v>
      </c>
      <c r="P72">
        <v>4</v>
      </c>
      <c r="Q72" s="2">
        <f>Ventas[[#This Row],[precio_base]]*Ventas[[#This Row],[cantidad]]</f>
        <v>699.98</v>
      </c>
      <c r="R72" s="2">
        <f>Ventas[[#This Row],[Total bruto (antes de descuento)]]-Ventas[[#This Row],[total_venta]]</f>
        <v>0</v>
      </c>
    </row>
    <row r="73" spans="1:18" x14ac:dyDescent="0.25">
      <c r="A73" t="s">
        <v>165</v>
      </c>
      <c r="B73" s="1">
        <v>45265</v>
      </c>
      <c r="C73" t="s">
        <v>50</v>
      </c>
      <c r="D73" t="s">
        <v>27</v>
      </c>
      <c r="E73">
        <v>4</v>
      </c>
      <c r="F73" s="2">
        <v>149.99</v>
      </c>
      <c r="G73">
        <v>5</v>
      </c>
      <c r="H73" s="2">
        <v>142.49</v>
      </c>
      <c r="I73" s="2">
        <v>569.96</v>
      </c>
      <c r="J73" t="s">
        <v>19</v>
      </c>
      <c r="K73" t="s">
        <v>20</v>
      </c>
      <c r="L73" t="s">
        <v>152</v>
      </c>
      <c r="M73" t="s">
        <v>67</v>
      </c>
      <c r="N73" t="s">
        <v>68</v>
      </c>
      <c r="O73" t="s">
        <v>35</v>
      </c>
      <c r="P73">
        <v>5</v>
      </c>
      <c r="Q73" s="2">
        <f>Ventas[[#This Row],[precio_base]]*Ventas[[#This Row],[cantidad]]</f>
        <v>599.96</v>
      </c>
      <c r="R73" s="2">
        <f>Ventas[[#This Row],[Total bruto (antes de descuento)]]-Ventas[[#This Row],[total_venta]]</f>
        <v>30</v>
      </c>
    </row>
    <row r="74" spans="1:18" x14ac:dyDescent="0.25">
      <c r="A74" t="s">
        <v>166</v>
      </c>
      <c r="B74" s="1">
        <v>45639</v>
      </c>
      <c r="C74" t="s">
        <v>104</v>
      </c>
      <c r="D74" t="s">
        <v>18</v>
      </c>
      <c r="E74">
        <v>5</v>
      </c>
      <c r="F74" s="2">
        <v>1199.99</v>
      </c>
      <c r="G74">
        <v>5</v>
      </c>
      <c r="H74" s="2">
        <v>1139.99</v>
      </c>
      <c r="I74" s="2">
        <v>5699.95</v>
      </c>
      <c r="J74" t="s">
        <v>19</v>
      </c>
      <c r="K74" t="s">
        <v>20</v>
      </c>
      <c r="L74" t="s">
        <v>45</v>
      </c>
      <c r="M74" t="s">
        <v>123</v>
      </c>
      <c r="N74" t="s">
        <v>124</v>
      </c>
      <c r="O74" t="s">
        <v>24</v>
      </c>
      <c r="P74">
        <v>4</v>
      </c>
      <c r="Q74" s="2">
        <f>Ventas[[#This Row],[precio_base]]*Ventas[[#This Row],[cantidad]]</f>
        <v>5999.95</v>
      </c>
      <c r="R74" s="2">
        <f>Ventas[[#This Row],[Total bruto (antes de descuento)]]-Ventas[[#This Row],[total_venta]]</f>
        <v>300</v>
      </c>
    </row>
    <row r="75" spans="1:18" x14ac:dyDescent="0.25">
      <c r="A75" t="s">
        <v>167</v>
      </c>
      <c r="B75" s="1">
        <v>45478</v>
      </c>
      <c r="C75" t="s">
        <v>76</v>
      </c>
      <c r="D75" t="s">
        <v>31</v>
      </c>
      <c r="E75">
        <v>5</v>
      </c>
      <c r="F75" s="2">
        <v>69.989999999999995</v>
      </c>
      <c r="G75">
        <v>20</v>
      </c>
      <c r="H75" s="2">
        <v>55.99</v>
      </c>
      <c r="I75" s="2">
        <v>279.95</v>
      </c>
      <c r="J75" t="s">
        <v>51</v>
      </c>
      <c r="K75" t="s">
        <v>44</v>
      </c>
      <c r="L75" t="s">
        <v>21</v>
      </c>
      <c r="M75" t="s">
        <v>22</v>
      </c>
      <c r="N75" t="s">
        <v>23</v>
      </c>
      <c r="O75" t="s">
        <v>24</v>
      </c>
      <c r="Q75" s="2">
        <f>Ventas[[#This Row],[precio_base]]*Ventas[[#This Row],[cantidad]]</f>
        <v>349.95</v>
      </c>
      <c r="R75" s="2">
        <f>Ventas[[#This Row],[Total bruto (antes de descuento)]]-Ventas[[#This Row],[total_venta]]</f>
        <v>70</v>
      </c>
    </row>
    <row r="76" spans="1:18" x14ac:dyDescent="0.25">
      <c r="A76" t="s">
        <v>168</v>
      </c>
      <c r="B76" s="1">
        <v>45424</v>
      </c>
      <c r="C76" t="s">
        <v>104</v>
      </c>
      <c r="D76" t="s">
        <v>18</v>
      </c>
      <c r="E76">
        <v>4</v>
      </c>
      <c r="F76" s="2">
        <v>1199.99</v>
      </c>
      <c r="G76">
        <v>0</v>
      </c>
      <c r="H76" s="2">
        <v>1199.99</v>
      </c>
      <c r="I76" s="2">
        <v>4799.96</v>
      </c>
      <c r="J76" t="s">
        <v>51</v>
      </c>
      <c r="K76" t="s">
        <v>20</v>
      </c>
      <c r="L76" t="s">
        <v>21</v>
      </c>
      <c r="M76" t="s">
        <v>39</v>
      </c>
      <c r="N76" t="s">
        <v>40</v>
      </c>
      <c r="O76" t="s">
        <v>35</v>
      </c>
      <c r="Q76" s="2">
        <f>Ventas[[#This Row],[precio_base]]*Ventas[[#This Row],[cantidad]]</f>
        <v>4799.96</v>
      </c>
      <c r="R76" s="2">
        <f>Ventas[[#This Row],[Total bruto (antes de descuento)]]-Ventas[[#This Row],[total_venta]]</f>
        <v>0</v>
      </c>
    </row>
    <row r="77" spans="1:18" x14ac:dyDescent="0.25">
      <c r="A77" t="s">
        <v>169</v>
      </c>
      <c r="B77" s="1">
        <v>45405</v>
      </c>
      <c r="C77" t="s">
        <v>122</v>
      </c>
      <c r="D77" t="s">
        <v>43</v>
      </c>
      <c r="E77">
        <v>2</v>
      </c>
      <c r="F77" s="2">
        <v>44.99</v>
      </c>
      <c r="G77">
        <v>10</v>
      </c>
      <c r="H77" s="2">
        <v>40.49</v>
      </c>
      <c r="I77" s="2">
        <v>80.98</v>
      </c>
      <c r="J77" t="s">
        <v>19</v>
      </c>
      <c r="K77" t="s">
        <v>20</v>
      </c>
      <c r="L77" t="s">
        <v>45</v>
      </c>
      <c r="M77" t="s">
        <v>53</v>
      </c>
      <c r="N77" t="s">
        <v>54</v>
      </c>
      <c r="O77" t="s">
        <v>35</v>
      </c>
      <c r="P77">
        <v>1</v>
      </c>
      <c r="Q77" s="2">
        <f>Ventas[[#This Row],[precio_base]]*Ventas[[#This Row],[cantidad]]</f>
        <v>89.98</v>
      </c>
      <c r="R77" s="2">
        <f>Ventas[[#This Row],[Total bruto (antes de descuento)]]-Ventas[[#This Row],[total_venta]]</f>
        <v>9</v>
      </c>
    </row>
    <row r="78" spans="1:18" x14ac:dyDescent="0.25">
      <c r="A78" t="s">
        <v>170</v>
      </c>
      <c r="B78" s="1">
        <v>45012</v>
      </c>
      <c r="C78" t="s">
        <v>72</v>
      </c>
      <c r="D78" t="s">
        <v>31</v>
      </c>
      <c r="E78">
        <v>4</v>
      </c>
      <c r="F78" s="2">
        <v>29.99</v>
      </c>
      <c r="G78">
        <v>0</v>
      </c>
      <c r="H78" s="2">
        <v>29.99</v>
      </c>
      <c r="I78" s="2">
        <v>119.96</v>
      </c>
      <c r="J78" t="s">
        <v>62</v>
      </c>
      <c r="K78" t="s">
        <v>20</v>
      </c>
      <c r="L78" t="s">
        <v>45</v>
      </c>
      <c r="M78" t="s">
        <v>63</v>
      </c>
      <c r="N78" t="s">
        <v>34</v>
      </c>
      <c r="O78" t="s">
        <v>24</v>
      </c>
      <c r="Q78" s="2">
        <f>Ventas[[#This Row],[precio_base]]*Ventas[[#This Row],[cantidad]]</f>
        <v>119.96</v>
      </c>
      <c r="R78" s="2">
        <f>Ventas[[#This Row],[Total bruto (antes de descuento)]]-Ventas[[#This Row],[total_venta]]</f>
        <v>0</v>
      </c>
    </row>
    <row r="79" spans="1:18" x14ac:dyDescent="0.25">
      <c r="A79" t="s">
        <v>171</v>
      </c>
      <c r="B79" s="1">
        <v>45143</v>
      </c>
      <c r="C79" t="s">
        <v>151</v>
      </c>
      <c r="D79" t="s">
        <v>27</v>
      </c>
      <c r="E79">
        <v>3</v>
      </c>
      <c r="F79" s="2">
        <v>599.99</v>
      </c>
      <c r="G79">
        <v>0</v>
      </c>
      <c r="H79" s="2">
        <v>599.99</v>
      </c>
      <c r="I79" s="2">
        <v>1799.97</v>
      </c>
      <c r="J79" t="s">
        <v>51</v>
      </c>
      <c r="K79" t="s">
        <v>20</v>
      </c>
      <c r="L79" t="s">
        <v>152</v>
      </c>
      <c r="M79" t="s">
        <v>120</v>
      </c>
      <c r="N79" t="s">
        <v>23</v>
      </c>
      <c r="O79" t="s">
        <v>24</v>
      </c>
      <c r="Q79" s="2">
        <f>Ventas[[#This Row],[precio_base]]*Ventas[[#This Row],[cantidad]]</f>
        <v>1799.97</v>
      </c>
      <c r="R79" s="2">
        <f>Ventas[[#This Row],[Total bruto (antes de descuento)]]-Ventas[[#This Row],[total_venta]]</f>
        <v>0</v>
      </c>
    </row>
    <row r="80" spans="1:18" x14ac:dyDescent="0.25">
      <c r="A80" t="s">
        <v>172</v>
      </c>
      <c r="B80" s="1">
        <v>45358</v>
      </c>
      <c r="C80" t="s">
        <v>61</v>
      </c>
      <c r="D80" t="s">
        <v>38</v>
      </c>
      <c r="E80">
        <v>1</v>
      </c>
      <c r="F80" s="2">
        <v>19.989999999999998</v>
      </c>
      <c r="G80">
        <v>5</v>
      </c>
      <c r="H80" s="2">
        <v>18.989999999999998</v>
      </c>
      <c r="I80" s="2">
        <v>18.989999999999998</v>
      </c>
      <c r="J80" t="s">
        <v>19</v>
      </c>
      <c r="K80" t="s">
        <v>20</v>
      </c>
      <c r="L80" t="s">
        <v>152</v>
      </c>
      <c r="M80" t="s">
        <v>65</v>
      </c>
      <c r="N80" t="s">
        <v>54</v>
      </c>
      <c r="O80" t="s">
        <v>35</v>
      </c>
      <c r="P80">
        <v>2</v>
      </c>
      <c r="Q80" s="2">
        <f>Ventas[[#This Row],[precio_base]]*Ventas[[#This Row],[cantidad]]</f>
        <v>19.989999999999998</v>
      </c>
      <c r="R80" s="2">
        <f>Ventas[[#This Row],[Total bruto (antes de descuento)]]-Ventas[[#This Row],[total_venta]]</f>
        <v>1</v>
      </c>
    </row>
    <row r="81" spans="1:18" x14ac:dyDescent="0.25">
      <c r="A81" t="s">
        <v>173</v>
      </c>
      <c r="B81" s="1">
        <v>45592</v>
      </c>
      <c r="C81" t="s">
        <v>56</v>
      </c>
      <c r="D81" t="s">
        <v>18</v>
      </c>
      <c r="E81">
        <v>1</v>
      </c>
      <c r="F81" s="2">
        <v>89.99</v>
      </c>
      <c r="G81">
        <v>20</v>
      </c>
      <c r="H81" s="2">
        <v>71.989999999999995</v>
      </c>
      <c r="I81" s="2">
        <v>71.989999999999995</v>
      </c>
      <c r="J81" t="s">
        <v>19</v>
      </c>
      <c r="K81" t="s">
        <v>20</v>
      </c>
      <c r="L81" t="s">
        <v>21</v>
      </c>
      <c r="M81" t="s">
        <v>22</v>
      </c>
      <c r="N81" t="s">
        <v>23</v>
      </c>
      <c r="O81" t="s">
        <v>24</v>
      </c>
      <c r="P81">
        <v>2</v>
      </c>
      <c r="Q81" s="2">
        <f>Ventas[[#This Row],[precio_base]]*Ventas[[#This Row],[cantidad]]</f>
        <v>89.99</v>
      </c>
      <c r="R81" s="2">
        <f>Ventas[[#This Row],[Total bruto (antes de descuento)]]-Ventas[[#This Row],[total_venta]]</f>
        <v>18</v>
      </c>
    </row>
    <row r="82" spans="1:18" x14ac:dyDescent="0.25">
      <c r="A82" t="s">
        <v>174</v>
      </c>
      <c r="B82" s="1">
        <v>45171</v>
      </c>
      <c r="C82" t="s">
        <v>78</v>
      </c>
      <c r="D82" t="s">
        <v>18</v>
      </c>
      <c r="E82">
        <v>4</v>
      </c>
      <c r="F82" s="2">
        <v>349.99</v>
      </c>
      <c r="G82">
        <v>15</v>
      </c>
      <c r="H82" s="2">
        <v>297.49</v>
      </c>
      <c r="I82" s="2">
        <v>1189.96</v>
      </c>
      <c r="J82" t="s">
        <v>19</v>
      </c>
      <c r="K82" t="s">
        <v>44</v>
      </c>
      <c r="L82" t="s">
        <v>21</v>
      </c>
      <c r="M82" t="s">
        <v>22</v>
      </c>
      <c r="N82" t="s">
        <v>23</v>
      </c>
      <c r="O82" t="s">
        <v>24</v>
      </c>
      <c r="P82">
        <v>3</v>
      </c>
      <c r="Q82" s="2">
        <f>Ventas[[#This Row],[precio_base]]*Ventas[[#This Row],[cantidad]]</f>
        <v>1399.96</v>
      </c>
      <c r="R82" s="2">
        <f>Ventas[[#This Row],[Total bruto (antes de descuento)]]-Ventas[[#This Row],[total_venta]]</f>
        <v>210</v>
      </c>
    </row>
    <row r="83" spans="1:18" x14ac:dyDescent="0.25">
      <c r="A83" t="s">
        <v>175</v>
      </c>
      <c r="B83" s="1">
        <v>45098</v>
      </c>
      <c r="C83" t="s">
        <v>156</v>
      </c>
      <c r="D83" t="s">
        <v>27</v>
      </c>
      <c r="E83">
        <v>5</v>
      </c>
      <c r="F83" s="2">
        <v>49.99</v>
      </c>
      <c r="G83">
        <v>15</v>
      </c>
      <c r="H83" s="2">
        <v>42.49</v>
      </c>
      <c r="I83" s="2">
        <v>212.45</v>
      </c>
      <c r="J83" t="s">
        <v>51</v>
      </c>
      <c r="K83" t="s">
        <v>52</v>
      </c>
      <c r="L83" t="s">
        <v>152</v>
      </c>
      <c r="M83" t="s">
        <v>39</v>
      </c>
      <c r="N83" t="s">
        <v>40</v>
      </c>
      <c r="O83" t="s">
        <v>35</v>
      </c>
      <c r="Q83" s="2">
        <f>Ventas[[#This Row],[precio_base]]*Ventas[[#This Row],[cantidad]]</f>
        <v>249.95000000000002</v>
      </c>
      <c r="R83" s="2">
        <f>Ventas[[#This Row],[Total bruto (antes de descuento)]]-Ventas[[#This Row],[total_venta]]</f>
        <v>37.500000000000028</v>
      </c>
    </row>
    <row r="84" spans="1:18" x14ac:dyDescent="0.25">
      <c r="A84" t="s">
        <v>176</v>
      </c>
      <c r="B84" s="1">
        <v>45037</v>
      </c>
      <c r="C84" t="s">
        <v>26</v>
      </c>
      <c r="D84" t="s">
        <v>27</v>
      </c>
      <c r="E84">
        <v>1</v>
      </c>
      <c r="F84" s="2">
        <v>399.99</v>
      </c>
      <c r="G84">
        <v>0</v>
      </c>
      <c r="H84" s="2">
        <v>399.99</v>
      </c>
      <c r="I84" s="2">
        <v>399.99</v>
      </c>
      <c r="J84" t="s">
        <v>19</v>
      </c>
      <c r="K84" t="s">
        <v>57</v>
      </c>
      <c r="L84" t="s">
        <v>45</v>
      </c>
      <c r="M84" t="s">
        <v>53</v>
      </c>
      <c r="N84" t="s">
        <v>54</v>
      </c>
      <c r="O84" t="s">
        <v>35</v>
      </c>
      <c r="P84">
        <v>2</v>
      </c>
      <c r="Q84" s="2">
        <f>Ventas[[#This Row],[precio_base]]*Ventas[[#This Row],[cantidad]]</f>
        <v>399.99</v>
      </c>
      <c r="R84" s="2">
        <f>Ventas[[#This Row],[Total bruto (antes de descuento)]]-Ventas[[#This Row],[total_venta]]</f>
        <v>0</v>
      </c>
    </row>
    <row r="85" spans="1:18" x14ac:dyDescent="0.25">
      <c r="A85" t="s">
        <v>177</v>
      </c>
      <c r="B85" s="1">
        <v>45004</v>
      </c>
      <c r="C85" t="s">
        <v>26</v>
      </c>
      <c r="D85" t="s">
        <v>27</v>
      </c>
      <c r="E85">
        <v>2</v>
      </c>
      <c r="F85" s="2">
        <v>399.99</v>
      </c>
      <c r="G85">
        <v>0</v>
      </c>
      <c r="H85" s="2">
        <v>399.99</v>
      </c>
      <c r="I85" s="2">
        <v>799.98</v>
      </c>
      <c r="J85" t="s">
        <v>51</v>
      </c>
      <c r="K85" t="s">
        <v>52</v>
      </c>
      <c r="L85" t="s">
        <v>28</v>
      </c>
      <c r="M85" t="s">
        <v>58</v>
      </c>
      <c r="N85" t="s">
        <v>59</v>
      </c>
      <c r="O85" t="s">
        <v>24</v>
      </c>
      <c r="Q85" s="2">
        <f>Ventas[[#This Row],[precio_base]]*Ventas[[#This Row],[cantidad]]</f>
        <v>799.98</v>
      </c>
      <c r="R85" s="2">
        <f>Ventas[[#This Row],[Total bruto (antes de descuento)]]-Ventas[[#This Row],[total_venta]]</f>
        <v>0</v>
      </c>
    </row>
    <row r="86" spans="1:18" x14ac:dyDescent="0.25">
      <c r="A86" t="s">
        <v>178</v>
      </c>
      <c r="B86" s="1">
        <v>45050</v>
      </c>
      <c r="C86" t="s">
        <v>70</v>
      </c>
      <c r="D86" t="s">
        <v>31</v>
      </c>
      <c r="E86">
        <v>5</v>
      </c>
      <c r="F86" s="2">
        <v>59.99</v>
      </c>
      <c r="G86">
        <v>20</v>
      </c>
      <c r="H86" s="2">
        <v>47.99</v>
      </c>
      <c r="I86" s="2">
        <v>239.95</v>
      </c>
      <c r="J86" t="s">
        <v>19</v>
      </c>
      <c r="K86" t="s">
        <v>20</v>
      </c>
      <c r="L86" t="s">
        <v>45</v>
      </c>
      <c r="M86" t="s">
        <v>65</v>
      </c>
      <c r="N86" t="s">
        <v>54</v>
      </c>
      <c r="O86" t="s">
        <v>35</v>
      </c>
      <c r="P86">
        <v>5</v>
      </c>
      <c r="Q86" s="2">
        <f>Ventas[[#This Row],[precio_base]]*Ventas[[#This Row],[cantidad]]</f>
        <v>299.95</v>
      </c>
      <c r="R86" s="2">
        <f>Ventas[[#This Row],[Total bruto (antes de descuento)]]-Ventas[[#This Row],[total_venta]]</f>
        <v>60</v>
      </c>
    </row>
    <row r="87" spans="1:18" x14ac:dyDescent="0.25">
      <c r="A87" t="s">
        <v>179</v>
      </c>
      <c r="B87" s="1">
        <v>45590</v>
      </c>
      <c r="C87" t="s">
        <v>141</v>
      </c>
      <c r="D87" t="s">
        <v>38</v>
      </c>
      <c r="E87">
        <v>1</v>
      </c>
      <c r="F87" s="2">
        <v>89.99</v>
      </c>
      <c r="G87">
        <v>20</v>
      </c>
      <c r="H87" s="2">
        <v>71.989999999999995</v>
      </c>
      <c r="I87" s="2">
        <v>71.989999999999995</v>
      </c>
      <c r="J87" t="s">
        <v>19</v>
      </c>
      <c r="K87" t="s">
        <v>20</v>
      </c>
      <c r="L87" t="s">
        <v>152</v>
      </c>
      <c r="M87" t="s">
        <v>101</v>
      </c>
      <c r="N87" t="s">
        <v>102</v>
      </c>
      <c r="O87" t="s">
        <v>35</v>
      </c>
      <c r="P87">
        <v>4</v>
      </c>
      <c r="Q87" s="2">
        <f>Ventas[[#This Row],[precio_base]]*Ventas[[#This Row],[cantidad]]</f>
        <v>89.99</v>
      </c>
      <c r="R87" s="2">
        <f>Ventas[[#This Row],[Total bruto (antes de descuento)]]-Ventas[[#This Row],[total_venta]]</f>
        <v>18</v>
      </c>
    </row>
    <row r="88" spans="1:18" x14ac:dyDescent="0.25">
      <c r="A88" t="s">
        <v>180</v>
      </c>
      <c r="B88" s="1">
        <v>45651</v>
      </c>
      <c r="C88" t="s">
        <v>78</v>
      </c>
      <c r="D88" t="s">
        <v>18</v>
      </c>
      <c r="E88">
        <v>4</v>
      </c>
      <c r="F88" s="2">
        <v>349.99</v>
      </c>
      <c r="G88">
        <v>0</v>
      </c>
      <c r="H88" s="2">
        <v>349.99</v>
      </c>
      <c r="I88" s="2">
        <v>1399.96</v>
      </c>
      <c r="J88" t="s">
        <v>51</v>
      </c>
      <c r="K88" t="s">
        <v>20</v>
      </c>
      <c r="L88" t="s">
        <v>32</v>
      </c>
      <c r="M88" t="s">
        <v>73</v>
      </c>
      <c r="N88" t="s">
        <v>74</v>
      </c>
      <c r="O88" t="s">
        <v>35</v>
      </c>
      <c r="Q88" s="2">
        <f>Ventas[[#This Row],[precio_base]]*Ventas[[#This Row],[cantidad]]</f>
        <v>1399.96</v>
      </c>
      <c r="R88" s="2">
        <f>Ventas[[#This Row],[Total bruto (antes de descuento)]]-Ventas[[#This Row],[total_venta]]</f>
        <v>0</v>
      </c>
    </row>
    <row r="89" spans="1:18" x14ac:dyDescent="0.25">
      <c r="A89" t="s">
        <v>181</v>
      </c>
      <c r="B89" s="1">
        <v>45478</v>
      </c>
      <c r="C89" t="s">
        <v>98</v>
      </c>
      <c r="D89" t="s">
        <v>31</v>
      </c>
      <c r="E89">
        <v>4</v>
      </c>
      <c r="F89" s="2">
        <v>99.99</v>
      </c>
      <c r="G89">
        <v>5</v>
      </c>
      <c r="H89" s="2">
        <v>94.99</v>
      </c>
      <c r="I89" s="2">
        <v>379.96</v>
      </c>
      <c r="J89" t="s">
        <v>19</v>
      </c>
      <c r="K89" t="s">
        <v>44</v>
      </c>
      <c r="L89" t="s">
        <v>21</v>
      </c>
      <c r="M89" t="s">
        <v>84</v>
      </c>
      <c r="N89" t="s">
        <v>85</v>
      </c>
      <c r="O89" t="s">
        <v>35</v>
      </c>
      <c r="P89">
        <v>2</v>
      </c>
      <c r="Q89" s="2">
        <f>Ventas[[#This Row],[precio_base]]*Ventas[[#This Row],[cantidad]]</f>
        <v>399.96</v>
      </c>
      <c r="R89" s="2">
        <f>Ventas[[#This Row],[Total bruto (antes de descuento)]]-Ventas[[#This Row],[total_venta]]</f>
        <v>20</v>
      </c>
    </row>
    <row r="90" spans="1:18" x14ac:dyDescent="0.25">
      <c r="A90" t="s">
        <v>182</v>
      </c>
      <c r="B90" s="1">
        <v>45015</v>
      </c>
      <c r="C90" t="s">
        <v>61</v>
      </c>
      <c r="D90" t="s">
        <v>38</v>
      </c>
      <c r="E90">
        <v>4</v>
      </c>
      <c r="F90" s="2">
        <v>19.989999999999998</v>
      </c>
      <c r="G90">
        <v>0</v>
      </c>
      <c r="H90" s="2">
        <v>19.989999999999998</v>
      </c>
      <c r="I90" s="2">
        <v>79.959999999999994</v>
      </c>
      <c r="J90" t="s">
        <v>51</v>
      </c>
      <c r="K90" t="s">
        <v>44</v>
      </c>
      <c r="L90" t="s">
        <v>45</v>
      </c>
      <c r="M90" t="s">
        <v>33</v>
      </c>
      <c r="N90" t="s">
        <v>34</v>
      </c>
      <c r="O90" t="s">
        <v>35</v>
      </c>
      <c r="Q90" s="2">
        <f>Ventas[[#This Row],[precio_base]]*Ventas[[#This Row],[cantidad]]</f>
        <v>79.959999999999994</v>
      </c>
      <c r="R90" s="2">
        <f>Ventas[[#This Row],[Total bruto (antes de descuento)]]-Ventas[[#This Row],[total_venta]]</f>
        <v>0</v>
      </c>
    </row>
    <row r="91" spans="1:18" x14ac:dyDescent="0.25">
      <c r="A91" t="s">
        <v>183</v>
      </c>
      <c r="B91" s="1">
        <v>44956</v>
      </c>
      <c r="C91" t="s">
        <v>92</v>
      </c>
      <c r="D91" t="s">
        <v>27</v>
      </c>
      <c r="E91">
        <v>3</v>
      </c>
      <c r="F91" s="2">
        <v>79.989999999999995</v>
      </c>
      <c r="G91">
        <v>0</v>
      </c>
      <c r="H91" s="2">
        <v>79.989999999999995</v>
      </c>
      <c r="I91" s="2">
        <v>239.97</v>
      </c>
      <c r="J91" t="s">
        <v>19</v>
      </c>
      <c r="K91" t="s">
        <v>52</v>
      </c>
      <c r="L91" t="s">
        <v>21</v>
      </c>
      <c r="M91" t="s">
        <v>123</v>
      </c>
      <c r="N91" t="s">
        <v>124</v>
      </c>
      <c r="O91" t="s">
        <v>24</v>
      </c>
      <c r="P91">
        <v>5</v>
      </c>
      <c r="Q91" s="2">
        <f>Ventas[[#This Row],[precio_base]]*Ventas[[#This Row],[cantidad]]</f>
        <v>239.96999999999997</v>
      </c>
      <c r="R91" s="2">
        <f>Ventas[[#This Row],[Total bruto (antes de descuento)]]-Ventas[[#This Row],[total_venta]]</f>
        <v>0</v>
      </c>
    </row>
    <row r="92" spans="1:18" x14ac:dyDescent="0.25">
      <c r="A92" t="s">
        <v>184</v>
      </c>
      <c r="B92" s="1">
        <v>45645</v>
      </c>
      <c r="C92" t="s">
        <v>130</v>
      </c>
      <c r="D92" t="s">
        <v>43</v>
      </c>
      <c r="E92">
        <v>3</v>
      </c>
      <c r="F92" s="2">
        <v>24.99</v>
      </c>
      <c r="G92">
        <v>10</v>
      </c>
      <c r="H92" s="2">
        <v>22.49</v>
      </c>
      <c r="I92" s="2">
        <v>67.47</v>
      </c>
      <c r="J92" t="s">
        <v>19</v>
      </c>
      <c r="K92" t="s">
        <v>20</v>
      </c>
      <c r="L92" t="s">
        <v>28</v>
      </c>
      <c r="M92" t="s">
        <v>22</v>
      </c>
      <c r="N92" t="s">
        <v>23</v>
      </c>
      <c r="O92" t="s">
        <v>24</v>
      </c>
      <c r="P92">
        <v>4</v>
      </c>
      <c r="Q92" s="2">
        <f>Ventas[[#This Row],[precio_base]]*Ventas[[#This Row],[cantidad]]</f>
        <v>74.97</v>
      </c>
      <c r="R92" s="2">
        <f>Ventas[[#This Row],[Total bruto (antes de descuento)]]-Ventas[[#This Row],[total_venta]]</f>
        <v>7.5</v>
      </c>
    </row>
    <row r="93" spans="1:18" x14ac:dyDescent="0.25">
      <c r="A93" t="s">
        <v>185</v>
      </c>
      <c r="B93" s="1">
        <v>45495</v>
      </c>
      <c r="C93" t="s">
        <v>98</v>
      </c>
      <c r="D93" t="s">
        <v>31</v>
      </c>
      <c r="E93">
        <v>2</v>
      </c>
      <c r="F93" s="2">
        <v>99.99</v>
      </c>
      <c r="G93">
        <v>15</v>
      </c>
      <c r="H93" s="2">
        <v>84.99</v>
      </c>
      <c r="I93" s="2">
        <v>169.98</v>
      </c>
      <c r="J93" t="s">
        <v>19</v>
      </c>
      <c r="K93" t="s">
        <v>44</v>
      </c>
      <c r="L93" t="s">
        <v>28</v>
      </c>
      <c r="M93" t="s">
        <v>84</v>
      </c>
      <c r="N93" t="s">
        <v>85</v>
      </c>
      <c r="O93" t="s">
        <v>35</v>
      </c>
      <c r="P93">
        <v>1</v>
      </c>
      <c r="Q93" s="2">
        <f>Ventas[[#This Row],[precio_base]]*Ventas[[#This Row],[cantidad]]</f>
        <v>199.98</v>
      </c>
      <c r="R93" s="2">
        <f>Ventas[[#This Row],[Total bruto (antes de descuento)]]-Ventas[[#This Row],[total_venta]]</f>
        <v>30</v>
      </c>
    </row>
    <row r="94" spans="1:18" x14ac:dyDescent="0.25">
      <c r="A94" t="s">
        <v>186</v>
      </c>
      <c r="B94" s="1">
        <v>45228</v>
      </c>
      <c r="C94" t="s">
        <v>163</v>
      </c>
      <c r="D94" t="s">
        <v>18</v>
      </c>
      <c r="E94">
        <v>4</v>
      </c>
      <c r="F94" s="2">
        <v>499.99</v>
      </c>
      <c r="G94">
        <v>15</v>
      </c>
      <c r="H94" s="2">
        <v>424.99</v>
      </c>
      <c r="I94" s="2">
        <v>1699.96</v>
      </c>
      <c r="J94" t="s">
        <v>19</v>
      </c>
      <c r="K94" t="s">
        <v>44</v>
      </c>
      <c r="L94" t="s">
        <v>45</v>
      </c>
      <c r="M94" t="s">
        <v>73</v>
      </c>
      <c r="N94" t="s">
        <v>74</v>
      </c>
      <c r="O94" t="s">
        <v>35</v>
      </c>
      <c r="P94">
        <v>5</v>
      </c>
      <c r="Q94" s="2">
        <f>Ventas[[#This Row],[precio_base]]*Ventas[[#This Row],[cantidad]]</f>
        <v>1999.96</v>
      </c>
      <c r="R94" s="2">
        <f>Ventas[[#This Row],[Total bruto (antes de descuento)]]-Ventas[[#This Row],[total_venta]]</f>
        <v>300</v>
      </c>
    </row>
    <row r="95" spans="1:18" x14ac:dyDescent="0.25">
      <c r="A95" t="s">
        <v>187</v>
      </c>
      <c r="B95" s="1">
        <v>45279</v>
      </c>
      <c r="C95" t="s">
        <v>37</v>
      </c>
      <c r="D95" t="s">
        <v>38</v>
      </c>
      <c r="E95">
        <v>5</v>
      </c>
      <c r="F95" s="2">
        <v>34.99</v>
      </c>
      <c r="G95">
        <v>0</v>
      </c>
      <c r="H95" s="2">
        <v>34.99</v>
      </c>
      <c r="I95" s="2">
        <v>174.95</v>
      </c>
      <c r="J95" t="s">
        <v>19</v>
      </c>
      <c r="K95" t="s">
        <v>20</v>
      </c>
      <c r="L95" t="s">
        <v>21</v>
      </c>
      <c r="M95" t="s">
        <v>101</v>
      </c>
      <c r="N95" t="s">
        <v>102</v>
      </c>
      <c r="O95" t="s">
        <v>35</v>
      </c>
      <c r="P95">
        <v>1</v>
      </c>
      <c r="Q95" s="2">
        <f>Ventas[[#This Row],[precio_base]]*Ventas[[#This Row],[cantidad]]</f>
        <v>174.95000000000002</v>
      </c>
      <c r="R95" s="2">
        <f>Ventas[[#This Row],[Total bruto (antes de descuento)]]-Ventas[[#This Row],[total_venta]]</f>
        <v>0</v>
      </c>
    </row>
    <row r="96" spans="1:18" x14ac:dyDescent="0.25">
      <c r="A96" t="s">
        <v>188</v>
      </c>
      <c r="B96" s="1">
        <v>45124</v>
      </c>
      <c r="C96" t="s">
        <v>141</v>
      </c>
      <c r="D96" t="s">
        <v>38</v>
      </c>
      <c r="E96">
        <v>1</v>
      </c>
      <c r="F96" s="2">
        <v>89.99</v>
      </c>
      <c r="G96">
        <v>15</v>
      </c>
      <c r="H96" s="2">
        <v>76.489999999999995</v>
      </c>
      <c r="I96" s="2">
        <v>76.489999999999995</v>
      </c>
      <c r="J96" t="s">
        <v>19</v>
      </c>
      <c r="K96" t="s">
        <v>44</v>
      </c>
      <c r="L96" t="s">
        <v>21</v>
      </c>
      <c r="M96" t="s">
        <v>39</v>
      </c>
      <c r="N96" t="s">
        <v>40</v>
      </c>
      <c r="O96" t="s">
        <v>35</v>
      </c>
      <c r="P96">
        <v>4</v>
      </c>
      <c r="Q96" s="2">
        <f>Ventas[[#This Row],[precio_base]]*Ventas[[#This Row],[cantidad]]</f>
        <v>89.99</v>
      </c>
      <c r="R96" s="2">
        <f>Ventas[[#This Row],[Total bruto (antes de descuento)]]-Ventas[[#This Row],[total_venta]]</f>
        <v>13.5</v>
      </c>
    </row>
    <row r="97" spans="1:18" x14ac:dyDescent="0.25">
      <c r="A97" t="s">
        <v>189</v>
      </c>
      <c r="B97" s="1">
        <v>45210</v>
      </c>
      <c r="C97" t="s">
        <v>76</v>
      </c>
      <c r="D97" t="s">
        <v>31</v>
      </c>
      <c r="E97">
        <v>5</v>
      </c>
      <c r="F97" s="2">
        <v>69.989999999999995</v>
      </c>
      <c r="G97">
        <v>20</v>
      </c>
      <c r="H97" s="2">
        <v>55.99</v>
      </c>
      <c r="I97" s="2">
        <v>279.95</v>
      </c>
      <c r="J97" t="s">
        <v>19</v>
      </c>
      <c r="K97" t="s">
        <v>57</v>
      </c>
      <c r="L97" t="s">
        <v>32</v>
      </c>
      <c r="M97" t="s">
        <v>58</v>
      </c>
      <c r="N97" t="s">
        <v>59</v>
      </c>
      <c r="O97" t="s">
        <v>24</v>
      </c>
      <c r="P97">
        <v>3</v>
      </c>
      <c r="Q97" s="2">
        <f>Ventas[[#This Row],[precio_base]]*Ventas[[#This Row],[cantidad]]</f>
        <v>349.95</v>
      </c>
      <c r="R97" s="2">
        <f>Ventas[[#This Row],[Total bruto (antes de descuento)]]-Ventas[[#This Row],[total_venta]]</f>
        <v>70</v>
      </c>
    </row>
    <row r="98" spans="1:18" x14ac:dyDescent="0.25">
      <c r="A98" t="s">
        <v>190</v>
      </c>
      <c r="B98" s="1">
        <v>45159</v>
      </c>
      <c r="C98" t="s">
        <v>89</v>
      </c>
      <c r="D98" t="s">
        <v>38</v>
      </c>
      <c r="E98">
        <v>2</v>
      </c>
      <c r="F98" s="2">
        <v>69.989999999999995</v>
      </c>
      <c r="G98">
        <v>0</v>
      </c>
      <c r="H98" s="2">
        <v>69.989999999999995</v>
      </c>
      <c r="I98" s="2">
        <v>139.97999999999999</v>
      </c>
      <c r="J98" t="s">
        <v>19</v>
      </c>
      <c r="K98" t="s">
        <v>20</v>
      </c>
      <c r="L98" t="s">
        <v>21</v>
      </c>
      <c r="M98" t="s">
        <v>65</v>
      </c>
      <c r="N98" t="s">
        <v>54</v>
      </c>
      <c r="O98" t="s">
        <v>35</v>
      </c>
      <c r="P98">
        <v>1</v>
      </c>
      <c r="Q98" s="2">
        <f>Ventas[[#This Row],[precio_base]]*Ventas[[#This Row],[cantidad]]</f>
        <v>139.97999999999999</v>
      </c>
      <c r="R98" s="2">
        <f>Ventas[[#This Row],[Total bruto (antes de descuento)]]-Ventas[[#This Row],[total_venta]]</f>
        <v>0</v>
      </c>
    </row>
    <row r="99" spans="1:18" x14ac:dyDescent="0.25">
      <c r="A99" t="s">
        <v>191</v>
      </c>
      <c r="B99" s="1">
        <v>45493</v>
      </c>
      <c r="C99" t="s">
        <v>83</v>
      </c>
      <c r="D99" t="s">
        <v>38</v>
      </c>
      <c r="E99">
        <v>2</v>
      </c>
      <c r="F99" s="2">
        <v>49.99</v>
      </c>
      <c r="G99">
        <v>15</v>
      </c>
      <c r="H99" s="2">
        <v>42.49</v>
      </c>
      <c r="I99" s="2">
        <v>84.98</v>
      </c>
      <c r="J99" t="s">
        <v>62</v>
      </c>
      <c r="K99" t="s">
        <v>20</v>
      </c>
      <c r="L99" t="s">
        <v>21</v>
      </c>
      <c r="M99" t="s">
        <v>101</v>
      </c>
      <c r="N99" t="s">
        <v>102</v>
      </c>
      <c r="O99" t="s">
        <v>35</v>
      </c>
      <c r="Q99" s="2">
        <f>Ventas[[#This Row],[precio_base]]*Ventas[[#This Row],[cantidad]]</f>
        <v>99.98</v>
      </c>
      <c r="R99" s="2">
        <f>Ventas[[#This Row],[Total bruto (antes de descuento)]]-Ventas[[#This Row],[total_venta]]</f>
        <v>15</v>
      </c>
    </row>
    <row r="100" spans="1:18" x14ac:dyDescent="0.25">
      <c r="A100" t="s">
        <v>192</v>
      </c>
      <c r="B100" s="1">
        <v>45218</v>
      </c>
      <c r="C100" t="s">
        <v>92</v>
      </c>
      <c r="D100" t="s">
        <v>27</v>
      </c>
      <c r="E100">
        <v>4</v>
      </c>
      <c r="F100" s="2">
        <v>79.989999999999995</v>
      </c>
      <c r="G100">
        <v>5</v>
      </c>
      <c r="H100" s="2">
        <v>75.989999999999995</v>
      </c>
      <c r="I100" s="2">
        <v>303.95999999999998</v>
      </c>
      <c r="J100" t="s">
        <v>19</v>
      </c>
      <c r="K100" t="s">
        <v>20</v>
      </c>
      <c r="L100" t="s">
        <v>32</v>
      </c>
      <c r="M100" t="s">
        <v>46</v>
      </c>
      <c r="N100" t="s">
        <v>47</v>
      </c>
      <c r="O100" t="s">
        <v>48</v>
      </c>
      <c r="P100">
        <v>1</v>
      </c>
      <c r="Q100" s="2">
        <f>Ventas[[#This Row],[precio_base]]*Ventas[[#This Row],[cantidad]]</f>
        <v>319.95999999999998</v>
      </c>
      <c r="R100" s="2">
        <f>Ventas[[#This Row],[Total bruto (antes de descuento)]]-Ventas[[#This Row],[total_venta]]</f>
        <v>16</v>
      </c>
    </row>
    <row r="101" spans="1:18" x14ac:dyDescent="0.25">
      <c r="A101" t="s">
        <v>193</v>
      </c>
      <c r="B101" s="1">
        <v>44993</v>
      </c>
      <c r="C101" t="s">
        <v>109</v>
      </c>
      <c r="D101" t="s">
        <v>38</v>
      </c>
      <c r="E101">
        <v>4</v>
      </c>
      <c r="F101" s="2">
        <v>39.99</v>
      </c>
      <c r="G101">
        <v>0</v>
      </c>
      <c r="H101" s="2">
        <v>39.99</v>
      </c>
      <c r="I101" s="2">
        <v>159.96</v>
      </c>
      <c r="J101" t="s">
        <v>19</v>
      </c>
      <c r="K101" t="s">
        <v>20</v>
      </c>
      <c r="L101" t="s">
        <v>21</v>
      </c>
      <c r="M101" t="s">
        <v>73</v>
      </c>
      <c r="N101" t="s">
        <v>74</v>
      </c>
      <c r="O101" t="s">
        <v>35</v>
      </c>
      <c r="P101">
        <v>5</v>
      </c>
      <c r="Q101" s="2">
        <f>Ventas[[#This Row],[precio_base]]*Ventas[[#This Row],[cantidad]]</f>
        <v>159.96</v>
      </c>
      <c r="R101" s="2">
        <f>Ventas[[#This Row],[Total bruto (antes de descuento)]]-Ventas[[#This Row],[total_venta]]</f>
        <v>0</v>
      </c>
    </row>
    <row r="102" spans="1:18" x14ac:dyDescent="0.25">
      <c r="A102" t="s">
        <v>194</v>
      </c>
      <c r="B102" s="1">
        <v>45238</v>
      </c>
      <c r="C102" t="s">
        <v>56</v>
      </c>
      <c r="D102" t="s">
        <v>18</v>
      </c>
      <c r="E102">
        <v>2</v>
      </c>
      <c r="F102" s="2">
        <v>89.99</v>
      </c>
      <c r="G102">
        <v>0</v>
      </c>
      <c r="H102" s="2">
        <v>89.99</v>
      </c>
      <c r="I102" s="2">
        <v>179.98</v>
      </c>
      <c r="J102" t="s">
        <v>19</v>
      </c>
      <c r="K102" t="s">
        <v>44</v>
      </c>
      <c r="L102" t="s">
        <v>28</v>
      </c>
      <c r="M102" t="s">
        <v>120</v>
      </c>
      <c r="N102" t="s">
        <v>23</v>
      </c>
      <c r="O102" t="s">
        <v>24</v>
      </c>
      <c r="P102">
        <v>2</v>
      </c>
      <c r="Q102" s="2">
        <f>Ventas[[#This Row],[precio_base]]*Ventas[[#This Row],[cantidad]]</f>
        <v>179.98</v>
      </c>
      <c r="R102" s="2">
        <f>Ventas[[#This Row],[Total bruto (antes de descuento)]]-Ventas[[#This Row],[total_venta]]</f>
        <v>0</v>
      </c>
    </row>
    <row r="103" spans="1:18" x14ac:dyDescent="0.25">
      <c r="A103" t="s">
        <v>195</v>
      </c>
      <c r="B103" s="1">
        <v>45462</v>
      </c>
      <c r="C103" t="s">
        <v>109</v>
      </c>
      <c r="D103" t="s">
        <v>38</v>
      </c>
      <c r="E103">
        <v>4</v>
      </c>
      <c r="F103" s="2">
        <v>39.99</v>
      </c>
      <c r="G103">
        <v>5</v>
      </c>
      <c r="H103" s="2">
        <v>37.99</v>
      </c>
      <c r="I103" s="2">
        <v>151.96</v>
      </c>
      <c r="J103" t="s">
        <v>19</v>
      </c>
      <c r="K103" t="s">
        <v>57</v>
      </c>
      <c r="L103" t="s">
        <v>21</v>
      </c>
      <c r="M103" t="s">
        <v>33</v>
      </c>
      <c r="N103" t="s">
        <v>34</v>
      </c>
      <c r="O103" t="s">
        <v>35</v>
      </c>
      <c r="P103">
        <v>5</v>
      </c>
      <c r="Q103" s="2">
        <f>Ventas[[#This Row],[precio_base]]*Ventas[[#This Row],[cantidad]]</f>
        <v>159.96</v>
      </c>
      <c r="R103" s="2">
        <f>Ventas[[#This Row],[Total bruto (antes de descuento)]]-Ventas[[#This Row],[total_venta]]</f>
        <v>8</v>
      </c>
    </row>
    <row r="104" spans="1:18" x14ac:dyDescent="0.25">
      <c r="A104" t="s">
        <v>196</v>
      </c>
      <c r="B104" s="1">
        <v>44988</v>
      </c>
      <c r="C104" t="s">
        <v>156</v>
      </c>
      <c r="D104" t="s">
        <v>27</v>
      </c>
      <c r="E104">
        <v>1</v>
      </c>
      <c r="F104" s="2">
        <v>49.99</v>
      </c>
      <c r="G104">
        <v>20</v>
      </c>
      <c r="H104" s="2">
        <v>39.99</v>
      </c>
      <c r="I104" s="2">
        <v>39.99</v>
      </c>
      <c r="J104" t="s">
        <v>19</v>
      </c>
      <c r="K104" t="s">
        <v>20</v>
      </c>
      <c r="L104" t="s">
        <v>21</v>
      </c>
      <c r="M104" t="s">
        <v>22</v>
      </c>
      <c r="N104" t="s">
        <v>23</v>
      </c>
      <c r="O104" t="s">
        <v>24</v>
      </c>
      <c r="P104">
        <v>2</v>
      </c>
      <c r="Q104" s="2">
        <f>Ventas[[#This Row],[precio_base]]*Ventas[[#This Row],[cantidad]]</f>
        <v>49.99</v>
      </c>
      <c r="R104" s="2">
        <f>Ventas[[#This Row],[Total bruto (antes de descuento)]]-Ventas[[#This Row],[total_venta]]</f>
        <v>10</v>
      </c>
    </row>
    <row r="105" spans="1:18" x14ac:dyDescent="0.25">
      <c r="A105" t="s">
        <v>197</v>
      </c>
      <c r="B105" s="1">
        <v>45104</v>
      </c>
      <c r="C105" t="s">
        <v>50</v>
      </c>
      <c r="D105" t="s">
        <v>27</v>
      </c>
      <c r="E105">
        <v>1</v>
      </c>
      <c r="F105" s="2">
        <v>149.99</v>
      </c>
      <c r="G105">
        <v>0</v>
      </c>
      <c r="H105" s="2">
        <v>149.99</v>
      </c>
      <c r="I105" s="2">
        <v>149.99</v>
      </c>
      <c r="J105" t="s">
        <v>19</v>
      </c>
      <c r="K105" t="s">
        <v>44</v>
      </c>
      <c r="L105" t="s">
        <v>45</v>
      </c>
      <c r="M105" t="s">
        <v>101</v>
      </c>
      <c r="N105" t="s">
        <v>102</v>
      </c>
      <c r="O105" t="s">
        <v>35</v>
      </c>
      <c r="P105">
        <v>1</v>
      </c>
      <c r="Q105" s="2">
        <f>Ventas[[#This Row],[precio_base]]*Ventas[[#This Row],[cantidad]]</f>
        <v>149.99</v>
      </c>
      <c r="R105" s="2">
        <f>Ventas[[#This Row],[Total bruto (antes de descuento)]]-Ventas[[#This Row],[total_venta]]</f>
        <v>0</v>
      </c>
    </row>
    <row r="106" spans="1:18" x14ac:dyDescent="0.25">
      <c r="A106" t="s">
        <v>198</v>
      </c>
      <c r="B106" s="1">
        <v>45164</v>
      </c>
      <c r="C106" t="s">
        <v>83</v>
      </c>
      <c r="D106" t="s">
        <v>38</v>
      </c>
      <c r="E106">
        <v>3</v>
      </c>
      <c r="F106" s="2">
        <v>49.99</v>
      </c>
      <c r="G106">
        <v>15</v>
      </c>
      <c r="H106" s="2">
        <v>42.49</v>
      </c>
      <c r="I106" s="2">
        <v>127.47</v>
      </c>
      <c r="J106" t="s">
        <v>62</v>
      </c>
      <c r="K106" t="s">
        <v>44</v>
      </c>
      <c r="L106" t="s">
        <v>152</v>
      </c>
      <c r="M106" t="s">
        <v>95</v>
      </c>
      <c r="N106" t="s">
        <v>96</v>
      </c>
      <c r="O106" t="s">
        <v>48</v>
      </c>
      <c r="Q106" s="2">
        <f>Ventas[[#This Row],[precio_base]]*Ventas[[#This Row],[cantidad]]</f>
        <v>149.97</v>
      </c>
      <c r="R106" s="2">
        <f>Ventas[[#This Row],[Total bruto (antes de descuento)]]-Ventas[[#This Row],[total_venta]]</f>
        <v>22.5</v>
      </c>
    </row>
    <row r="107" spans="1:18" x14ac:dyDescent="0.25">
      <c r="A107" t="s">
        <v>199</v>
      </c>
      <c r="B107" s="1">
        <v>45567</v>
      </c>
      <c r="C107" t="s">
        <v>26</v>
      </c>
      <c r="D107" t="s">
        <v>27</v>
      </c>
      <c r="E107">
        <v>2</v>
      </c>
      <c r="F107" s="2">
        <v>399.99</v>
      </c>
      <c r="G107">
        <v>5</v>
      </c>
      <c r="H107" s="2">
        <v>379.99</v>
      </c>
      <c r="I107" s="2">
        <v>759.98</v>
      </c>
      <c r="J107" t="s">
        <v>19</v>
      </c>
      <c r="K107" t="s">
        <v>44</v>
      </c>
      <c r="L107" t="s">
        <v>152</v>
      </c>
      <c r="M107" t="s">
        <v>22</v>
      </c>
      <c r="N107" t="s">
        <v>23</v>
      </c>
      <c r="O107" t="s">
        <v>24</v>
      </c>
      <c r="P107">
        <v>2</v>
      </c>
      <c r="Q107" s="2">
        <f>Ventas[[#This Row],[precio_base]]*Ventas[[#This Row],[cantidad]]</f>
        <v>799.98</v>
      </c>
      <c r="R107" s="2">
        <f>Ventas[[#This Row],[Total bruto (antes de descuento)]]-Ventas[[#This Row],[total_venta]]</f>
        <v>40</v>
      </c>
    </row>
    <row r="108" spans="1:18" x14ac:dyDescent="0.25">
      <c r="A108" t="s">
        <v>200</v>
      </c>
      <c r="B108" s="1">
        <v>45000</v>
      </c>
      <c r="C108" t="s">
        <v>94</v>
      </c>
      <c r="D108" t="s">
        <v>18</v>
      </c>
      <c r="E108">
        <v>2</v>
      </c>
      <c r="F108" s="2">
        <v>899.99</v>
      </c>
      <c r="G108">
        <v>20</v>
      </c>
      <c r="H108" s="2">
        <v>719.99</v>
      </c>
      <c r="I108" s="2">
        <v>1439.98</v>
      </c>
      <c r="J108" t="s">
        <v>19</v>
      </c>
      <c r="K108" t="s">
        <v>52</v>
      </c>
      <c r="L108" t="s">
        <v>152</v>
      </c>
      <c r="M108" t="s">
        <v>84</v>
      </c>
      <c r="N108" t="s">
        <v>85</v>
      </c>
      <c r="O108" t="s">
        <v>35</v>
      </c>
      <c r="P108">
        <v>4</v>
      </c>
      <c r="Q108" s="2">
        <f>Ventas[[#This Row],[precio_base]]*Ventas[[#This Row],[cantidad]]</f>
        <v>1799.98</v>
      </c>
      <c r="R108" s="2">
        <f>Ventas[[#This Row],[Total bruto (antes de descuento)]]-Ventas[[#This Row],[total_venta]]</f>
        <v>360</v>
      </c>
    </row>
    <row r="109" spans="1:18" x14ac:dyDescent="0.25">
      <c r="A109" t="s">
        <v>201</v>
      </c>
      <c r="B109" s="1">
        <v>45054</v>
      </c>
      <c r="C109" t="s">
        <v>151</v>
      </c>
      <c r="D109" t="s">
        <v>27</v>
      </c>
      <c r="E109">
        <v>3</v>
      </c>
      <c r="F109" s="2">
        <v>599.99</v>
      </c>
      <c r="G109">
        <v>15</v>
      </c>
      <c r="H109" s="2">
        <v>509.99</v>
      </c>
      <c r="I109" s="2">
        <v>1529.97</v>
      </c>
      <c r="J109" t="s">
        <v>19</v>
      </c>
      <c r="K109" t="s">
        <v>44</v>
      </c>
      <c r="L109" t="s">
        <v>45</v>
      </c>
      <c r="M109" t="s">
        <v>58</v>
      </c>
      <c r="N109" t="s">
        <v>59</v>
      </c>
      <c r="O109" t="s">
        <v>24</v>
      </c>
      <c r="P109">
        <v>1</v>
      </c>
      <c r="Q109" s="2">
        <f>Ventas[[#This Row],[precio_base]]*Ventas[[#This Row],[cantidad]]</f>
        <v>1799.97</v>
      </c>
      <c r="R109" s="2">
        <f>Ventas[[#This Row],[Total bruto (antes de descuento)]]-Ventas[[#This Row],[total_venta]]</f>
        <v>270</v>
      </c>
    </row>
    <row r="110" spans="1:18" x14ac:dyDescent="0.25">
      <c r="A110" t="s">
        <v>202</v>
      </c>
      <c r="B110" s="1">
        <v>45539</v>
      </c>
      <c r="C110" t="s">
        <v>94</v>
      </c>
      <c r="D110" t="s">
        <v>18</v>
      </c>
      <c r="E110">
        <v>4</v>
      </c>
      <c r="F110" s="2">
        <v>899.99</v>
      </c>
      <c r="G110">
        <v>15</v>
      </c>
      <c r="H110" s="2">
        <v>764.99</v>
      </c>
      <c r="I110" s="2">
        <v>3059.96</v>
      </c>
      <c r="J110" t="s">
        <v>19</v>
      </c>
      <c r="K110" t="s">
        <v>20</v>
      </c>
      <c r="L110" t="s">
        <v>21</v>
      </c>
      <c r="M110" t="s">
        <v>58</v>
      </c>
      <c r="N110" t="s">
        <v>59</v>
      </c>
      <c r="O110" t="s">
        <v>24</v>
      </c>
      <c r="P110">
        <v>5</v>
      </c>
      <c r="Q110" s="2">
        <f>Ventas[[#This Row],[precio_base]]*Ventas[[#This Row],[cantidad]]</f>
        <v>3599.96</v>
      </c>
      <c r="R110" s="2">
        <f>Ventas[[#This Row],[Total bruto (antes de descuento)]]-Ventas[[#This Row],[total_venta]]</f>
        <v>540</v>
      </c>
    </row>
    <row r="111" spans="1:18" x14ac:dyDescent="0.25">
      <c r="A111" t="s">
        <v>203</v>
      </c>
      <c r="B111" s="1">
        <v>45528</v>
      </c>
      <c r="C111" t="s">
        <v>104</v>
      </c>
      <c r="D111" t="s">
        <v>18</v>
      </c>
      <c r="E111">
        <v>3</v>
      </c>
      <c r="F111" s="2">
        <v>1199.99</v>
      </c>
      <c r="G111">
        <v>10</v>
      </c>
      <c r="H111" s="2">
        <v>1079.99</v>
      </c>
      <c r="I111" s="2">
        <v>3239.97</v>
      </c>
      <c r="J111" t="s">
        <v>19</v>
      </c>
      <c r="K111" t="s">
        <v>20</v>
      </c>
      <c r="L111" t="s">
        <v>45</v>
      </c>
      <c r="M111" t="s">
        <v>39</v>
      </c>
      <c r="N111" t="s">
        <v>40</v>
      </c>
      <c r="O111" t="s">
        <v>35</v>
      </c>
      <c r="P111">
        <v>4</v>
      </c>
      <c r="Q111" s="2">
        <f>Ventas[[#This Row],[precio_base]]*Ventas[[#This Row],[cantidad]]</f>
        <v>3599.9700000000003</v>
      </c>
      <c r="R111" s="2">
        <f>Ventas[[#This Row],[Total bruto (antes de descuento)]]-Ventas[[#This Row],[total_venta]]</f>
        <v>360.00000000000045</v>
      </c>
    </row>
    <row r="112" spans="1:18" x14ac:dyDescent="0.25">
      <c r="A112" t="s">
        <v>204</v>
      </c>
      <c r="B112" s="1">
        <v>45211</v>
      </c>
      <c r="C112" t="s">
        <v>205</v>
      </c>
      <c r="D112" t="s">
        <v>18</v>
      </c>
      <c r="E112">
        <v>5</v>
      </c>
      <c r="F112" s="2">
        <v>129.99</v>
      </c>
      <c r="G112">
        <v>5</v>
      </c>
      <c r="H112" s="2">
        <v>123.49</v>
      </c>
      <c r="I112" s="2">
        <v>617.45000000000005</v>
      </c>
      <c r="J112" t="s">
        <v>51</v>
      </c>
      <c r="K112" t="s">
        <v>57</v>
      </c>
      <c r="L112" t="s">
        <v>45</v>
      </c>
      <c r="M112" t="s">
        <v>101</v>
      </c>
      <c r="N112" t="s">
        <v>102</v>
      </c>
      <c r="O112" t="s">
        <v>35</v>
      </c>
      <c r="Q112" s="2">
        <f>Ventas[[#This Row],[precio_base]]*Ventas[[#This Row],[cantidad]]</f>
        <v>649.95000000000005</v>
      </c>
      <c r="R112" s="2">
        <f>Ventas[[#This Row],[Total bruto (antes de descuento)]]-Ventas[[#This Row],[total_venta]]</f>
        <v>32.5</v>
      </c>
    </row>
    <row r="113" spans="1:18" x14ac:dyDescent="0.25">
      <c r="A113" t="s">
        <v>206</v>
      </c>
      <c r="B113" s="1">
        <v>45345</v>
      </c>
      <c r="C113" t="s">
        <v>141</v>
      </c>
      <c r="D113" t="s">
        <v>38</v>
      </c>
      <c r="E113">
        <v>3</v>
      </c>
      <c r="F113" s="2">
        <v>89.99</v>
      </c>
      <c r="G113">
        <v>15</v>
      </c>
      <c r="H113" s="2">
        <v>76.489999999999995</v>
      </c>
      <c r="I113" s="2">
        <v>229.47</v>
      </c>
      <c r="J113" t="s">
        <v>19</v>
      </c>
      <c r="K113" t="s">
        <v>20</v>
      </c>
      <c r="L113" t="s">
        <v>28</v>
      </c>
      <c r="M113" t="s">
        <v>63</v>
      </c>
      <c r="N113" t="s">
        <v>34</v>
      </c>
      <c r="O113" t="s">
        <v>24</v>
      </c>
      <c r="P113">
        <v>3</v>
      </c>
      <c r="Q113" s="2">
        <f>Ventas[[#This Row],[precio_base]]*Ventas[[#This Row],[cantidad]]</f>
        <v>269.96999999999997</v>
      </c>
      <c r="R113" s="2">
        <f>Ventas[[#This Row],[Total bruto (antes de descuento)]]-Ventas[[#This Row],[total_venta]]</f>
        <v>40.499999999999972</v>
      </c>
    </row>
    <row r="114" spans="1:18" x14ac:dyDescent="0.25">
      <c r="A114" t="s">
        <v>207</v>
      </c>
      <c r="B114" s="1">
        <v>45605</v>
      </c>
      <c r="C114" t="s">
        <v>109</v>
      </c>
      <c r="D114" t="s">
        <v>38</v>
      </c>
      <c r="E114">
        <v>5</v>
      </c>
      <c r="F114" s="2">
        <v>39.99</v>
      </c>
      <c r="G114">
        <v>0</v>
      </c>
      <c r="H114" s="2">
        <v>39.99</v>
      </c>
      <c r="I114" s="2">
        <v>199.95</v>
      </c>
      <c r="J114" t="s">
        <v>19</v>
      </c>
      <c r="K114" t="s">
        <v>20</v>
      </c>
      <c r="L114" t="s">
        <v>21</v>
      </c>
      <c r="M114" t="s">
        <v>123</v>
      </c>
      <c r="N114" t="s">
        <v>124</v>
      </c>
      <c r="O114" t="s">
        <v>24</v>
      </c>
      <c r="P114">
        <v>4</v>
      </c>
      <c r="Q114" s="2">
        <f>Ventas[[#This Row],[precio_base]]*Ventas[[#This Row],[cantidad]]</f>
        <v>199.95000000000002</v>
      </c>
      <c r="R114" s="2">
        <f>Ventas[[#This Row],[Total bruto (antes de descuento)]]-Ventas[[#This Row],[total_venta]]</f>
        <v>0</v>
      </c>
    </row>
    <row r="115" spans="1:18" x14ac:dyDescent="0.25">
      <c r="A115" t="s">
        <v>208</v>
      </c>
      <c r="B115" s="1">
        <v>45453</v>
      </c>
      <c r="C115" t="s">
        <v>143</v>
      </c>
      <c r="D115" t="s">
        <v>43</v>
      </c>
      <c r="E115">
        <v>1</v>
      </c>
      <c r="F115" s="2">
        <v>34.99</v>
      </c>
      <c r="G115">
        <v>15</v>
      </c>
      <c r="H115" s="2">
        <v>29.74</v>
      </c>
      <c r="I115" s="2">
        <v>29.74</v>
      </c>
      <c r="J115" t="s">
        <v>62</v>
      </c>
      <c r="K115" t="s">
        <v>20</v>
      </c>
      <c r="L115" t="s">
        <v>21</v>
      </c>
      <c r="M115" t="s">
        <v>101</v>
      </c>
      <c r="N115" t="s">
        <v>102</v>
      </c>
      <c r="O115" t="s">
        <v>35</v>
      </c>
      <c r="Q115" s="2">
        <f>Ventas[[#This Row],[precio_base]]*Ventas[[#This Row],[cantidad]]</f>
        <v>34.99</v>
      </c>
      <c r="R115" s="2">
        <f>Ventas[[#This Row],[Total bruto (antes de descuento)]]-Ventas[[#This Row],[total_venta]]</f>
        <v>5.2500000000000036</v>
      </c>
    </row>
    <row r="116" spans="1:18" x14ac:dyDescent="0.25">
      <c r="A116" t="s">
        <v>209</v>
      </c>
      <c r="B116" s="1">
        <v>45297</v>
      </c>
      <c r="C116" t="s">
        <v>156</v>
      </c>
      <c r="D116" t="s">
        <v>27</v>
      </c>
      <c r="E116">
        <v>4</v>
      </c>
      <c r="F116" s="2">
        <v>49.99</v>
      </c>
      <c r="G116">
        <v>15</v>
      </c>
      <c r="H116" s="2">
        <v>42.49</v>
      </c>
      <c r="I116" s="2">
        <v>169.96</v>
      </c>
      <c r="J116" t="s">
        <v>19</v>
      </c>
      <c r="K116" t="s">
        <v>20</v>
      </c>
      <c r="L116" t="s">
        <v>45</v>
      </c>
      <c r="M116" t="s">
        <v>46</v>
      </c>
      <c r="N116" t="s">
        <v>47</v>
      </c>
      <c r="O116" t="s">
        <v>48</v>
      </c>
      <c r="P116">
        <v>3</v>
      </c>
      <c r="Q116" s="2">
        <f>Ventas[[#This Row],[precio_base]]*Ventas[[#This Row],[cantidad]]</f>
        <v>199.96</v>
      </c>
      <c r="R116" s="2">
        <f>Ventas[[#This Row],[Total bruto (antes de descuento)]]-Ventas[[#This Row],[total_venta]]</f>
        <v>30</v>
      </c>
    </row>
    <row r="117" spans="1:18" x14ac:dyDescent="0.25">
      <c r="A117" t="s">
        <v>210</v>
      </c>
      <c r="B117" s="1">
        <v>45375</v>
      </c>
      <c r="C117" t="s">
        <v>130</v>
      </c>
      <c r="D117" t="s">
        <v>43</v>
      </c>
      <c r="E117">
        <v>4</v>
      </c>
      <c r="F117" s="2">
        <v>24.99</v>
      </c>
      <c r="G117">
        <v>0</v>
      </c>
      <c r="H117" s="2">
        <v>24.99</v>
      </c>
      <c r="I117" s="2">
        <v>99.96</v>
      </c>
      <c r="J117" t="s">
        <v>19</v>
      </c>
      <c r="K117" t="s">
        <v>44</v>
      </c>
      <c r="L117" t="s">
        <v>21</v>
      </c>
      <c r="M117" t="s">
        <v>73</v>
      </c>
      <c r="N117" t="s">
        <v>74</v>
      </c>
      <c r="O117" t="s">
        <v>35</v>
      </c>
      <c r="P117">
        <v>2</v>
      </c>
      <c r="Q117" s="2">
        <f>Ventas[[#This Row],[precio_base]]*Ventas[[#This Row],[cantidad]]</f>
        <v>99.96</v>
      </c>
      <c r="R117" s="2">
        <f>Ventas[[#This Row],[Total bruto (antes de descuento)]]-Ventas[[#This Row],[total_venta]]</f>
        <v>0</v>
      </c>
    </row>
    <row r="118" spans="1:18" x14ac:dyDescent="0.25">
      <c r="A118" t="s">
        <v>211</v>
      </c>
      <c r="B118" s="1">
        <v>45245</v>
      </c>
      <c r="C118" t="s">
        <v>50</v>
      </c>
      <c r="D118" t="s">
        <v>27</v>
      </c>
      <c r="E118">
        <v>1</v>
      </c>
      <c r="F118" s="2">
        <v>149.99</v>
      </c>
      <c r="G118">
        <v>10</v>
      </c>
      <c r="H118" s="2">
        <v>134.99</v>
      </c>
      <c r="I118" s="2">
        <v>134.99</v>
      </c>
      <c r="J118" t="s">
        <v>19</v>
      </c>
      <c r="K118" t="s">
        <v>57</v>
      </c>
      <c r="L118" t="s">
        <v>152</v>
      </c>
      <c r="M118" t="s">
        <v>22</v>
      </c>
      <c r="N118" t="s">
        <v>23</v>
      </c>
      <c r="O118" t="s">
        <v>24</v>
      </c>
      <c r="P118">
        <v>4</v>
      </c>
      <c r="Q118" s="2">
        <f>Ventas[[#This Row],[precio_base]]*Ventas[[#This Row],[cantidad]]</f>
        <v>149.99</v>
      </c>
      <c r="R118" s="2">
        <f>Ventas[[#This Row],[Total bruto (antes de descuento)]]-Ventas[[#This Row],[total_venta]]</f>
        <v>15</v>
      </c>
    </row>
    <row r="119" spans="1:18" x14ac:dyDescent="0.25">
      <c r="A119" t="s">
        <v>212</v>
      </c>
      <c r="B119" s="1">
        <v>45047</v>
      </c>
      <c r="C119" t="s">
        <v>72</v>
      </c>
      <c r="D119" t="s">
        <v>31</v>
      </c>
      <c r="E119">
        <v>2</v>
      </c>
      <c r="F119" s="2">
        <v>29.99</v>
      </c>
      <c r="G119">
        <v>5</v>
      </c>
      <c r="H119" s="2">
        <v>28.49</v>
      </c>
      <c r="I119" s="2">
        <v>56.98</v>
      </c>
      <c r="J119" t="s">
        <v>90</v>
      </c>
      <c r="K119" t="s">
        <v>44</v>
      </c>
      <c r="L119" t="s">
        <v>21</v>
      </c>
      <c r="M119" t="s">
        <v>58</v>
      </c>
      <c r="N119" t="s">
        <v>59</v>
      </c>
      <c r="O119" t="s">
        <v>24</v>
      </c>
      <c r="Q119" s="2">
        <f>Ventas[[#This Row],[precio_base]]*Ventas[[#This Row],[cantidad]]</f>
        <v>59.98</v>
      </c>
      <c r="R119" s="2">
        <f>Ventas[[#This Row],[Total bruto (antes de descuento)]]-Ventas[[#This Row],[total_venta]]</f>
        <v>3</v>
      </c>
    </row>
    <row r="120" spans="1:18" x14ac:dyDescent="0.25">
      <c r="A120" t="s">
        <v>213</v>
      </c>
      <c r="B120" s="1">
        <v>45421</v>
      </c>
      <c r="C120" t="s">
        <v>92</v>
      </c>
      <c r="D120" t="s">
        <v>27</v>
      </c>
      <c r="E120">
        <v>2</v>
      </c>
      <c r="F120" s="2">
        <v>79.989999999999995</v>
      </c>
      <c r="G120">
        <v>5</v>
      </c>
      <c r="H120" s="2">
        <v>75.989999999999995</v>
      </c>
      <c r="I120" s="2">
        <v>151.97999999999999</v>
      </c>
      <c r="J120" t="s">
        <v>19</v>
      </c>
      <c r="K120" t="s">
        <v>20</v>
      </c>
      <c r="L120" t="s">
        <v>45</v>
      </c>
      <c r="M120" t="s">
        <v>120</v>
      </c>
      <c r="N120" t="s">
        <v>23</v>
      </c>
      <c r="O120" t="s">
        <v>24</v>
      </c>
      <c r="P120">
        <v>2</v>
      </c>
      <c r="Q120" s="2">
        <f>Ventas[[#This Row],[precio_base]]*Ventas[[#This Row],[cantidad]]</f>
        <v>159.97999999999999</v>
      </c>
      <c r="R120" s="2">
        <f>Ventas[[#This Row],[Total bruto (antes de descuento)]]-Ventas[[#This Row],[total_venta]]</f>
        <v>8</v>
      </c>
    </row>
    <row r="121" spans="1:18" x14ac:dyDescent="0.25">
      <c r="A121" t="s">
        <v>214</v>
      </c>
      <c r="B121" s="1">
        <v>44998</v>
      </c>
      <c r="C121" t="s">
        <v>61</v>
      </c>
      <c r="D121" t="s">
        <v>38</v>
      </c>
      <c r="E121">
        <v>4</v>
      </c>
      <c r="F121" s="2">
        <v>19.989999999999998</v>
      </c>
      <c r="G121">
        <v>0</v>
      </c>
      <c r="H121" s="2">
        <v>19.989999999999998</v>
      </c>
      <c r="I121" s="2">
        <v>79.959999999999994</v>
      </c>
      <c r="J121" t="s">
        <v>90</v>
      </c>
      <c r="K121" t="s">
        <v>20</v>
      </c>
      <c r="L121" t="s">
        <v>21</v>
      </c>
      <c r="M121" t="s">
        <v>65</v>
      </c>
      <c r="N121" t="s">
        <v>54</v>
      </c>
      <c r="O121" t="s">
        <v>35</v>
      </c>
      <c r="Q121" s="2">
        <f>Ventas[[#This Row],[precio_base]]*Ventas[[#This Row],[cantidad]]</f>
        <v>79.959999999999994</v>
      </c>
      <c r="R121" s="2">
        <f>Ventas[[#This Row],[Total bruto (antes de descuento)]]-Ventas[[#This Row],[total_venta]]</f>
        <v>0</v>
      </c>
    </row>
    <row r="122" spans="1:18" x14ac:dyDescent="0.25">
      <c r="A122" t="s">
        <v>215</v>
      </c>
      <c r="B122" s="1">
        <v>45232</v>
      </c>
      <c r="C122" t="s">
        <v>143</v>
      </c>
      <c r="D122" t="s">
        <v>43</v>
      </c>
      <c r="E122">
        <v>5</v>
      </c>
      <c r="F122" s="2">
        <v>34.99</v>
      </c>
      <c r="G122">
        <v>10</v>
      </c>
      <c r="H122" s="2">
        <v>31.49</v>
      </c>
      <c r="I122" s="2">
        <v>157.44999999999999</v>
      </c>
      <c r="J122" t="s">
        <v>116</v>
      </c>
      <c r="K122" t="s">
        <v>52</v>
      </c>
      <c r="L122" t="s">
        <v>45</v>
      </c>
      <c r="M122" t="s">
        <v>101</v>
      </c>
      <c r="N122" t="s">
        <v>102</v>
      </c>
      <c r="O122" t="s">
        <v>35</v>
      </c>
      <c r="Q122" s="2">
        <f>Ventas[[#This Row],[precio_base]]*Ventas[[#This Row],[cantidad]]</f>
        <v>174.95000000000002</v>
      </c>
      <c r="R122" s="2">
        <f>Ventas[[#This Row],[Total bruto (antes de descuento)]]-Ventas[[#This Row],[total_venta]]</f>
        <v>17.500000000000028</v>
      </c>
    </row>
    <row r="123" spans="1:18" x14ac:dyDescent="0.25">
      <c r="A123" t="s">
        <v>216</v>
      </c>
      <c r="B123" s="1">
        <v>45422</v>
      </c>
      <c r="C123" t="s">
        <v>89</v>
      </c>
      <c r="D123" t="s">
        <v>38</v>
      </c>
      <c r="E123">
        <v>3</v>
      </c>
      <c r="F123" s="2">
        <v>69.989999999999995</v>
      </c>
      <c r="G123">
        <v>10</v>
      </c>
      <c r="H123" s="2">
        <v>62.99</v>
      </c>
      <c r="I123" s="2">
        <v>188.97</v>
      </c>
      <c r="J123" t="s">
        <v>51</v>
      </c>
      <c r="K123" t="s">
        <v>44</v>
      </c>
      <c r="L123" t="s">
        <v>21</v>
      </c>
      <c r="M123" t="s">
        <v>120</v>
      </c>
      <c r="N123" t="s">
        <v>23</v>
      </c>
      <c r="O123" t="s">
        <v>24</v>
      </c>
      <c r="Q123" s="2">
        <f>Ventas[[#This Row],[precio_base]]*Ventas[[#This Row],[cantidad]]</f>
        <v>209.96999999999997</v>
      </c>
      <c r="R123" s="2">
        <f>Ventas[[#This Row],[Total bruto (antes de descuento)]]-Ventas[[#This Row],[total_venta]]</f>
        <v>20.999999999999972</v>
      </c>
    </row>
    <row r="124" spans="1:18" x14ac:dyDescent="0.25">
      <c r="A124" t="s">
        <v>217</v>
      </c>
      <c r="B124" s="1">
        <v>45120</v>
      </c>
      <c r="C124" t="s">
        <v>30</v>
      </c>
      <c r="D124" t="s">
        <v>31</v>
      </c>
      <c r="E124">
        <v>2</v>
      </c>
      <c r="F124" s="2">
        <v>299.99</v>
      </c>
      <c r="G124">
        <v>10</v>
      </c>
      <c r="H124" s="2">
        <v>269.99</v>
      </c>
      <c r="I124" s="2">
        <v>539.98</v>
      </c>
      <c r="J124" t="s">
        <v>19</v>
      </c>
      <c r="K124" t="s">
        <v>52</v>
      </c>
      <c r="L124" t="s">
        <v>21</v>
      </c>
      <c r="M124" t="s">
        <v>67</v>
      </c>
      <c r="N124" t="s">
        <v>68</v>
      </c>
      <c r="O124" t="s">
        <v>35</v>
      </c>
      <c r="P124">
        <v>4</v>
      </c>
      <c r="Q124" s="2">
        <f>Ventas[[#This Row],[precio_base]]*Ventas[[#This Row],[cantidad]]</f>
        <v>599.98</v>
      </c>
      <c r="R124" s="2">
        <f>Ventas[[#This Row],[Total bruto (antes de descuento)]]-Ventas[[#This Row],[total_venta]]</f>
        <v>60</v>
      </c>
    </row>
    <row r="125" spans="1:18" x14ac:dyDescent="0.25">
      <c r="A125" t="s">
        <v>218</v>
      </c>
      <c r="B125" s="1">
        <v>45649</v>
      </c>
      <c r="C125" t="s">
        <v>122</v>
      </c>
      <c r="D125" t="s">
        <v>43</v>
      </c>
      <c r="E125">
        <v>4</v>
      </c>
      <c r="F125" s="2">
        <v>44.99</v>
      </c>
      <c r="G125">
        <v>5</v>
      </c>
      <c r="H125" s="2">
        <v>42.74</v>
      </c>
      <c r="I125" s="2">
        <v>170.96</v>
      </c>
      <c r="J125" t="s">
        <v>116</v>
      </c>
      <c r="K125" t="s">
        <v>52</v>
      </c>
      <c r="L125" t="s">
        <v>152</v>
      </c>
      <c r="M125" t="s">
        <v>39</v>
      </c>
      <c r="N125" t="s">
        <v>40</v>
      </c>
      <c r="O125" t="s">
        <v>35</v>
      </c>
      <c r="Q125" s="2">
        <f>Ventas[[#This Row],[precio_base]]*Ventas[[#This Row],[cantidad]]</f>
        <v>179.96</v>
      </c>
      <c r="R125" s="2">
        <f>Ventas[[#This Row],[Total bruto (antes de descuento)]]-Ventas[[#This Row],[total_venta]]</f>
        <v>9</v>
      </c>
    </row>
    <row r="126" spans="1:18" x14ac:dyDescent="0.25">
      <c r="A126" t="s">
        <v>219</v>
      </c>
      <c r="B126" s="1">
        <v>45434</v>
      </c>
      <c r="C126" t="s">
        <v>94</v>
      </c>
      <c r="D126" t="s">
        <v>18</v>
      </c>
      <c r="E126">
        <v>2</v>
      </c>
      <c r="F126" s="2">
        <v>899.99</v>
      </c>
      <c r="G126">
        <v>10</v>
      </c>
      <c r="H126" s="2">
        <v>809.99</v>
      </c>
      <c r="I126" s="2">
        <v>1619.98</v>
      </c>
      <c r="J126" t="s">
        <v>116</v>
      </c>
      <c r="K126" t="s">
        <v>52</v>
      </c>
      <c r="L126" t="s">
        <v>32</v>
      </c>
      <c r="M126" t="s">
        <v>123</v>
      </c>
      <c r="N126" t="s">
        <v>124</v>
      </c>
      <c r="O126" t="s">
        <v>24</v>
      </c>
      <c r="Q126" s="2">
        <f>Ventas[[#This Row],[precio_base]]*Ventas[[#This Row],[cantidad]]</f>
        <v>1799.98</v>
      </c>
      <c r="R126" s="2">
        <f>Ventas[[#This Row],[Total bruto (antes de descuento)]]-Ventas[[#This Row],[total_venta]]</f>
        <v>180</v>
      </c>
    </row>
    <row r="127" spans="1:18" x14ac:dyDescent="0.25">
      <c r="A127" t="s">
        <v>220</v>
      </c>
      <c r="B127" s="1">
        <v>45377</v>
      </c>
      <c r="C127" t="s">
        <v>17</v>
      </c>
      <c r="D127" t="s">
        <v>18</v>
      </c>
      <c r="E127">
        <v>5</v>
      </c>
      <c r="F127" s="2">
        <v>45.99</v>
      </c>
      <c r="G127">
        <v>5</v>
      </c>
      <c r="H127" s="2">
        <v>43.69</v>
      </c>
      <c r="I127" s="2">
        <v>218.45</v>
      </c>
      <c r="J127" t="s">
        <v>19</v>
      </c>
      <c r="K127" t="s">
        <v>20</v>
      </c>
      <c r="L127" t="s">
        <v>28</v>
      </c>
      <c r="M127" t="s">
        <v>63</v>
      </c>
      <c r="N127" t="s">
        <v>34</v>
      </c>
      <c r="O127" t="s">
        <v>24</v>
      </c>
      <c r="P127">
        <v>2</v>
      </c>
      <c r="Q127" s="2">
        <f>Ventas[[#This Row],[precio_base]]*Ventas[[#This Row],[cantidad]]</f>
        <v>229.95000000000002</v>
      </c>
      <c r="R127" s="2">
        <f>Ventas[[#This Row],[Total bruto (antes de descuento)]]-Ventas[[#This Row],[total_venta]]</f>
        <v>11.500000000000028</v>
      </c>
    </row>
    <row r="128" spans="1:18" x14ac:dyDescent="0.25">
      <c r="A128" t="s">
        <v>221</v>
      </c>
      <c r="B128" s="1">
        <v>45003</v>
      </c>
      <c r="C128" t="s">
        <v>92</v>
      </c>
      <c r="D128" t="s">
        <v>27</v>
      </c>
      <c r="E128">
        <v>3</v>
      </c>
      <c r="F128" s="2">
        <v>79.989999999999995</v>
      </c>
      <c r="G128">
        <v>0</v>
      </c>
      <c r="H128" s="2">
        <v>79.989999999999995</v>
      </c>
      <c r="I128" s="2">
        <v>239.97</v>
      </c>
      <c r="J128" t="s">
        <v>51</v>
      </c>
      <c r="K128" t="s">
        <v>44</v>
      </c>
      <c r="L128" t="s">
        <v>32</v>
      </c>
      <c r="M128" t="s">
        <v>120</v>
      </c>
      <c r="N128" t="s">
        <v>23</v>
      </c>
      <c r="O128" t="s">
        <v>24</v>
      </c>
      <c r="Q128" s="2">
        <f>Ventas[[#This Row],[precio_base]]*Ventas[[#This Row],[cantidad]]</f>
        <v>239.96999999999997</v>
      </c>
      <c r="R128" s="2">
        <f>Ventas[[#This Row],[Total bruto (antes de descuento)]]-Ventas[[#This Row],[total_venta]]</f>
        <v>0</v>
      </c>
    </row>
    <row r="129" spans="1:18" x14ac:dyDescent="0.25">
      <c r="A129" t="s">
        <v>222</v>
      </c>
      <c r="B129" s="1">
        <v>45617</v>
      </c>
      <c r="C129" t="s">
        <v>42</v>
      </c>
      <c r="D129" t="s">
        <v>43</v>
      </c>
      <c r="E129">
        <v>5</v>
      </c>
      <c r="F129" s="2">
        <v>349.99</v>
      </c>
      <c r="G129">
        <v>5</v>
      </c>
      <c r="H129" s="2">
        <v>332.49</v>
      </c>
      <c r="I129" s="2">
        <v>1662.45</v>
      </c>
      <c r="J129" t="s">
        <v>90</v>
      </c>
      <c r="K129" t="s">
        <v>44</v>
      </c>
      <c r="L129" t="s">
        <v>28</v>
      </c>
      <c r="M129" t="s">
        <v>73</v>
      </c>
      <c r="N129" t="s">
        <v>74</v>
      </c>
      <c r="O129" t="s">
        <v>35</v>
      </c>
      <c r="Q129" s="2">
        <f>Ventas[[#This Row],[precio_base]]*Ventas[[#This Row],[cantidad]]</f>
        <v>1749.95</v>
      </c>
      <c r="R129" s="2">
        <f>Ventas[[#This Row],[Total bruto (antes de descuento)]]-Ventas[[#This Row],[total_venta]]</f>
        <v>87.5</v>
      </c>
    </row>
    <row r="130" spans="1:18" x14ac:dyDescent="0.25">
      <c r="A130" t="s">
        <v>223</v>
      </c>
      <c r="B130" s="1">
        <v>45481</v>
      </c>
      <c r="C130" t="s">
        <v>94</v>
      </c>
      <c r="D130" t="s">
        <v>18</v>
      </c>
      <c r="E130">
        <v>5</v>
      </c>
      <c r="F130" s="2">
        <v>899.99</v>
      </c>
      <c r="G130">
        <v>0</v>
      </c>
      <c r="H130" s="2">
        <v>899.99</v>
      </c>
      <c r="I130" s="2">
        <v>4499.95</v>
      </c>
      <c r="J130" t="s">
        <v>19</v>
      </c>
      <c r="K130" t="s">
        <v>52</v>
      </c>
      <c r="L130" t="s">
        <v>152</v>
      </c>
      <c r="M130" t="s">
        <v>73</v>
      </c>
      <c r="N130" t="s">
        <v>74</v>
      </c>
      <c r="O130" t="s">
        <v>35</v>
      </c>
      <c r="P130">
        <v>1</v>
      </c>
      <c r="Q130" s="2">
        <f>Ventas[[#This Row],[precio_base]]*Ventas[[#This Row],[cantidad]]</f>
        <v>4499.95</v>
      </c>
      <c r="R130" s="2">
        <f>Ventas[[#This Row],[Total bruto (antes de descuento)]]-Ventas[[#This Row],[total_venta]]</f>
        <v>0</v>
      </c>
    </row>
    <row r="131" spans="1:18" x14ac:dyDescent="0.25">
      <c r="A131" t="s">
        <v>224</v>
      </c>
      <c r="B131" s="1">
        <v>45371</v>
      </c>
      <c r="C131" t="s">
        <v>17</v>
      </c>
      <c r="D131" t="s">
        <v>18</v>
      </c>
      <c r="E131">
        <v>1</v>
      </c>
      <c r="F131" s="2">
        <v>45.99</v>
      </c>
      <c r="G131">
        <v>5</v>
      </c>
      <c r="H131" s="2">
        <v>43.69</v>
      </c>
      <c r="I131" s="2">
        <v>43.69</v>
      </c>
      <c r="J131" t="s">
        <v>19</v>
      </c>
      <c r="K131" t="s">
        <v>52</v>
      </c>
      <c r="L131" t="s">
        <v>21</v>
      </c>
      <c r="M131" t="s">
        <v>58</v>
      </c>
      <c r="N131" t="s">
        <v>59</v>
      </c>
      <c r="O131" t="s">
        <v>24</v>
      </c>
      <c r="P131">
        <v>1</v>
      </c>
      <c r="Q131" s="2">
        <f>Ventas[[#This Row],[precio_base]]*Ventas[[#This Row],[cantidad]]</f>
        <v>45.99</v>
      </c>
      <c r="R131" s="2">
        <f>Ventas[[#This Row],[Total bruto (antes de descuento)]]-Ventas[[#This Row],[total_venta]]</f>
        <v>2.3000000000000043</v>
      </c>
    </row>
    <row r="132" spans="1:18" x14ac:dyDescent="0.25">
      <c r="A132" t="s">
        <v>225</v>
      </c>
      <c r="B132" s="1">
        <v>45227</v>
      </c>
      <c r="C132" t="s">
        <v>89</v>
      </c>
      <c r="D132" t="s">
        <v>38</v>
      </c>
      <c r="E132">
        <v>3</v>
      </c>
      <c r="F132" s="2">
        <v>69.989999999999995</v>
      </c>
      <c r="G132">
        <v>5</v>
      </c>
      <c r="H132" s="2">
        <v>66.489999999999995</v>
      </c>
      <c r="I132" s="2">
        <v>199.47</v>
      </c>
      <c r="J132" t="s">
        <v>19</v>
      </c>
      <c r="K132" t="s">
        <v>20</v>
      </c>
      <c r="L132" t="s">
        <v>28</v>
      </c>
      <c r="M132" t="s">
        <v>65</v>
      </c>
      <c r="N132" t="s">
        <v>54</v>
      </c>
      <c r="O132" t="s">
        <v>35</v>
      </c>
      <c r="P132">
        <v>2</v>
      </c>
      <c r="Q132" s="2">
        <f>Ventas[[#This Row],[precio_base]]*Ventas[[#This Row],[cantidad]]</f>
        <v>209.96999999999997</v>
      </c>
      <c r="R132" s="2">
        <f>Ventas[[#This Row],[Total bruto (antes de descuento)]]-Ventas[[#This Row],[total_venta]]</f>
        <v>10.499999999999972</v>
      </c>
    </row>
    <row r="133" spans="1:18" x14ac:dyDescent="0.25">
      <c r="A133" t="s">
        <v>226</v>
      </c>
      <c r="B133" s="1">
        <v>45101</v>
      </c>
      <c r="C133" t="s">
        <v>205</v>
      </c>
      <c r="D133" t="s">
        <v>18</v>
      </c>
      <c r="E133">
        <v>1</v>
      </c>
      <c r="F133" s="2">
        <v>129.99</v>
      </c>
      <c r="G133">
        <v>10</v>
      </c>
      <c r="H133" s="2">
        <v>116.99</v>
      </c>
      <c r="I133" s="2">
        <v>116.99</v>
      </c>
      <c r="J133" t="s">
        <v>62</v>
      </c>
      <c r="K133" t="s">
        <v>44</v>
      </c>
      <c r="L133" t="s">
        <v>45</v>
      </c>
      <c r="M133" t="s">
        <v>33</v>
      </c>
      <c r="N133" t="s">
        <v>34</v>
      </c>
      <c r="O133" t="s">
        <v>35</v>
      </c>
      <c r="Q133" s="2">
        <f>Ventas[[#This Row],[precio_base]]*Ventas[[#This Row],[cantidad]]</f>
        <v>129.99</v>
      </c>
      <c r="R133" s="2">
        <f>Ventas[[#This Row],[Total bruto (antes de descuento)]]-Ventas[[#This Row],[total_venta]]</f>
        <v>13.000000000000014</v>
      </c>
    </row>
    <row r="134" spans="1:18" x14ac:dyDescent="0.25">
      <c r="A134" t="s">
        <v>227</v>
      </c>
      <c r="B134" s="1">
        <v>45524</v>
      </c>
      <c r="C134" t="s">
        <v>78</v>
      </c>
      <c r="D134" t="s">
        <v>18</v>
      </c>
      <c r="E134">
        <v>2</v>
      </c>
      <c r="F134" s="2">
        <v>349.99</v>
      </c>
      <c r="G134">
        <v>5</v>
      </c>
      <c r="H134" s="2">
        <v>332.49</v>
      </c>
      <c r="I134" s="2">
        <v>664.98</v>
      </c>
      <c r="J134" t="s">
        <v>51</v>
      </c>
      <c r="K134" t="s">
        <v>20</v>
      </c>
      <c r="L134" t="s">
        <v>21</v>
      </c>
      <c r="M134" t="s">
        <v>101</v>
      </c>
      <c r="N134" t="s">
        <v>102</v>
      </c>
      <c r="O134" t="s">
        <v>35</v>
      </c>
      <c r="Q134" s="2">
        <f>Ventas[[#This Row],[precio_base]]*Ventas[[#This Row],[cantidad]]</f>
        <v>699.98</v>
      </c>
      <c r="R134" s="2">
        <f>Ventas[[#This Row],[Total bruto (antes de descuento)]]-Ventas[[#This Row],[total_venta]]</f>
        <v>35</v>
      </c>
    </row>
    <row r="135" spans="1:18" x14ac:dyDescent="0.25">
      <c r="A135" t="s">
        <v>228</v>
      </c>
      <c r="B135" s="1">
        <v>45403</v>
      </c>
      <c r="C135" t="s">
        <v>130</v>
      </c>
      <c r="D135" t="s">
        <v>43</v>
      </c>
      <c r="E135">
        <v>3</v>
      </c>
      <c r="F135" s="2">
        <v>24.99</v>
      </c>
      <c r="G135">
        <v>15</v>
      </c>
      <c r="H135" s="2">
        <v>21.24</v>
      </c>
      <c r="I135" s="2">
        <v>63.72</v>
      </c>
      <c r="J135" t="s">
        <v>19</v>
      </c>
      <c r="K135" t="s">
        <v>20</v>
      </c>
      <c r="L135" t="s">
        <v>21</v>
      </c>
      <c r="M135" t="s">
        <v>95</v>
      </c>
      <c r="N135" t="s">
        <v>96</v>
      </c>
      <c r="O135" t="s">
        <v>48</v>
      </c>
      <c r="P135">
        <v>5</v>
      </c>
      <c r="Q135" s="2">
        <f>Ventas[[#This Row],[precio_base]]*Ventas[[#This Row],[cantidad]]</f>
        <v>74.97</v>
      </c>
      <c r="R135" s="2">
        <f>Ventas[[#This Row],[Total bruto (antes de descuento)]]-Ventas[[#This Row],[total_venta]]</f>
        <v>11.25</v>
      </c>
    </row>
    <row r="136" spans="1:18" x14ac:dyDescent="0.25">
      <c r="A136" t="s">
        <v>229</v>
      </c>
      <c r="B136" s="1">
        <v>45233</v>
      </c>
      <c r="C136" t="s">
        <v>72</v>
      </c>
      <c r="D136" t="s">
        <v>31</v>
      </c>
      <c r="E136">
        <v>4</v>
      </c>
      <c r="F136" s="2">
        <v>29.99</v>
      </c>
      <c r="G136">
        <v>15</v>
      </c>
      <c r="H136" s="2">
        <v>25.49</v>
      </c>
      <c r="I136" s="2">
        <v>101.96</v>
      </c>
      <c r="J136" t="s">
        <v>19</v>
      </c>
      <c r="K136" t="s">
        <v>20</v>
      </c>
      <c r="L136" t="s">
        <v>152</v>
      </c>
      <c r="M136" t="s">
        <v>67</v>
      </c>
      <c r="N136" t="s">
        <v>68</v>
      </c>
      <c r="O136" t="s">
        <v>35</v>
      </c>
      <c r="P136">
        <v>4</v>
      </c>
      <c r="Q136" s="2">
        <f>Ventas[[#This Row],[precio_base]]*Ventas[[#This Row],[cantidad]]</f>
        <v>119.96</v>
      </c>
      <c r="R136" s="2">
        <f>Ventas[[#This Row],[Total bruto (antes de descuento)]]-Ventas[[#This Row],[total_venta]]</f>
        <v>18</v>
      </c>
    </row>
    <row r="137" spans="1:18" x14ac:dyDescent="0.25">
      <c r="A137" t="s">
        <v>230</v>
      </c>
      <c r="B137" s="1">
        <v>45036</v>
      </c>
      <c r="C137" t="s">
        <v>163</v>
      </c>
      <c r="D137" t="s">
        <v>18</v>
      </c>
      <c r="E137">
        <v>4</v>
      </c>
      <c r="F137" s="2">
        <v>499.99</v>
      </c>
      <c r="G137">
        <v>10</v>
      </c>
      <c r="H137" s="2">
        <v>449.99</v>
      </c>
      <c r="I137" s="2">
        <v>1799.96</v>
      </c>
      <c r="J137" t="s">
        <v>19</v>
      </c>
      <c r="K137" t="s">
        <v>57</v>
      </c>
      <c r="L137" t="s">
        <v>21</v>
      </c>
      <c r="M137" t="s">
        <v>58</v>
      </c>
      <c r="N137" t="s">
        <v>59</v>
      </c>
      <c r="O137" t="s">
        <v>24</v>
      </c>
      <c r="P137">
        <v>4</v>
      </c>
      <c r="Q137" s="2">
        <f>Ventas[[#This Row],[precio_base]]*Ventas[[#This Row],[cantidad]]</f>
        <v>1999.96</v>
      </c>
      <c r="R137" s="2">
        <f>Ventas[[#This Row],[Total bruto (antes de descuento)]]-Ventas[[#This Row],[total_venta]]</f>
        <v>200</v>
      </c>
    </row>
    <row r="138" spans="1:18" x14ac:dyDescent="0.25">
      <c r="A138" t="s">
        <v>231</v>
      </c>
      <c r="B138" s="1">
        <v>45208</v>
      </c>
      <c r="C138" t="s">
        <v>104</v>
      </c>
      <c r="D138" t="s">
        <v>18</v>
      </c>
      <c r="E138">
        <v>5</v>
      </c>
      <c r="F138" s="2">
        <v>1199.99</v>
      </c>
      <c r="G138">
        <v>20</v>
      </c>
      <c r="H138" s="2">
        <v>959.99</v>
      </c>
      <c r="I138" s="2">
        <v>4799.95</v>
      </c>
      <c r="J138" t="s">
        <v>51</v>
      </c>
      <c r="K138" t="s">
        <v>57</v>
      </c>
      <c r="L138" t="s">
        <v>152</v>
      </c>
      <c r="M138" t="s">
        <v>84</v>
      </c>
      <c r="N138" t="s">
        <v>85</v>
      </c>
      <c r="O138" t="s">
        <v>35</v>
      </c>
      <c r="Q138" s="2">
        <f>Ventas[[#This Row],[precio_base]]*Ventas[[#This Row],[cantidad]]</f>
        <v>5999.95</v>
      </c>
      <c r="R138" s="2">
        <f>Ventas[[#This Row],[Total bruto (antes de descuento)]]-Ventas[[#This Row],[total_venta]]</f>
        <v>1200</v>
      </c>
    </row>
    <row r="139" spans="1:18" x14ac:dyDescent="0.25">
      <c r="A139" t="s">
        <v>232</v>
      </c>
      <c r="B139" s="1">
        <v>45435</v>
      </c>
      <c r="C139" t="s">
        <v>143</v>
      </c>
      <c r="D139" t="s">
        <v>43</v>
      </c>
      <c r="E139">
        <v>3</v>
      </c>
      <c r="F139" s="2">
        <v>34.99</v>
      </c>
      <c r="G139">
        <v>20</v>
      </c>
      <c r="H139" s="2">
        <v>27.99</v>
      </c>
      <c r="I139" s="2">
        <v>83.97</v>
      </c>
      <c r="J139" t="s">
        <v>51</v>
      </c>
      <c r="K139" t="s">
        <v>52</v>
      </c>
      <c r="L139" t="s">
        <v>21</v>
      </c>
      <c r="M139" t="s">
        <v>33</v>
      </c>
      <c r="N139" t="s">
        <v>34</v>
      </c>
      <c r="O139" t="s">
        <v>35</v>
      </c>
      <c r="Q139" s="2">
        <f>Ventas[[#This Row],[precio_base]]*Ventas[[#This Row],[cantidad]]</f>
        <v>104.97</v>
      </c>
      <c r="R139" s="2">
        <f>Ventas[[#This Row],[Total bruto (antes de descuento)]]-Ventas[[#This Row],[total_venta]]</f>
        <v>21</v>
      </c>
    </row>
    <row r="140" spans="1:18" x14ac:dyDescent="0.25">
      <c r="A140" t="s">
        <v>233</v>
      </c>
      <c r="B140" s="1">
        <v>45121</v>
      </c>
      <c r="C140" t="s">
        <v>156</v>
      </c>
      <c r="D140" t="s">
        <v>27</v>
      </c>
      <c r="E140">
        <v>3</v>
      </c>
      <c r="F140" s="2">
        <v>49.99</v>
      </c>
      <c r="G140">
        <v>15</v>
      </c>
      <c r="H140" s="2">
        <v>42.49</v>
      </c>
      <c r="I140" s="2">
        <v>127.47</v>
      </c>
      <c r="J140" t="s">
        <v>51</v>
      </c>
      <c r="K140" t="s">
        <v>44</v>
      </c>
      <c r="L140" t="s">
        <v>32</v>
      </c>
      <c r="M140" t="s">
        <v>39</v>
      </c>
      <c r="N140" t="s">
        <v>40</v>
      </c>
      <c r="O140" t="s">
        <v>35</v>
      </c>
      <c r="Q140" s="2">
        <f>Ventas[[#This Row],[precio_base]]*Ventas[[#This Row],[cantidad]]</f>
        <v>149.97</v>
      </c>
      <c r="R140" s="2">
        <f>Ventas[[#This Row],[Total bruto (antes de descuento)]]-Ventas[[#This Row],[total_venta]]</f>
        <v>22.5</v>
      </c>
    </row>
    <row r="141" spans="1:18" x14ac:dyDescent="0.25">
      <c r="A141" t="s">
        <v>234</v>
      </c>
      <c r="B141" s="1">
        <v>45570</v>
      </c>
      <c r="C141" t="s">
        <v>17</v>
      </c>
      <c r="D141" t="s">
        <v>18</v>
      </c>
      <c r="E141">
        <v>1</v>
      </c>
      <c r="F141" s="2">
        <v>45.99</v>
      </c>
      <c r="G141">
        <v>0</v>
      </c>
      <c r="H141" s="2">
        <v>45.99</v>
      </c>
      <c r="I141" s="2">
        <v>45.99</v>
      </c>
      <c r="J141" t="s">
        <v>51</v>
      </c>
      <c r="K141" t="s">
        <v>44</v>
      </c>
      <c r="L141" t="s">
        <v>28</v>
      </c>
      <c r="M141" t="s">
        <v>46</v>
      </c>
      <c r="N141" t="s">
        <v>47</v>
      </c>
      <c r="O141" t="s">
        <v>48</v>
      </c>
      <c r="Q141" s="2">
        <f>Ventas[[#This Row],[precio_base]]*Ventas[[#This Row],[cantidad]]</f>
        <v>45.99</v>
      </c>
      <c r="R141" s="2">
        <f>Ventas[[#This Row],[Total bruto (antes de descuento)]]-Ventas[[#This Row],[total_venta]]</f>
        <v>0</v>
      </c>
    </row>
    <row r="142" spans="1:18" x14ac:dyDescent="0.25">
      <c r="A142" t="s">
        <v>235</v>
      </c>
      <c r="B142" s="1">
        <v>45019</v>
      </c>
      <c r="C142" t="s">
        <v>122</v>
      </c>
      <c r="D142" t="s">
        <v>43</v>
      </c>
      <c r="E142">
        <v>3</v>
      </c>
      <c r="F142" s="2">
        <v>44.99</v>
      </c>
      <c r="G142">
        <v>0</v>
      </c>
      <c r="H142" s="2">
        <v>44.99</v>
      </c>
      <c r="I142" s="2">
        <v>134.97</v>
      </c>
      <c r="J142" t="s">
        <v>51</v>
      </c>
      <c r="K142" t="s">
        <v>20</v>
      </c>
      <c r="L142" t="s">
        <v>28</v>
      </c>
      <c r="M142" t="s">
        <v>63</v>
      </c>
      <c r="N142" t="s">
        <v>34</v>
      </c>
      <c r="O142" t="s">
        <v>24</v>
      </c>
      <c r="Q142" s="2">
        <f>Ventas[[#This Row],[precio_base]]*Ventas[[#This Row],[cantidad]]</f>
        <v>134.97</v>
      </c>
      <c r="R142" s="2">
        <f>Ventas[[#This Row],[Total bruto (antes de descuento)]]-Ventas[[#This Row],[total_venta]]</f>
        <v>0</v>
      </c>
    </row>
    <row r="143" spans="1:18" x14ac:dyDescent="0.25">
      <c r="A143" t="s">
        <v>236</v>
      </c>
      <c r="B143" s="1">
        <v>45301</v>
      </c>
      <c r="C143" t="s">
        <v>87</v>
      </c>
      <c r="D143" t="s">
        <v>27</v>
      </c>
      <c r="E143">
        <v>5</v>
      </c>
      <c r="F143" s="2">
        <v>249.99</v>
      </c>
      <c r="G143">
        <v>0</v>
      </c>
      <c r="H143" s="2">
        <v>249.99</v>
      </c>
      <c r="I143" s="2">
        <v>1249.95</v>
      </c>
      <c r="J143" t="s">
        <v>62</v>
      </c>
      <c r="K143" t="s">
        <v>52</v>
      </c>
      <c r="L143" t="s">
        <v>152</v>
      </c>
      <c r="M143" t="s">
        <v>58</v>
      </c>
      <c r="N143" t="s">
        <v>59</v>
      </c>
      <c r="O143" t="s">
        <v>24</v>
      </c>
      <c r="Q143" s="2">
        <f>Ventas[[#This Row],[precio_base]]*Ventas[[#This Row],[cantidad]]</f>
        <v>1249.95</v>
      </c>
      <c r="R143" s="2">
        <f>Ventas[[#This Row],[Total bruto (antes de descuento)]]-Ventas[[#This Row],[total_venta]]</f>
        <v>0</v>
      </c>
    </row>
    <row r="144" spans="1:18" x14ac:dyDescent="0.25">
      <c r="A144" t="s">
        <v>237</v>
      </c>
      <c r="B144" s="1">
        <v>45229</v>
      </c>
      <c r="C144" t="s">
        <v>76</v>
      </c>
      <c r="D144" t="s">
        <v>31</v>
      </c>
      <c r="E144">
        <v>3</v>
      </c>
      <c r="F144" s="2">
        <v>69.989999999999995</v>
      </c>
      <c r="G144">
        <v>20</v>
      </c>
      <c r="H144" s="2">
        <v>55.99</v>
      </c>
      <c r="I144" s="2">
        <v>167.97</v>
      </c>
      <c r="J144" t="s">
        <v>19</v>
      </c>
      <c r="K144" t="s">
        <v>20</v>
      </c>
      <c r="L144" t="s">
        <v>152</v>
      </c>
      <c r="M144" t="s">
        <v>95</v>
      </c>
      <c r="N144" t="s">
        <v>96</v>
      </c>
      <c r="O144" t="s">
        <v>48</v>
      </c>
      <c r="P144">
        <v>4</v>
      </c>
      <c r="Q144" s="2">
        <f>Ventas[[#This Row],[precio_base]]*Ventas[[#This Row],[cantidad]]</f>
        <v>209.96999999999997</v>
      </c>
      <c r="R144" s="2">
        <f>Ventas[[#This Row],[Total bruto (antes de descuento)]]-Ventas[[#This Row],[total_venta]]</f>
        <v>41.999999999999972</v>
      </c>
    </row>
    <row r="145" spans="1:18" x14ac:dyDescent="0.25">
      <c r="A145" t="s">
        <v>238</v>
      </c>
      <c r="B145" s="1">
        <v>45497</v>
      </c>
      <c r="C145" t="s">
        <v>89</v>
      </c>
      <c r="D145" t="s">
        <v>38</v>
      </c>
      <c r="E145">
        <v>1</v>
      </c>
      <c r="F145" s="2">
        <v>69.989999999999995</v>
      </c>
      <c r="G145">
        <v>20</v>
      </c>
      <c r="H145" s="2">
        <v>55.99</v>
      </c>
      <c r="I145" s="2">
        <v>55.99</v>
      </c>
      <c r="J145" t="s">
        <v>19</v>
      </c>
      <c r="K145" t="s">
        <v>44</v>
      </c>
      <c r="L145" t="s">
        <v>45</v>
      </c>
      <c r="M145" t="s">
        <v>58</v>
      </c>
      <c r="N145" t="s">
        <v>59</v>
      </c>
      <c r="O145" t="s">
        <v>24</v>
      </c>
      <c r="P145">
        <v>3</v>
      </c>
      <c r="Q145" s="2">
        <f>Ventas[[#This Row],[precio_base]]*Ventas[[#This Row],[cantidad]]</f>
        <v>69.989999999999995</v>
      </c>
      <c r="R145" s="2">
        <f>Ventas[[#This Row],[Total bruto (antes de descuento)]]-Ventas[[#This Row],[total_venta]]</f>
        <v>13.999999999999993</v>
      </c>
    </row>
    <row r="146" spans="1:18" x14ac:dyDescent="0.25">
      <c r="A146" t="s">
        <v>239</v>
      </c>
      <c r="B146" s="1">
        <v>45525</v>
      </c>
      <c r="C146" t="s">
        <v>109</v>
      </c>
      <c r="D146" t="s">
        <v>38</v>
      </c>
      <c r="E146">
        <v>3</v>
      </c>
      <c r="F146" s="2">
        <v>39.99</v>
      </c>
      <c r="G146">
        <v>0</v>
      </c>
      <c r="H146" s="2">
        <v>39.99</v>
      </c>
      <c r="I146" s="2">
        <v>119.97</v>
      </c>
      <c r="J146" t="s">
        <v>51</v>
      </c>
      <c r="K146" t="s">
        <v>20</v>
      </c>
      <c r="L146" t="s">
        <v>32</v>
      </c>
      <c r="M146" t="s">
        <v>101</v>
      </c>
      <c r="N146" t="s">
        <v>102</v>
      </c>
      <c r="O146" t="s">
        <v>35</v>
      </c>
      <c r="Q146" s="2">
        <f>Ventas[[#This Row],[precio_base]]*Ventas[[#This Row],[cantidad]]</f>
        <v>119.97</v>
      </c>
      <c r="R146" s="2">
        <f>Ventas[[#This Row],[Total bruto (antes de descuento)]]-Ventas[[#This Row],[total_venta]]</f>
        <v>0</v>
      </c>
    </row>
    <row r="147" spans="1:18" x14ac:dyDescent="0.25">
      <c r="A147" t="s">
        <v>240</v>
      </c>
      <c r="B147" s="1">
        <v>45501</v>
      </c>
      <c r="C147" t="s">
        <v>141</v>
      </c>
      <c r="D147" t="s">
        <v>38</v>
      </c>
      <c r="E147">
        <v>5</v>
      </c>
      <c r="F147" s="2">
        <v>89.99</v>
      </c>
      <c r="G147">
        <v>0</v>
      </c>
      <c r="H147" s="2">
        <v>89.99</v>
      </c>
      <c r="I147" s="2">
        <v>449.95</v>
      </c>
      <c r="J147" t="s">
        <v>51</v>
      </c>
      <c r="K147" t="s">
        <v>52</v>
      </c>
      <c r="L147" t="s">
        <v>152</v>
      </c>
      <c r="M147" t="s">
        <v>73</v>
      </c>
      <c r="N147" t="s">
        <v>74</v>
      </c>
      <c r="O147" t="s">
        <v>35</v>
      </c>
      <c r="Q147" s="2">
        <f>Ventas[[#This Row],[precio_base]]*Ventas[[#This Row],[cantidad]]</f>
        <v>449.95</v>
      </c>
      <c r="R147" s="2">
        <f>Ventas[[#This Row],[Total bruto (antes de descuento)]]-Ventas[[#This Row],[total_venta]]</f>
        <v>0</v>
      </c>
    </row>
    <row r="148" spans="1:18" x14ac:dyDescent="0.25">
      <c r="A148" t="s">
        <v>241</v>
      </c>
      <c r="B148" s="1">
        <v>45236</v>
      </c>
      <c r="C148" t="s">
        <v>72</v>
      </c>
      <c r="D148" t="s">
        <v>31</v>
      </c>
      <c r="E148">
        <v>4</v>
      </c>
      <c r="F148" s="2">
        <v>29.99</v>
      </c>
      <c r="G148">
        <v>0</v>
      </c>
      <c r="H148" s="2">
        <v>29.99</v>
      </c>
      <c r="I148" s="2">
        <v>119.96</v>
      </c>
      <c r="J148" t="s">
        <v>19</v>
      </c>
      <c r="K148" t="s">
        <v>20</v>
      </c>
      <c r="L148" t="s">
        <v>45</v>
      </c>
      <c r="M148" t="s">
        <v>46</v>
      </c>
      <c r="N148" t="s">
        <v>47</v>
      </c>
      <c r="O148" t="s">
        <v>48</v>
      </c>
      <c r="P148">
        <v>1</v>
      </c>
      <c r="Q148" s="2">
        <f>Ventas[[#This Row],[precio_base]]*Ventas[[#This Row],[cantidad]]</f>
        <v>119.96</v>
      </c>
      <c r="R148" s="2">
        <f>Ventas[[#This Row],[Total bruto (antes de descuento)]]-Ventas[[#This Row],[total_venta]]</f>
        <v>0</v>
      </c>
    </row>
    <row r="149" spans="1:18" x14ac:dyDescent="0.25">
      <c r="A149" t="s">
        <v>242</v>
      </c>
      <c r="B149" s="1">
        <v>45167</v>
      </c>
      <c r="C149" t="s">
        <v>130</v>
      </c>
      <c r="D149" t="s">
        <v>43</v>
      </c>
      <c r="E149">
        <v>5</v>
      </c>
      <c r="F149" s="2">
        <v>24.99</v>
      </c>
      <c r="G149">
        <v>0</v>
      </c>
      <c r="H149" s="2">
        <v>24.99</v>
      </c>
      <c r="I149" s="2">
        <v>124.95</v>
      </c>
      <c r="J149" t="s">
        <v>19</v>
      </c>
      <c r="K149" t="s">
        <v>44</v>
      </c>
      <c r="L149" t="s">
        <v>28</v>
      </c>
      <c r="M149" t="s">
        <v>123</v>
      </c>
      <c r="N149" t="s">
        <v>124</v>
      </c>
      <c r="O149" t="s">
        <v>24</v>
      </c>
      <c r="P149">
        <v>5</v>
      </c>
      <c r="Q149" s="2">
        <f>Ventas[[#This Row],[precio_base]]*Ventas[[#This Row],[cantidad]]</f>
        <v>124.94999999999999</v>
      </c>
      <c r="R149" s="2">
        <f>Ventas[[#This Row],[Total bruto (antes de descuento)]]-Ventas[[#This Row],[total_venta]]</f>
        <v>0</v>
      </c>
    </row>
    <row r="150" spans="1:18" x14ac:dyDescent="0.25">
      <c r="A150" t="s">
        <v>243</v>
      </c>
      <c r="B150" s="1">
        <v>45356</v>
      </c>
      <c r="C150" t="s">
        <v>26</v>
      </c>
      <c r="D150" t="s">
        <v>27</v>
      </c>
      <c r="E150">
        <v>2</v>
      </c>
      <c r="F150" s="2">
        <v>399.99</v>
      </c>
      <c r="G150">
        <v>5</v>
      </c>
      <c r="H150" s="2">
        <v>379.99</v>
      </c>
      <c r="I150" s="2">
        <v>759.98</v>
      </c>
      <c r="J150" t="s">
        <v>51</v>
      </c>
      <c r="K150" t="s">
        <v>44</v>
      </c>
      <c r="L150" t="s">
        <v>45</v>
      </c>
      <c r="M150" t="s">
        <v>67</v>
      </c>
      <c r="N150" t="s">
        <v>68</v>
      </c>
      <c r="O150" t="s">
        <v>35</v>
      </c>
      <c r="Q150" s="2">
        <f>Ventas[[#This Row],[precio_base]]*Ventas[[#This Row],[cantidad]]</f>
        <v>799.98</v>
      </c>
      <c r="R150" s="2">
        <f>Ventas[[#This Row],[Total bruto (antes de descuento)]]-Ventas[[#This Row],[total_venta]]</f>
        <v>40</v>
      </c>
    </row>
    <row r="151" spans="1:18" x14ac:dyDescent="0.25">
      <c r="A151" t="s">
        <v>244</v>
      </c>
      <c r="B151" s="1">
        <v>45213</v>
      </c>
      <c r="C151" t="s">
        <v>94</v>
      </c>
      <c r="D151" t="s">
        <v>18</v>
      </c>
      <c r="E151">
        <v>3</v>
      </c>
      <c r="F151" s="2">
        <v>899.99</v>
      </c>
      <c r="G151">
        <v>0</v>
      </c>
      <c r="H151" s="2">
        <v>899.99</v>
      </c>
      <c r="I151" s="2">
        <v>2699.97</v>
      </c>
      <c r="J151" t="s">
        <v>19</v>
      </c>
      <c r="K151" t="s">
        <v>52</v>
      </c>
      <c r="L151" t="s">
        <v>21</v>
      </c>
      <c r="M151" t="s">
        <v>22</v>
      </c>
      <c r="N151" t="s">
        <v>23</v>
      </c>
      <c r="O151" t="s">
        <v>24</v>
      </c>
      <c r="P151">
        <v>3</v>
      </c>
      <c r="Q151" s="2">
        <f>Ventas[[#This Row],[precio_base]]*Ventas[[#This Row],[cantidad]]</f>
        <v>2699.9700000000003</v>
      </c>
      <c r="R151" s="2">
        <f>Ventas[[#This Row],[Total bruto (antes de descuento)]]-Ventas[[#This Row],[total_venta]]</f>
        <v>0</v>
      </c>
    </row>
    <row r="152" spans="1:18" x14ac:dyDescent="0.25">
      <c r="A152" t="s">
        <v>245</v>
      </c>
      <c r="B152" s="1">
        <v>45484</v>
      </c>
      <c r="C152" t="s">
        <v>130</v>
      </c>
      <c r="D152" t="s">
        <v>43</v>
      </c>
      <c r="E152">
        <v>3</v>
      </c>
      <c r="F152" s="2">
        <v>24.99</v>
      </c>
      <c r="G152">
        <v>0</v>
      </c>
      <c r="H152" s="2">
        <v>24.99</v>
      </c>
      <c r="I152" s="2">
        <v>74.97</v>
      </c>
      <c r="J152" t="s">
        <v>19</v>
      </c>
      <c r="K152" t="s">
        <v>57</v>
      </c>
      <c r="L152" t="s">
        <v>152</v>
      </c>
      <c r="M152" t="s">
        <v>22</v>
      </c>
      <c r="N152" t="s">
        <v>23</v>
      </c>
      <c r="O152" t="s">
        <v>24</v>
      </c>
      <c r="P152">
        <v>4</v>
      </c>
      <c r="Q152" s="2">
        <f>Ventas[[#This Row],[precio_base]]*Ventas[[#This Row],[cantidad]]</f>
        <v>74.97</v>
      </c>
      <c r="R152" s="2">
        <f>Ventas[[#This Row],[Total bruto (antes de descuento)]]-Ventas[[#This Row],[total_venta]]</f>
        <v>0</v>
      </c>
    </row>
    <row r="153" spans="1:18" x14ac:dyDescent="0.25">
      <c r="A153" t="s">
        <v>246</v>
      </c>
      <c r="B153" s="1">
        <v>45020</v>
      </c>
      <c r="C153" t="s">
        <v>81</v>
      </c>
      <c r="D153" t="s">
        <v>31</v>
      </c>
      <c r="E153">
        <v>2</v>
      </c>
      <c r="F153" s="2">
        <v>189.99</v>
      </c>
      <c r="G153">
        <v>15</v>
      </c>
      <c r="H153" s="2">
        <v>161.49</v>
      </c>
      <c r="I153" s="2">
        <v>322.98</v>
      </c>
      <c r="J153" t="s">
        <v>51</v>
      </c>
      <c r="K153" t="s">
        <v>20</v>
      </c>
      <c r="L153" t="s">
        <v>21</v>
      </c>
      <c r="M153" t="s">
        <v>46</v>
      </c>
      <c r="N153" t="s">
        <v>47</v>
      </c>
      <c r="O153" t="s">
        <v>48</v>
      </c>
      <c r="Q153" s="2">
        <f>Ventas[[#This Row],[precio_base]]*Ventas[[#This Row],[cantidad]]</f>
        <v>379.98</v>
      </c>
      <c r="R153" s="2">
        <f>Ventas[[#This Row],[Total bruto (antes de descuento)]]-Ventas[[#This Row],[total_venta]]</f>
        <v>57</v>
      </c>
    </row>
    <row r="154" spans="1:18" x14ac:dyDescent="0.25">
      <c r="A154" t="s">
        <v>247</v>
      </c>
      <c r="B154" s="1">
        <v>45055</v>
      </c>
      <c r="C154" t="s">
        <v>70</v>
      </c>
      <c r="D154" t="s">
        <v>31</v>
      </c>
      <c r="E154">
        <v>5</v>
      </c>
      <c r="F154" s="2">
        <v>59.99</v>
      </c>
      <c r="G154">
        <v>0</v>
      </c>
      <c r="H154" s="2">
        <v>59.99</v>
      </c>
      <c r="I154" s="2">
        <v>299.95</v>
      </c>
      <c r="J154" t="s">
        <v>19</v>
      </c>
      <c r="K154" t="s">
        <v>44</v>
      </c>
      <c r="L154" t="s">
        <v>45</v>
      </c>
      <c r="M154" t="s">
        <v>39</v>
      </c>
      <c r="N154" t="s">
        <v>40</v>
      </c>
      <c r="O154" t="s">
        <v>35</v>
      </c>
      <c r="P154">
        <v>2</v>
      </c>
      <c r="Q154" s="2">
        <f>Ventas[[#This Row],[precio_base]]*Ventas[[#This Row],[cantidad]]</f>
        <v>299.95</v>
      </c>
      <c r="R154" s="2">
        <f>Ventas[[#This Row],[Total bruto (antes de descuento)]]-Ventas[[#This Row],[total_venta]]</f>
        <v>0</v>
      </c>
    </row>
    <row r="155" spans="1:18" x14ac:dyDescent="0.25">
      <c r="A155" t="s">
        <v>248</v>
      </c>
      <c r="B155" s="1">
        <v>45263</v>
      </c>
      <c r="C155" t="s">
        <v>98</v>
      </c>
      <c r="D155" t="s">
        <v>31</v>
      </c>
      <c r="E155">
        <v>2</v>
      </c>
      <c r="F155" s="2">
        <v>99.99</v>
      </c>
      <c r="G155">
        <v>20</v>
      </c>
      <c r="H155" s="2">
        <v>79.989999999999995</v>
      </c>
      <c r="I155" s="2">
        <v>159.97999999999999</v>
      </c>
      <c r="J155" t="s">
        <v>90</v>
      </c>
      <c r="K155" t="s">
        <v>20</v>
      </c>
      <c r="L155" t="s">
        <v>152</v>
      </c>
      <c r="M155" t="s">
        <v>46</v>
      </c>
      <c r="N155" t="s">
        <v>47</v>
      </c>
      <c r="O155" t="s">
        <v>48</v>
      </c>
      <c r="Q155" s="2">
        <f>Ventas[[#This Row],[precio_base]]*Ventas[[#This Row],[cantidad]]</f>
        <v>199.98</v>
      </c>
      <c r="R155" s="2">
        <f>Ventas[[#This Row],[Total bruto (antes de descuento)]]-Ventas[[#This Row],[total_venta]]</f>
        <v>40</v>
      </c>
    </row>
    <row r="156" spans="1:18" x14ac:dyDescent="0.25">
      <c r="A156" t="s">
        <v>249</v>
      </c>
      <c r="B156" s="1">
        <v>45060</v>
      </c>
      <c r="C156" t="s">
        <v>50</v>
      </c>
      <c r="D156" t="s">
        <v>27</v>
      </c>
      <c r="E156">
        <v>3</v>
      </c>
      <c r="F156" s="2">
        <v>149.99</v>
      </c>
      <c r="G156">
        <v>20</v>
      </c>
      <c r="H156" s="2">
        <v>119.99</v>
      </c>
      <c r="I156" s="2">
        <v>359.97</v>
      </c>
      <c r="J156" t="s">
        <v>19</v>
      </c>
      <c r="K156" t="s">
        <v>52</v>
      </c>
      <c r="L156" t="s">
        <v>21</v>
      </c>
      <c r="M156" t="s">
        <v>73</v>
      </c>
      <c r="N156" t="s">
        <v>74</v>
      </c>
      <c r="O156" t="s">
        <v>35</v>
      </c>
      <c r="P156">
        <v>3</v>
      </c>
      <c r="Q156" s="2">
        <f>Ventas[[#This Row],[precio_base]]*Ventas[[#This Row],[cantidad]]</f>
        <v>449.97</v>
      </c>
      <c r="R156" s="2">
        <f>Ventas[[#This Row],[Total bruto (antes de descuento)]]-Ventas[[#This Row],[total_venta]]</f>
        <v>90</v>
      </c>
    </row>
    <row r="157" spans="1:18" x14ac:dyDescent="0.25">
      <c r="A157" t="s">
        <v>250</v>
      </c>
      <c r="B157" s="1">
        <v>45170</v>
      </c>
      <c r="C157" t="s">
        <v>26</v>
      </c>
      <c r="D157" t="s">
        <v>27</v>
      </c>
      <c r="E157">
        <v>3</v>
      </c>
      <c r="F157" s="2">
        <v>399.99</v>
      </c>
      <c r="G157">
        <v>0</v>
      </c>
      <c r="H157" s="2">
        <v>399.99</v>
      </c>
      <c r="I157" s="2">
        <v>1199.97</v>
      </c>
      <c r="J157" t="s">
        <v>19</v>
      </c>
      <c r="K157" t="s">
        <v>20</v>
      </c>
      <c r="L157" t="s">
        <v>45</v>
      </c>
      <c r="M157" t="s">
        <v>46</v>
      </c>
      <c r="N157" t="s">
        <v>47</v>
      </c>
      <c r="O157" t="s">
        <v>48</v>
      </c>
      <c r="P157">
        <v>1</v>
      </c>
      <c r="Q157" s="2">
        <f>Ventas[[#This Row],[precio_base]]*Ventas[[#This Row],[cantidad]]</f>
        <v>1199.97</v>
      </c>
      <c r="R157" s="2">
        <f>Ventas[[#This Row],[Total bruto (antes de descuento)]]-Ventas[[#This Row],[total_venta]]</f>
        <v>0</v>
      </c>
    </row>
    <row r="158" spans="1:18" x14ac:dyDescent="0.25">
      <c r="A158" t="s">
        <v>251</v>
      </c>
      <c r="B158" s="1">
        <v>44992</v>
      </c>
      <c r="C158" t="s">
        <v>92</v>
      </c>
      <c r="D158" t="s">
        <v>27</v>
      </c>
      <c r="E158">
        <v>4</v>
      </c>
      <c r="F158" s="2">
        <v>79.989999999999995</v>
      </c>
      <c r="G158">
        <v>20</v>
      </c>
      <c r="H158" s="2">
        <v>63.99</v>
      </c>
      <c r="I158" s="2">
        <v>255.96</v>
      </c>
      <c r="J158" t="s">
        <v>19</v>
      </c>
      <c r="K158" t="s">
        <v>20</v>
      </c>
      <c r="L158" t="s">
        <v>45</v>
      </c>
      <c r="M158" t="s">
        <v>33</v>
      </c>
      <c r="N158" t="s">
        <v>34</v>
      </c>
      <c r="O158" t="s">
        <v>35</v>
      </c>
      <c r="P158">
        <v>5</v>
      </c>
      <c r="Q158" s="2">
        <f>Ventas[[#This Row],[precio_base]]*Ventas[[#This Row],[cantidad]]</f>
        <v>319.95999999999998</v>
      </c>
      <c r="R158" s="2">
        <f>Ventas[[#This Row],[Total bruto (antes de descuento)]]-Ventas[[#This Row],[total_venta]]</f>
        <v>63.999999999999972</v>
      </c>
    </row>
    <row r="159" spans="1:18" x14ac:dyDescent="0.25">
      <c r="A159" t="s">
        <v>252</v>
      </c>
      <c r="B159" s="1">
        <v>44971</v>
      </c>
      <c r="C159" t="s">
        <v>76</v>
      </c>
      <c r="D159" t="s">
        <v>31</v>
      </c>
      <c r="E159">
        <v>5</v>
      </c>
      <c r="F159" s="2">
        <v>69.989999999999995</v>
      </c>
      <c r="G159">
        <v>0</v>
      </c>
      <c r="H159" s="2">
        <v>69.989999999999995</v>
      </c>
      <c r="I159" s="2">
        <v>349.95</v>
      </c>
      <c r="J159" t="s">
        <v>19</v>
      </c>
      <c r="K159" t="s">
        <v>20</v>
      </c>
      <c r="L159" t="s">
        <v>45</v>
      </c>
      <c r="M159" t="s">
        <v>46</v>
      </c>
      <c r="N159" t="s">
        <v>47</v>
      </c>
      <c r="O159" t="s">
        <v>48</v>
      </c>
      <c r="P159">
        <v>4</v>
      </c>
      <c r="Q159" s="2">
        <f>Ventas[[#This Row],[precio_base]]*Ventas[[#This Row],[cantidad]]</f>
        <v>349.95</v>
      </c>
      <c r="R159" s="2">
        <f>Ventas[[#This Row],[Total bruto (antes de descuento)]]-Ventas[[#This Row],[total_venta]]</f>
        <v>0</v>
      </c>
    </row>
    <row r="160" spans="1:18" x14ac:dyDescent="0.25">
      <c r="A160" t="s">
        <v>253</v>
      </c>
      <c r="B160" s="1">
        <v>45363</v>
      </c>
      <c r="C160" t="s">
        <v>81</v>
      </c>
      <c r="D160" t="s">
        <v>31</v>
      </c>
      <c r="E160">
        <v>1</v>
      </c>
      <c r="F160" s="2">
        <v>189.99</v>
      </c>
      <c r="G160">
        <v>5</v>
      </c>
      <c r="H160" s="2">
        <v>180.49</v>
      </c>
      <c r="I160" s="2">
        <v>180.49</v>
      </c>
      <c r="J160" t="s">
        <v>51</v>
      </c>
      <c r="K160" t="s">
        <v>20</v>
      </c>
      <c r="L160" t="s">
        <v>21</v>
      </c>
      <c r="M160" t="s">
        <v>101</v>
      </c>
      <c r="N160" t="s">
        <v>102</v>
      </c>
      <c r="O160" t="s">
        <v>35</v>
      </c>
      <c r="Q160" s="2">
        <f>Ventas[[#This Row],[precio_base]]*Ventas[[#This Row],[cantidad]]</f>
        <v>189.99</v>
      </c>
      <c r="R160" s="2">
        <f>Ventas[[#This Row],[Total bruto (antes de descuento)]]-Ventas[[#This Row],[total_venta]]</f>
        <v>9.5</v>
      </c>
    </row>
    <row r="161" spans="1:18" x14ac:dyDescent="0.25">
      <c r="A161" t="s">
        <v>254</v>
      </c>
      <c r="B161" s="1">
        <v>45549</v>
      </c>
      <c r="C161" t="s">
        <v>78</v>
      </c>
      <c r="D161" t="s">
        <v>18</v>
      </c>
      <c r="E161">
        <v>1</v>
      </c>
      <c r="F161" s="2">
        <v>349.99</v>
      </c>
      <c r="G161">
        <v>0</v>
      </c>
      <c r="H161" s="2">
        <v>349.99</v>
      </c>
      <c r="I161" s="2">
        <v>349.99</v>
      </c>
      <c r="J161" t="s">
        <v>19</v>
      </c>
      <c r="K161" t="s">
        <v>44</v>
      </c>
      <c r="L161" t="s">
        <v>28</v>
      </c>
      <c r="M161" t="s">
        <v>73</v>
      </c>
      <c r="N161" t="s">
        <v>74</v>
      </c>
      <c r="O161" t="s">
        <v>35</v>
      </c>
      <c r="P161">
        <v>4</v>
      </c>
      <c r="Q161" s="2">
        <f>Ventas[[#This Row],[precio_base]]*Ventas[[#This Row],[cantidad]]</f>
        <v>349.99</v>
      </c>
      <c r="R161" s="2">
        <f>Ventas[[#This Row],[Total bruto (antes de descuento)]]-Ventas[[#This Row],[total_venta]]</f>
        <v>0</v>
      </c>
    </row>
    <row r="162" spans="1:18" x14ac:dyDescent="0.25">
      <c r="A162" t="s">
        <v>255</v>
      </c>
      <c r="B162" s="1">
        <v>45538</v>
      </c>
      <c r="C162" t="s">
        <v>87</v>
      </c>
      <c r="D162" t="s">
        <v>27</v>
      </c>
      <c r="E162">
        <v>3</v>
      </c>
      <c r="F162" s="2">
        <v>249.99</v>
      </c>
      <c r="G162">
        <v>5</v>
      </c>
      <c r="H162" s="2">
        <v>237.49</v>
      </c>
      <c r="I162" s="2">
        <v>712.47</v>
      </c>
      <c r="J162" t="s">
        <v>19</v>
      </c>
      <c r="K162" t="s">
        <v>20</v>
      </c>
      <c r="L162" t="s">
        <v>28</v>
      </c>
      <c r="M162" t="s">
        <v>120</v>
      </c>
      <c r="N162" t="s">
        <v>23</v>
      </c>
      <c r="O162" t="s">
        <v>24</v>
      </c>
      <c r="P162">
        <v>5</v>
      </c>
      <c r="Q162" s="2">
        <f>Ventas[[#This Row],[precio_base]]*Ventas[[#This Row],[cantidad]]</f>
        <v>749.97</v>
      </c>
      <c r="R162" s="2">
        <f>Ventas[[#This Row],[Total bruto (antes de descuento)]]-Ventas[[#This Row],[total_venta]]</f>
        <v>37.5</v>
      </c>
    </row>
    <row r="163" spans="1:18" x14ac:dyDescent="0.25">
      <c r="A163" t="s">
        <v>256</v>
      </c>
      <c r="B163" s="1">
        <v>45147</v>
      </c>
      <c r="C163" t="s">
        <v>37</v>
      </c>
      <c r="D163" t="s">
        <v>38</v>
      </c>
      <c r="E163">
        <v>4</v>
      </c>
      <c r="F163" s="2">
        <v>34.99</v>
      </c>
      <c r="G163">
        <v>0</v>
      </c>
      <c r="H163" s="2">
        <v>34.99</v>
      </c>
      <c r="I163" s="2">
        <v>139.96</v>
      </c>
      <c r="J163" t="s">
        <v>19</v>
      </c>
      <c r="K163" t="s">
        <v>44</v>
      </c>
      <c r="L163" t="s">
        <v>45</v>
      </c>
      <c r="M163" t="s">
        <v>67</v>
      </c>
      <c r="N163" t="s">
        <v>68</v>
      </c>
      <c r="O163" t="s">
        <v>35</v>
      </c>
      <c r="P163">
        <v>1</v>
      </c>
      <c r="Q163" s="2">
        <f>Ventas[[#This Row],[precio_base]]*Ventas[[#This Row],[cantidad]]</f>
        <v>139.96</v>
      </c>
      <c r="R163" s="2">
        <f>Ventas[[#This Row],[Total bruto (antes de descuento)]]-Ventas[[#This Row],[total_venta]]</f>
        <v>0</v>
      </c>
    </row>
    <row r="164" spans="1:18" x14ac:dyDescent="0.25">
      <c r="A164" t="s">
        <v>257</v>
      </c>
      <c r="B164" s="1">
        <v>45247</v>
      </c>
      <c r="C164" t="s">
        <v>37</v>
      </c>
      <c r="D164" t="s">
        <v>38</v>
      </c>
      <c r="E164">
        <v>3</v>
      </c>
      <c r="F164" s="2">
        <v>34.99</v>
      </c>
      <c r="G164">
        <v>15</v>
      </c>
      <c r="H164" s="2">
        <v>29.74</v>
      </c>
      <c r="I164" s="2">
        <v>89.22</v>
      </c>
      <c r="J164" t="s">
        <v>19</v>
      </c>
      <c r="K164" t="s">
        <v>44</v>
      </c>
      <c r="L164" t="s">
        <v>45</v>
      </c>
      <c r="M164" t="s">
        <v>63</v>
      </c>
      <c r="N164" t="s">
        <v>34</v>
      </c>
      <c r="O164" t="s">
        <v>24</v>
      </c>
      <c r="P164">
        <v>1</v>
      </c>
      <c r="Q164" s="2">
        <f>Ventas[[#This Row],[precio_base]]*Ventas[[#This Row],[cantidad]]</f>
        <v>104.97</v>
      </c>
      <c r="R164" s="2">
        <f>Ventas[[#This Row],[Total bruto (antes de descuento)]]-Ventas[[#This Row],[total_venta]]</f>
        <v>15.75</v>
      </c>
    </row>
    <row r="165" spans="1:18" x14ac:dyDescent="0.25">
      <c r="A165" t="s">
        <v>258</v>
      </c>
      <c r="B165" s="1">
        <v>45014</v>
      </c>
      <c r="C165" t="s">
        <v>56</v>
      </c>
      <c r="D165" t="s">
        <v>18</v>
      </c>
      <c r="E165">
        <v>4</v>
      </c>
      <c r="F165" s="2">
        <v>89.99</v>
      </c>
      <c r="G165">
        <v>0</v>
      </c>
      <c r="H165" s="2">
        <v>89.99</v>
      </c>
      <c r="I165" s="2">
        <v>359.96</v>
      </c>
      <c r="J165" t="s">
        <v>51</v>
      </c>
      <c r="K165" t="s">
        <v>52</v>
      </c>
      <c r="L165" t="s">
        <v>45</v>
      </c>
      <c r="M165" t="s">
        <v>123</v>
      </c>
      <c r="N165" t="s">
        <v>124</v>
      </c>
      <c r="O165" t="s">
        <v>24</v>
      </c>
      <c r="Q165" s="2">
        <f>Ventas[[#This Row],[precio_base]]*Ventas[[#This Row],[cantidad]]</f>
        <v>359.96</v>
      </c>
      <c r="R165" s="2">
        <f>Ventas[[#This Row],[Total bruto (antes de descuento)]]-Ventas[[#This Row],[total_venta]]</f>
        <v>0</v>
      </c>
    </row>
    <row r="166" spans="1:18" x14ac:dyDescent="0.25">
      <c r="A166" t="s">
        <v>259</v>
      </c>
      <c r="B166" s="1">
        <v>45527</v>
      </c>
      <c r="C166" t="s">
        <v>50</v>
      </c>
      <c r="D166" t="s">
        <v>27</v>
      </c>
      <c r="E166">
        <v>5</v>
      </c>
      <c r="F166" s="2">
        <v>149.99</v>
      </c>
      <c r="G166">
        <v>0</v>
      </c>
      <c r="H166" s="2">
        <v>149.99</v>
      </c>
      <c r="I166" s="2">
        <v>749.95</v>
      </c>
      <c r="J166" t="s">
        <v>51</v>
      </c>
      <c r="K166" t="s">
        <v>20</v>
      </c>
      <c r="L166" t="s">
        <v>28</v>
      </c>
      <c r="M166" t="s">
        <v>120</v>
      </c>
      <c r="N166" t="s">
        <v>23</v>
      </c>
      <c r="O166" t="s">
        <v>24</v>
      </c>
      <c r="Q166" s="2">
        <f>Ventas[[#This Row],[precio_base]]*Ventas[[#This Row],[cantidad]]</f>
        <v>749.95</v>
      </c>
      <c r="R166" s="2">
        <f>Ventas[[#This Row],[Total bruto (antes de descuento)]]-Ventas[[#This Row],[total_venta]]</f>
        <v>0</v>
      </c>
    </row>
    <row r="167" spans="1:18" x14ac:dyDescent="0.25">
      <c r="A167" t="s">
        <v>260</v>
      </c>
      <c r="B167" s="1">
        <v>45360</v>
      </c>
      <c r="C167" t="s">
        <v>42</v>
      </c>
      <c r="D167" t="s">
        <v>43</v>
      </c>
      <c r="E167">
        <v>1</v>
      </c>
      <c r="F167" s="2">
        <v>349.99</v>
      </c>
      <c r="G167">
        <v>0</v>
      </c>
      <c r="H167" s="2">
        <v>349.99</v>
      </c>
      <c r="I167" s="2">
        <v>349.99</v>
      </c>
      <c r="J167" t="s">
        <v>51</v>
      </c>
      <c r="K167" t="s">
        <v>20</v>
      </c>
      <c r="L167" t="s">
        <v>45</v>
      </c>
      <c r="M167" t="s">
        <v>123</v>
      </c>
      <c r="N167" t="s">
        <v>124</v>
      </c>
      <c r="O167" t="s">
        <v>24</v>
      </c>
      <c r="Q167" s="2">
        <f>Ventas[[#This Row],[precio_base]]*Ventas[[#This Row],[cantidad]]</f>
        <v>349.99</v>
      </c>
      <c r="R167" s="2">
        <f>Ventas[[#This Row],[Total bruto (antes de descuento)]]-Ventas[[#This Row],[total_venta]]</f>
        <v>0</v>
      </c>
    </row>
    <row r="168" spans="1:18" x14ac:dyDescent="0.25">
      <c r="A168" t="s">
        <v>261</v>
      </c>
      <c r="B168" s="1">
        <v>45085</v>
      </c>
      <c r="C168" t="s">
        <v>81</v>
      </c>
      <c r="D168" t="s">
        <v>31</v>
      </c>
      <c r="E168">
        <v>4</v>
      </c>
      <c r="F168" s="2">
        <v>189.99</v>
      </c>
      <c r="G168">
        <v>0</v>
      </c>
      <c r="H168" s="2">
        <v>189.99</v>
      </c>
      <c r="I168" s="2">
        <v>759.96</v>
      </c>
      <c r="J168" t="s">
        <v>62</v>
      </c>
      <c r="K168" t="s">
        <v>52</v>
      </c>
      <c r="L168" t="s">
        <v>45</v>
      </c>
      <c r="M168" t="s">
        <v>123</v>
      </c>
      <c r="N168" t="s">
        <v>124</v>
      </c>
      <c r="O168" t="s">
        <v>24</v>
      </c>
      <c r="Q168" s="2">
        <f>Ventas[[#This Row],[precio_base]]*Ventas[[#This Row],[cantidad]]</f>
        <v>759.96</v>
      </c>
      <c r="R168" s="2">
        <f>Ventas[[#This Row],[Total bruto (antes de descuento)]]-Ventas[[#This Row],[total_venta]]</f>
        <v>0</v>
      </c>
    </row>
    <row r="169" spans="1:18" x14ac:dyDescent="0.25">
      <c r="A169" t="s">
        <v>262</v>
      </c>
      <c r="B169" s="1">
        <v>45212</v>
      </c>
      <c r="C169" t="s">
        <v>26</v>
      </c>
      <c r="D169" t="s">
        <v>27</v>
      </c>
      <c r="E169">
        <v>2</v>
      </c>
      <c r="F169" s="2">
        <v>399.99</v>
      </c>
      <c r="G169">
        <v>20</v>
      </c>
      <c r="H169" s="2">
        <v>319.99</v>
      </c>
      <c r="I169" s="2">
        <v>639.98</v>
      </c>
      <c r="J169" t="s">
        <v>19</v>
      </c>
      <c r="K169" t="s">
        <v>57</v>
      </c>
      <c r="L169" t="s">
        <v>32</v>
      </c>
      <c r="M169" t="s">
        <v>65</v>
      </c>
      <c r="N169" t="s">
        <v>54</v>
      </c>
      <c r="O169" t="s">
        <v>35</v>
      </c>
      <c r="P169">
        <v>5</v>
      </c>
      <c r="Q169" s="2">
        <f>Ventas[[#This Row],[precio_base]]*Ventas[[#This Row],[cantidad]]</f>
        <v>799.98</v>
      </c>
      <c r="R169" s="2">
        <f>Ventas[[#This Row],[Total bruto (antes de descuento)]]-Ventas[[#This Row],[total_venta]]</f>
        <v>160</v>
      </c>
    </row>
    <row r="170" spans="1:18" x14ac:dyDescent="0.25">
      <c r="A170" t="s">
        <v>263</v>
      </c>
      <c r="B170" s="1">
        <v>45618</v>
      </c>
      <c r="C170" t="s">
        <v>72</v>
      </c>
      <c r="D170" t="s">
        <v>31</v>
      </c>
      <c r="E170">
        <v>5</v>
      </c>
      <c r="F170" s="2">
        <v>29.99</v>
      </c>
      <c r="G170">
        <v>0</v>
      </c>
      <c r="H170" s="2">
        <v>29.99</v>
      </c>
      <c r="I170" s="2">
        <v>149.94999999999999</v>
      </c>
      <c r="J170" t="s">
        <v>51</v>
      </c>
      <c r="K170" t="s">
        <v>52</v>
      </c>
      <c r="L170" t="s">
        <v>21</v>
      </c>
      <c r="M170" t="s">
        <v>73</v>
      </c>
      <c r="N170" t="s">
        <v>74</v>
      </c>
      <c r="O170" t="s">
        <v>35</v>
      </c>
      <c r="Q170" s="2">
        <f>Ventas[[#This Row],[precio_base]]*Ventas[[#This Row],[cantidad]]</f>
        <v>149.94999999999999</v>
      </c>
      <c r="R170" s="2">
        <f>Ventas[[#This Row],[Total bruto (antes de descuento)]]-Ventas[[#This Row],[total_venta]]</f>
        <v>0</v>
      </c>
    </row>
    <row r="171" spans="1:18" x14ac:dyDescent="0.25">
      <c r="A171" t="s">
        <v>264</v>
      </c>
      <c r="B171" s="1">
        <v>45111</v>
      </c>
      <c r="C171" t="s">
        <v>61</v>
      </c>
      <c r="D171" t="s">
        <v>38</v>
      </c>
      <c r="E171">
        <v>3</v>
      </c>
      <c r="F171" s="2">
        <v>19.989999999999998</v>
      </c>
      <c r="G171">
        <v>0</v>
      </c>
      <c r="H171" s="2">
        <v>19.989999999999998</v>
      </c>
      <c r="I171" s="2">
        <v>59.97</v>
      </c>
      <c r="J171" t="s">
        <v>19</v>
      </c>
      <c r="K171" t="s">
        <v>52</v>
      </c>
      <c r="L171" t="s">
        <v>45</v>
      </c>
      <c r="M171" t="s">
        <v>63</v>
      </c>
      <c r="N171" t="s">
        <v>34</v>
      </c>
      <c r="O171" t="s">
        <v>24</v>
      </c>
      <c r="P171">
        <v>4</v>
      </c>
      <c r="Q171" s="2">
        <f>Ventas[[#This Row],[precio_base]]*Ventas[[#This Row],[cantidad]]</f>
        <v>59.97</v>
      </c>
      <c r="R171" s="2">
        <f>Ventas[[#This Row],[Total bruto (antes de descuento)]]-Ventas[[#This Row],[total_venta]]</f>
        <v>0</v>
      </c>
    </row>
    <row r="172" spans="1:18" x14ac:dyDescent="0.25">
      <c r="A172" t="s">
        <v>265</v>
      </c>
      <c r="B172" s="1">
        <v>44998</v>
      </c>
      <c r="C172" t="s">
        <v>78</v>
      </c>
      <c r="D172" t="s">
        <v>18</v>
      </c>
      <c r="E172">
        <v>1</v>
      </c>
      <c r="F172" s="2">
        <v>349.99</v>
      </c>
      <c r="G172">
        <v>0</v>
      </c>
      <c r="H172" s="2">
        <v>349.99</v>
      </c>
      <c r="I172" s="2">
        <v>349.99</v>
      </c>
      <c r="J172" t="s">
        <v>51</v>
      </c>
      <c r="K172" t="s">
        <v>20</v>
      </c>
      <c r="L172" t="s">
        <v>45</v>
      </c>
      <c r="M172" t="s">
        <v>22</v>
      </c>
      <c r="N172" t="s">
        <v>23</v>
      </c>
      <c r="O172" t="s">
        <v>24</v>
      </c>
      <c r="Q172" s="2">
        <f>Ventas[[#This Row],[precio_base]]*Ventas[[#This Row],[cantidad]]</f>
        <v>349.99</v>
      </c>
      <c r="R172" s="2">
        <f>Ventas[[#This Row],[Total bruto (antes de descuento)]]-Ventas[[#This Row],[total_venta]]</f>
        <v>0</v>
      </c>
    </row>
    <row r="173" spans="1:18" x14ac:dyDescent="0.25">
      <c r="A173" t="s">
        <v>266</v>
      </c>
      <c r="B173" s="1">
        <v>45088</v>
      </c>
      <c r="C173" t="s">
        <v>89</v>
      </c>
      <c r="D173" t="s">
        <v>38</v>
      </c>
      <c r="E173">
        <v>3</v>
      </c>
      <c r="F173" s="2">
        <v>69.989999999999995</v>
      </c>
      <c r="G173">
        <v>15</v>
      </c>
      <c r="H173" s="2">
        <v>59.49</v>
      </c>
      <c r="I173" s="2">
        <v>178.47</v>
      </c>
      <c r="J173" t="s">
        <v>19</v>
      </c>
      <c r="K173" t="s">
        <v>44</v>
      </c>
      <c r="L173" t="s">
        <v>32</v>
      </c>
      <c r="M173" t="s">
        <v>33</v>
      </c>
      <c r="N173" t="s">
        <v>34</v>
      </c>
      <c r="O173" t="s">
        <v>35</v>
      </c>
      <c r="P173">
        <v>2</v>
      </c>
      <c r="Q173" s="2">
        <f>Ventas[[#This Row],[precio_base]]*Ventas[[#This Row],[cantidad]]</f>
        <v>209.96999999999997</v>
      </c>
      <c r="R173" s="2">
        <f>Ventas[[#This Row],[Total bruto (antes de descuento)]]-Ventas[[#This Row],[total_venta]]</f>
        <v>31.499999999999972</v>
      </c>
    </row>
    <row r="174" spans="1:18" x14ac:dyDescent="0.25">
      <c r="A174" t="s">
        <v>267</v>
      </c>
      <c r="B174" s="1">
        <v>45088</v>
      </c>
      <c r="C174" t="s">
        <v>98</v>
      </c>
      <c r="D174" t="s">
        <v>31</v>
      </c>
      <c r="E174">
        <v>5</v>
      </c>
      <c r="F174" s="2">
        <v>99.99</v>
      </c>
      <c r="G174">
        <v>0</v>
      </c>
      <c r="H174" s="2">
        <v>99.99</v>
      </c>
      <c r="I174" s="2">
        <v>499.95</v>
      </c>
      <c r="J174" t="s">
        <v>51</v>
      </c>
      <c r="K174" t="s">
        <v>20</v>
      </c>
      <c r="L174" t="s">
        <v>45</v>
      </c>
      <c r="M174" t="s">
        <v>58</v>
      </c>
      <c r="N174" t="s">
        <v>59</v>
      </c>
      <c r="O174" t="s">
        <v>24</v>
      </c>
      <c r="Q174" s="2">
        <f>Ventas[[#This Row],[precio_base]]*Ventas[[#This Row],[cantidad]]</f>
        <v>499.95</v>
      </c>
      <c r="R174" s="2">
        <f>Ventas[[#This Row],[Total bruto (antes de descuento)]]-Ventas[[#This Row],[total_venta]]</f>
        <v>0</v>
      </c>
    </row>
    <row r="175" spans="1:18" x14ac:dyDescent="0.25">
      <c r="A175" t="s">
        <v>268</v>
      </c>
      <c r="B175" s="1">
        <v>45548</v>
      </c>
      <c r="C175" t="s">
        <v>151</v>
      </c>
      <c r="D175" t="s">
        <v>27</v>
      </c>
      <c r="E175">
        <v>4</v>
      </c>
      <c r="F175" s="2">
        <v>599.99</v>
      </c>
      <c r="G175">
        <v>0</v>
      </c>
      <c r="H175" s="2">
        <v>599.99</v>
      </c>
      <c r="I175" s="2">
        <v>2399.96</v>
      </c>
      <c r="J175" t="s">
        <v>19</v>
      </c>
      <c r="K175" t="s">
        <v>20</v>
      </c>
      <c r="L175" t="s">
        <v>45</v>
      </c>
      <c r="M175" t="s">
        <v>65</v>
      </c>
      <c r="N175" t="s">
        <v>54</v>
      </c>
      <c r="O175" t="s">
        <v>35</v>
      </c>
      <c r="P175">
        <v>3</v>
      </c>
      <c r="Q175" s="2">
        <f>Ventas[[#This Row],[precio_base]]*Ventas[[#This Row],[cantidad]]</f>
        <v>2399.96</v>
      </c>
      <c r="R175" s="2">
        <f>Ventas[[#This Row],[Total bruto (antes de descuento)]]-Ventas[[#This Row],[total_venta]]</f>
        <v>0</v>
      </c>
    </row>
    <row r="176" spans="1:18" x14ac:dyDescent="0.25">
      <c r="A176" t="s">
        <v>269</v>
      </c>
      <c r="B176" s="1">
        <v>45621</v>
      </c>
      <c r="C176" t="s">
        <v>81</v>
      </c>
      <c r="D176" t="s">
        <v>31</v>
      </c>
      <c r="E176">
        <v>5</v>
      </c>
      <c r="F176" s="2">
        <v>189.99</v>
      </c>
      <c r="G176">
        <v>5</v>
      </c>
      <c r="H176" s="2">
        <v>180.49</v>
      </c>
      <c r="I176" s="2">
        <v>902.45</v>
      </c>
      <c r="J176" t="s">
        <v>19</v>
      </c>
      <c r="K176" t="s">
        <v>20</v>
      </c>
      <c r="L176" t="s">
        <v>45</v>
      </c>
      <c r="M176" t="s">
        <v>58</v>
      </c>
      <c r="N176" t="s">
        <v>59</v>
      </c>
      <c r="O176" t="s">
        <v>24</v>
      </c>
      <c r="P176">
        <v>5</v>
      </c>
      <c r="Q176" s="2">
        <f>Ventas[[#This Row],[precio_base]]*Ventas[[#This Row],[cantidad]]</f>
        <v>949.95</v>
      </c>
      <c r="R176" s="2">
        <f>Ventas[[#This Row],[Total bruto (antes de descuento)]]-Ventas[[#This Row],[total_venta]]</f>
        <v>47.5</v>
      </c>
    </row>
    <row r="177" spans="1:18" x14ac:dyDescent="0.25">
      <c r="A177" t="s">
        <v>270</v>
      </c>
      <c r="B177" s="1">
        <v>44983</v>
      </c>
      <c r="C177" t="s">
        <v>104</v>
      </c>
      <c r="D177" t="s">
        <v>18</v>
      </c>
      <c r="E177">
        <v>2</v>
      </c>
      <c r="F177" s="2">
        <v>1199.99</v>
      </c>
      <c r="G177">
        <v>0</v>
      </c>
      <c r="H177" s="2">
        <v>1199.99</v>
      </c>
      <c r="I177" s="2">
        <v>2399.98</v>
      </c>
      <c r="J177" t="s">
        <v>90</v>
      </c>
      <c r="K177" t="s">
        <v>20</v>
      </c>
      <c r="L177" t="s">
        <v>21</v>
      </c>
      <c r="M177" t="s">
        <v>39</v>
      </c>
      <c r="N177" t="s">
        <v>40</v>
      </c>
      <c r="O177" t="s">
        <v>35</v>
      </c>
      <c r="Q177" s="2">
        <f>Ventas[[#This Row],[precio_base]]*Ventas[[#This Row],[cantidad]]</f>
        <v>2399.98</v>
      </c>
      <c r="R177" s="2">
        <f>Ventas[[#This Row],[Total bruto (antes de descuento)]]-Ventas[[#This Row],[total_venta]]</f>
        <v>0</v>
      </c>
    </row>
    <row r="178" spans="1:18" x14ac:dyDescent="0.25">
      <c r="A178" t="s">
        <v>271</v>
      </c>
      <c r="B178" s="1">
        <v>45262</v>
      </c>
      <c r="C178" t="s">
        <v>17</v>
      </c>
      <c r="D178" t="s">
        <v>18</v>
      </c>
      <c r="E178">
        <v>1</v>
      </c>
      <c r="F178" s="2">
        <v>45.99</v>
      </c>
      <c r="G178">
        <v>5</v>
      </c>
      <c r="H178" s="2">
        <v>43.69</v>
      </c>
      <c r="I178" s="2">
        <v>43.69</v>
      </c>
      <c r="J178" t="s">
        <v>51</v>
      </c>
      <c r="K178" t="s">
        <v>20</v>
      </c>
      <c r="L178" t="s">
        <v>45</v>
      </c>
      <c r="M178" t="s">
        <v>63</v>
      </c>
      <c r="N178" t="s">
        <v>34</v>
      </c>
      <c r="O178" t="s">
        <v>24</v>
      </c>
      <c r="Q178" s="2">
        <f>Ventas[[#This Row],[precio_base]]*Ventas[[#This Row],[cantidad]]</f>
        <v>45.99</v>
      </c>
      <c r="R178" s="2">
        <f>Ventas[[#This Row],[Total bruto (antes de descuento)]]-Ventas[[#This Row],[total_venta]]</f>
        <v>2.3000000000000043</v>
      </c>
    </row>
    <row r="179" spans="1:18" x14ac:dyDescent="0.25">
      <c r="A179" t="s">
        <v>272</v>
      </c>
      <c r="B179" s="1">
        <v>45162</v>
      </c>
      <c r="C179" t="s">
        <v>87</v>
      </c>
      <c r="D179" t="s">
        <v>27</v>
      </c>
      <c r="E179">
        <v>5</v>
      </c>
      <c r="F179" s="2">
        <v>249.99</v>
      </c>
      <c r="G179">
        <v>20</v>
      </c>
      <c r="H179" s="2">
        <v>199.99</v>
      </c>
      <c r="I179" s="2">
        <v>999.95</v>
      </c>
      <c r="J179" t="s">
        <v>51</v>
      </c>
      <c r="K179" t="s">
        <v>20</v>
      </c>
      <c r="L179" t="s">
        <v>32</v>
      </c>
      <c r="M179" t="s">
        <v>123</v>
      </c>
      <c r="N179" t="s">
        <v>124</v>
      </c>
      <c r="O179" t="s">
        <v>24</v>
      </c>
      <c r="Q179" s="2">
        <f>Ventas[[#This Row],[precio_base]]*Ventas[[#This Row],[cantidad]]</f>
        <v>1249.95</v>
      </c>
      <c r="R179" s="2">
        <f>Ventas[[#This Row],[Total bruto (antes de descuento)]]-Ventas[[#This Row],[total_venta]]</f>
        <v>250</v>
      </c>
    </row>
    <row r="180" spans="1:18" x14ac:dyDescent="0.25">
      <c r="A180" t="s">
        <v>273</v>
      </c>
      <c r="B180" s="1">
        <v>44970</v>
      </c>
      <c r="C180" t="s">
        <v>37</v>
      </c>
      <c r="D180" t="s">
        <v>38</v>
      </c>
      <c r="E180">
        <v>1</v>
      </c>
      <c r="F180" s="2">
        <v>34.99</v>
      </c>
      <c r="G180">
        <v>5</v>
      </c>
      <c r="H180" s="2">
        <v>33.24</v>
      </c>
      <c r="I180" s="2">
        <v>33.24</v>
      </c>
      <c r="J180" t="s">
        <v>90</v>
      </c>
      <c r="K180" t="s">
        <v>20</v>
      </c>
      <c r="L180" t="s">
        <v>45</v>
      </c>
      <c r="M180" t="s">
        <v>67</v>
      </c>
      <c r="N180" t="s">
        <v>68</v>
      </c>
      <c r="O180" t="s">
        <v>35</v>
      </c>
      <c r="Q180" s="2">
        <f>Ventas[[#This Row],[precio_base]]*Ventas[[#This Row],[cantidad]]</f>
        <v>34.99</v>
      </c>
      <c r="R180" s="2">
        <f>Ventas[[#This Row],[Total bruto (antes de descuento)]]-Ventas[[#This Row],[total_venta]]</f>
        <v>1.75</v>
      </c>
    </row>
    <row r="181" spans="1:18" x14ac:dyDescent="0.25">
      <c r="A181" t="s">
        <v>274</v>
      </c>
      <c r="B181" s="1">
        <v>45341</v>
      </c>
      <c r="C181" t="s">
        <v>30</v>
      </c>
      <c r="D181" t="s">
        <v>31</v>
      </c>
      <c r="E181">
        <v>4</v>
      </c>
      <c r="F181" s="2">
        <v>299.99</v>
      </c>
      <c r="G181">
        <v>0</v>
      </c>
      <c r="H181" s="2">
        <v>299.99</v>
      </c>
      <c r="I181" s="2">
        <v>1199.96</v>
      </c>
      <c r="J181" t="s">
        <v>19</v>
      </c>
      <c r="K181" t="s">
        <v>57</v>
      </c>
      <c r="L181" t="s">
        <v>21</v>
      </c>
      <c r="M181" t="s">
        <v>46</v>
      </c>
      <c r="N181" t="s">
        <v>47</v>
      </c>
      <c r="O181" t="s">
        <v>48</v>
      </c>
      <c r="P181">
        <v>5</v>
      </c>
      <c r="Q181" s="2">
        <f>Ventas[[#This Row],[precio_base]]*Ventas[[#This Row],[cantidad]]</f>
        <v>1199.96</v>
      </c>
      <c r="R181" s="2">
        <f>Ventas[[#This Row],[Total bruto (antes de descuento)]]-Ventas[[#This Row],[total_venta]]</f>
        <v>0</v>
      </c>
    </row>
    <row r="182" spans="1:18" x14ac:dyDescent="0.25">
      <c r="A182" t="s">
        <v>275</v>
      </c>
      <c r="B182" s="1">
        <v>45398</v>
      </c>
      <c r="C182" t="s">
        <v>143</v>
      </c>
      <c r="D182" t="s">
        <v>43</v>
      </c>
      <c r="E182">
        <v>3</v>
      </c>
      <c r="F182" s="2">
        <v>34.99</v>
      </c>
      <c r="G182">
        <v>0</v>
      </c>
      <c r="H182" s="2">
        <v>34.99</v>
      </c>
      <c r="I182" s="2">
        <v>104.97</v>
      </c>
      <c r="J182" t="s">
        <v>19</v>
      </c>
      <c r="K182" t="s">
        <v>20</v>
      </c>
      <c r="L182" t="s">
        <v>45</v>
      </c>
      <c r="M182" t="s">
        <v>95</v>
      </c>
      <c r="N182" t="s">
        <v>96</v>
      </c>
      <c r="O182" t="s">
        <v>48</v>
      </c>
      <c r="P182">
        <v>5</v>
      </c>
      <c r="Q182" s="2">
        <f>Ventas[[#This Row],[precio_base]]*Ventas[[#This Row],[cantidad]]</f>
        <v>104.97</v>
      </c>
      <c r="R182" s="2">
        <f>Ventas[[#This Row],[Total bruto (antes de descuento)]]-Ventas[[#This Row],[total_venta]]</f>
        <v>0</v>
      </c>
    </row>
    <row r="183" spans="1:18" x14ac:dyDescent="0.25">
      <c r="A183" t="s">
        <v>276</v>
      </c>
      <c r="B183" s="1">
        <v>45007</v>
      </c>
      <c r="C183" t="s">
        <v>109</v>
      </c>
      <c r="D183" t="s">
        <v>38</v>
      </c>
      <c r="E183">
        <v>3</v>
      </c>
      <c r="F183" s="2">
        <v>39.99</v>
      </c>
      <c r="G183">
        <v>15</v>
      </c>
      <c r="H183" s="2">
        <v>33.99</v>
      </c>
      <c r="I183" s="2">
        <v>101.97</v>
      </c>
      <c r="J183" t="s">
        <v>19</v>
      </c>
      <c r="K183" t="s">
        <v>52</v>
      </c>
      <c r="L183" t="s">
        <v>21</v>
      </c>
      <c r="M183" t="s">
        <v>123</v>
      </c>
      <c r="N183" t="s">
        <v>124</v>
      </c>
      <c r="O183" t="s">
        <v>24</v>
      </c>
      <c r="P183">
        <v>1</v>
      </c>
      <c r="Q183" s="2">
        <f>Ventas[[#This Row],[precio_base]]*Ventas[[#This Row],[cantidad]]</f>
        <v>119.97</v>
      </c>
      <c r="R183" s="2">
        <f>Ventas[[#This Row],[Total bruto (antes de descuento)]]-Ventas[[#This Row],[total_venta]]</f>
        <v>18</v>
      </c>
    </row>
    <row r="184" spans="1:18" x14ac:dyDescent="0.25">
      <c r="A184" t="s">
        <v>277</v>
      </c>
      <c r="B184" s="1">
        <v>45470</v>
      </c>
      <c r="C184" t="s">
        <v>87</v>
      </c>
      <c r="D184" t="s">
        <v>27</v>
      </c>
      <c r="E184">
        <v>2</v>
      </c>
      <c r="F184" s="2">
        <v>249.99</v>
      </c>
      <c r="G184">
        <v>20</v>
      </c>
      <c r="H184" s="2">
        <v>199.99</v>
      </c>
      <c r="I184" s="2">
        <v>399.98</v>
      </c>
      <c r="J184" t="s">
        <v>19</v>
      </c>
      <c r="K184" t="s">
        <v>57</v>
      </c>
      <c r="L184" t="s">
        <v>28</v>
      </c>
      <c r="M184" t="s">
        <v>84</v>
      </c>
      <c r="N184" t="s">
        <v>85</v>
      </c>
      <c r="O184" t="s">
        <v>35</v>
      </c>
      <c r="P184">
        <v>2</v>
      </c>
      <c r="Q184" s="2">
        <f>Ventas[[#This Row],[precio_base]]*Ventas[[#This Row],[cantidad]]</f>
        <v>499.98</v>
      </c>
      <c r="R184" s="2">
        <f>Ventas[[#This Row],[Total bruto (antes de descuento)]]-Ventas[[#This Row],[total_venta]]</f>
        <v>100</v>
      </c>
    </row>
    <row r="185" spans="1:18" x14ac:dyDescent="0.25">
      <c r="A185" t="s">
        <v>278</v>
      </c>
      <c r="B185" s="1">
        <v>45168</v>
      </c>
      <c r="C185" t="s">
        <v>17</v>
      </c>
      <c r="D185" t="s">
        <v>18</v>
      </c>
      <c r="E185">
        <v>2</v>
      </c>
      <c r="F185" s="2">
        <v>45.99</v>
      </c>
      <c r="G185">
        <v>0</v>
      </c>
      <c r="H185" s="2">
        <v>45.99</v>
      </c>
      <c r="I185" s="2">
        <v>91.98</v>
      </c>
      <c r="J185" t="s">
        <v>19</v>
      </c>
      <c r="K185" t="s">
        <v>20</v>
      </c>
      <c r="L185" t="s">
        <v>28</v>
      </c>
      <c r="M185" t="s">
        <v>33</v>
      </c>
      <c r="N185" t="s">
        <v>34</v>
      </c>
      <c r="O185" t="s">
        <v>35</v>
      </c>
      <c r="P185">
        <v>1</v>
      </c>
      <c r="Q185" s="2">
        <f>Ventas[[#This Row],[precio_base]]*Ventas[[#This Row],[cantidad]]</f>
        <v>91.98</v>
      </c>
      <c r="R185" s="2">
        <f>Ventas[[#This Row],[Total bruto (antes de descuento)]]-Ventas[[#This Row],[total_venta]]</f>
        <v>0</v>
      </c>
    </row>
    <row r="186" spans="1:18" x14ac:dyDescent="0.25">
      <c r="A186" t="s">
        <v>279</v>
      </c>
      <c r="B186" s="1">
        <v>45108</v>
      </c>
      <c r="C186" t="s">
        <v>98</v>
      </c>
      <c r="D186" t="s">
        <v>31</v>
      </c>
      <c r="E186">
        <v>4</v>
      </c>
      <c r="F186" s="2">
        <v>99.99</v>
      </c>
      <c r="G186">
        <v>5</v>
      </c>
      <c r="H186" s="2">
        <v>94.99</v>
      </c>
      <c r="I186" s="2">
        <v>379.96</v>
      </c>
      <c r="J186" t="s">
        <v>51</v>
      </c>
      <c r="K186" t="s">
        <v>44</v>
      </c>
      <c r="L186" t="s">
        <v>28</v>
      </c>
      <c r="M186" t="s">
        <v>39</v>
      </c>
      <c r="N186" t="s">
        <v>40</v>
      </c>
      <c r="O186" t="s">
        <v>35</v>
      </c>
      <c r="Q186" s="2">
        <f>Ventas[[#This Row],[precio_base]]*Ventas[[#This Row],[cantidad]]</f>
        <v>399.96</v>
      </c>
      <c r="R186" s="2">
        <f>Ventas[[#This Row],[Total bruto (antes de descuento)]]-Ventas[[#This Row],[total_venta]]</f>
        <v>20</v>
      </c>
    </row>
    <row r="187" spans="1:18" x14ac:dyDescent="0.25">
      <c r="A187" t="s">
        <v>280</v>
      </c>
      <c r="B187" s="1">
        <v>45505</v>
      </c>
      <c r="C187" t="s">
        <v>72</v>
      </c>
      <c r="D187" t="s">
        <v>31</v>
      </c>
      <c r="E187">
        <v>5</v>
      </c>
      <c r="F187" s="2">
        <v>29.99</v>
      </c>
      <c r="G187">
        <v>0</v>
      </c>
      <c r="H187" s="2">
        <v>29.99</v>
      </c>
      <c r="I187" s="2">
        <v>149.94999999999999</v>
      </c>
      <c r="J187" t="s">
        <v>62</v>
      </c>
      <c r="K187" t="s">
        <v>20</v>
      </c>
      <c r="L187" t="s">
        <v>45</v>
      </c>
      <c r="M187" t="s">
        <v>73</v>
      </c>
      <c r="N187" t="s">
        <v>74</v>
      </c>
      <c r="O187" t="s">
        <v>35</v>
      </c>
      <c r="Q187" s="2">
        <f>Ventas[[#This Row],[precio_base]]*Ventas[[#This Row],[cantidad]]</f>
        <v>149.94999999999999</v>
      </c>
      <c r="R187" s="2">
        <f>Ventas[[#This Row],[Total bruto (antes de descuento)]]-Ventas[[#This Row],[total_venta]]</f>
        <v>0</v>
      </c>
    </row>
    <row r="188" spans="1:18" x14ac:dyDescent="0.25">
      <c r="A188" t="s">
        <v>281</v>
      </c>
      <c r="B188" s="1">
        <v>45407</v>
      </c>
      <c r="C188" t="s">
        <v>151</v>
      </c>
      <c r="D188" t="s">
        <v>27</v>
      </c>
      <c r="E188">
        <v>3</v>
      </c>
      <c r="F188" s="2">
        <v>599.99</v>
      </c>
      <c r="G188">
        <v>20</v>
      </c>
      <c r="H188" s="2">
        <v>479.99</v>
      </c>
      <c r="I188" s="2">
        <v>1439.97</v>
      </c>
      <c r="J188" t="s">
        <v>19</v>
      </c>
      <c r="K188" t="s">
        <v>20</v>
      </c>
      <c r="L188" t="s">
        <v>21</v>
      </c>
      <c r="M188" t="s">
        <v>46</v>
      </c>
      <c r="N188" t="s">
        <v>47</v>
      </c>
      <c r="O188" t="s">
        <v>48</v>
      </c>
      <c r="P188">
        <v>4</v>
      </c>
      <c r="Q188" s="2">
        <f>Ventas[[#This Row],[precio_base]]*Ventas[[#This Row],[cantidad]]</f>
        <v>1799.97</v>
      </c>
      <c r="R188" s="2">
        <f>Ventas[[#This Row],[Total bruto (antes de descuento)]]-Ventas[[#This Row],[total_venta]]</f>
        <v>360</v>
      </c>
    </row>
    <row r="189" spans="1:18" x14ac:dyDescent="0.25">
      <c r="A189" t="s">
        <v>282</v>
      </c>
      <c r="B189" s="1">
        <v>45389</v>
      </c>
      <c r="C189" t="s">
        <v>94</v>
      </c>
      <c r="D189" t="s">
        <v>18</v>
      </c>
      <c r="E189">
        <v>1</v>
      </c>
      <c r="F189" s="2">
        <v>899.99</v>
      </c>
      <c r="G189">
        <v>0</v>
      </c>
      <c r="H189" s="2">
        <v>899.99</v>
      </c>
      <c r="I189" s="2">
        <v>899.99</v>
      </c>
      <c r="J189" t="s">
        <v>62</v>
      </c>
      <c r="K189" t="s">
        <v>44</v>
      </c>
      <c r="L189" t="s">
        <v>152</v>
      </c>
      <c r="M189" t="s">
        <v>95</v>
      </c>
      <c r="N189" t="s">
        <v>96</v>
      </c>
      <c r="O189" t="s">
        <v>48</v>
      </c>
      <c r="Q189" s="2">
        <f>Ventas[[#This Row],[precio_base]]*Ventas[[#This Row],[cantidad]]</f>
        <v>899.99</v>
      </c>
      <c r="R189" s="2">
        <f>Ventas[[#This Row],[Total bruto (antes de descuento)]]-Ventas[[#This Row],[total_venta]]</f>
        <v>0</v>
      </c>
    </row>
    <row r="190" spans="1:18" x14ac:dyDescent="0.25">
      <c r="A190" t="s">
        <v>283</v>
      </c>
      <c r="B190" s="1">
        <v>45019</v>
      </c>
      <c r="C190" t="s">
        <v>156</v>
      </c>
      <c r="D190" t="s">
        <v>27</v>
      </c>
      <c r="E190">
        <v>5</v>
      </c>
      <c r="F190" s="2">
        <v>49.99</v>
      </c>
      <c r="G190">
        <v>10</v>
      </c>
      <c r="H190" s="2">
        <v>44.99</v>
      </c>
      <c r="I190" s="2">
        <v>224.95</v>
      </c>
      <c r="J190" t="s">
        <v>19</v>
      </c>
      <c r="K190" t="s">
        <v>44</v>
      </c>
      <c r="L190" t="s">
        <v>28</v>
      </c>
      <c r="M190" t="s">
        <v>33</v>
      </c>
      <c r="N190" t="s">
        <v>34</v>
      </c>
      <c r="O190" t="s">
        <v>35</v>
      </c>
      <c r="P190">
        <v>1</v>
      </c>
      <c r="Q190" s="2">
        <f>Ventas[[#This Row],[precio_base]]*Ventas[[#This Row],[cantidad]]</f>
        <v>249.95000000000002</v>
      </c>
      <c r="R190" s="2">
        <f>Ventas[[#This Row],[Total bruto (antes de descuento)]]-Ventas[[#This Row],[total_venta]]</f>
        <v>25.000000000000028</v>
      </c>
    </row>
    <row r="191" spans="1:18" x14ac:dyDescent="0.25">
      <c r="A191" t="s">
        <v>284</v>
      </c>
      <c r="B191" s="1">
        <v>45387</v>
      </c>
      <c r="C191" t="s">
        <v>122</v>
      </c>
      <c r="D191" t="s">
        <v>43</v>
      </c>
      <c r="E191">
        <v>5</v>
      </c>
      <c r="F191" s="2">
        <v>44.99</v>
      </c>
      <c r="G191">
        <v>15</v>
      </c>
      <c r="H191" s="2">
        <v>38.24</v>
      </c>
      <c r="I191" s="2">
        <v>191.2</v>
      </c>
      <c r="J191" t="s">
        <v>19</v>
      </c>
      <c r="K191" t="s">
        <v>44</v>
      </c>
      <c r="L191" t="s">
        <v>21</v>
      </c>
      <c r="M191" t="s">
        <v>33</v>
      </c>
      <c r="N191" t="s">
        <v>34</v>
      </c>
      <c r="O191" t="s">
        <v>35</v>
      </c>
      <c r="P191">
        <v>1</v>
      </c>
      <c r="Q191" s="2">
        <f>Ventas[[#This Row],[precio_base]]*Ventas[[#This Row],[cantidad]]</f>
        <v>224.95000000000002</v>
      </c>
      <c r="R191" s="2">
        <f>Ventas[[#This Row],[Total bruto (antes de descuento)]]-Ventas[[#This Row],[total_venta]]</f>
        <v>33.750000000000028</v>
      </c>
    </row>
    <row r="192" spans="1:18" x14ac:dyDescent="0.25">
      <c r="A192" t="s">
        <v>285</v>
      </c>
      <c r="B192" s="1">
        <v>45388</v>
      </c>
      <c r="C192" t="s">
        <v>17</v>
      </c>
      <c r="D192" t="s">
        <v>18</v>
      </c>
      <c r="E192">
        <v>3</v>
      </c>
      <c r="F192" s="2">
        <v>45.99</v>
      </c>
      <c r="G192">
        <v>15</v>
      </c>
      <c r="H192" s="2">
        <v>39.090000000000003</v>
      </c>
      <c r="I192" s="2">
        <v>117.27</v>
      </c>
      <c r="J192" t="s">
        <v>19</v>
      </c>
      <c r="K192" t="s">
        <v>20</v>
      </c>
      <c r="L192" t="s">
        <v>21</v>
      </c>
      <c r="M192" t="s">
        <v>73</v>
      </c>
      <c r="N192" t="s">
        <v>74</v>
      </c>
      <c r="O192" t="s">
        <v>35</v>
      </c>
      <c r="P192">
        <v>4</v>
      </c>
      <c r="Q192" s="2">
        <f>Ventas[[#This Row],[precio_base]]*Ventas[[#This Row],[cantidad]]</f>
        <v>137.97</v>
      </c>
      <c r="R192" s="2">
        <f>Ventas[[#This Row],[Total bruto (antes de descuento)]]-Ventas[[#This Row],[total_venta]]</f>
        <v>20.700000000000003</v>
      </c>
    </row>
    <row r="193" spans="1:18" x14ac:dyDescent="0.25">
      <c r="A193" t="s">
        <v>286</v>
      </c>
      <c r="B193" s="1">
        <v>45376</v>
      </c>
      <c r="C193" t="s">
        <v>87</v>
      </c>
      <c r="D193" t="s">
        <v>27</v>
      </c>
      <c r="E193">
        <v>5</v>
      </c>
      <c r="F193" s="2">
        <v>249.99</v>
      </c>
      <c r="G193">
        <v>10</v>
      </c>
      <c r="H193" s="2">
        <v>224.99</v>
      </c>
      <c r="I193" s="2">
        <v>1124.95</v>
      </c>
      <c r="J193" t="s">
        <v>19</v>
      </c>
      <c r="K193" t="s">
        <v>52</v>
      </c>
      <c r="L193" t="s">
        <v>45</v>
      </c>
      <c r="M193" t="s">
        <v>123</v>
      </c>
      <c r="N193" t="s">
        <v>124</v>
      </c>
      <c r="O193" t="s">
        <v>24</v>
      </c>
      <c r="P193">
        <v>3</v>
      </c>
      <c r="Q193" s="2">
        <f>Ventas[[#This Row],[precio_base]]*Ventas[[#This Row],[cantidad]]</f>
        <v>1249.95</v>
      </c>
      <c r="R193" s="2">
        <f>Ventas[[#This Row],[Total bruto (antes de descuento)]]-Ventas[[#This Row],[total_venta]]</f>
        <v>125</v>
      </c>
    </row>
    <row r="194" spans="1:18" x14ac:dyDescent="0.25">
      <c r="A194" t="s">
        <v>287</v>
      </c>
      <c r="B194" s="1">
        <v>45622</v>
      </c>
      <c r="C194" t="s">
        <v>156</v>
      </c>
      <c r="D194" t="s">
        <v>27</v>
      </c>
      <c r="E194">
        <v>1</v>
      </c>
      <c r="F194" s="2">
        <v>49.99</v>
      </c>
      <c r="G194">
        <v>20</v>
      </c>
      <c r="H194" s="2">
        <v>39.99</v>
      </c>
      <c r="I194" s="2">
        <v>39.99</v>
      </c>
      <c r="J194" t="s">
        <v>51</v>
      </c>
      <c r="K194" t="s">
        <v>20</v>
      </c>
      <c r="L194" t="s">
        <v>21</v>
      </c>
      <c r="M194" t="s">
        <v>123</v>
      </c>
      <c r="N194" t="s">
        <v>124</v>
      </c>
      <c r="O194" t="s">
        <v>24</v>
      </c>
      <c r="Q194" s="2">
        <f>Ventas[[#This Row],[precio_base]]*Ventas[[#This Row],[cantidad]]</f>
        <v>49.99</v>
      </c>
      <c r="R194" s="2">
        <f>Ventas[[#This Row],[Total bruto (antes de descuento)]]-Ventas[[#This Row],[total_venta]]</f>
        <v>10</v>
      </c>
    </row>
    <row r="195" spans="1:18" x14ac:dyDescent="0.25">
      <c r="A195" t="s">
        <v>288</v>
      </c>
      <c r="B195" s="1">
        <v>45621</v>
      </c>
      <c r="C195" t="s">
        <v>109</v>
      </c>
      <c r="D195" t="s">
        <v>38</v>
      </c>
      <c r="E195">
        <v>3</v>
      </c>
      <c r="F195" s="2">
        <v>39.99</v>
      </c>
      <c r="G195">
        <v>0</v>
      </c>
      <c r="H195" s="2">
        <v>39.99</v>
      </c>
      <c r="I195" s="2">
        <v>119.97</v>
      </c>
      <c r="J195" t="s">
        <v>51</v>
      </c>
      <c r="K195" t="s">
        <v>57</v>
      </c>
      <c r="L195" t="s">
        <v>28</v>
      </c>
      <c r="M195" t="s">
        <v>73</v>
      </c>
      <c r="N195" t="s">
        <v>74</v>
      </c>
      <c r="O195" t="s">
        <v>35</v>
      </c>
      <c r="Q195" s="2">
        <f>Ventas[[#This Row],[precio_base]]*Ventas[[#This Row],[cantidad]]</f>
        <v>119.97</v>
      </c>
      <c r="R195" s="2">
        <f>Ventas[[#This Row],[Total bruto (antes de descuento)]]-Ventas[[#This Row],[total_venta]]</f>
        <v>0</v>
      </c>
    </row>
    <row r="196" spans="1:18" x14ac:dyDescent="0.25">
      <c r="A196" t="s">
        <v>289</v>
      </c>
      <c r="B196" s="1">
        <v>45080</v>
      </c>
      <c r="C196" t="s">
        <v>141</v>
      </c>
      <c r="D196" t="s">
        <v>38</v>
      </c>
      <c r="E196">
        <v>1</v>
      </c>
      <c r="F196" s="2">
        <v>89.99</v>
      </c>
      <c r="G196">
        <v>10</v>
      </c>
      <c r="H196" s="2">
        <v>80.989999999999995</v>
      </c>
      <c r="I196" s="2">
        <v>80.989999999999995</v>
      </c>
      <c r="J196" t="s">
        <v>51</v>
      </c>
      <c r="K196" t="s">
        <v>20</v>
      </c>
      <c r="L196" t="s">
        <v>152</v>
      </c>
      <c r="M196" t="s">
        <v>53</v>
      </c>
      <c r="N196" t="s">
        <v>54</v>
      </c>
      <c r="O196" t="s">
        <v>35</v>
      </c>
      <c r="Q196" s="2">
        <f>Ventas[[#This Row],[precio_base]]*Ventas[[#This Row],[cantidad]]</f>
        <v>89.99</v>
      </c>
      <c r="R196" s="2">
        <f>Ventas[[#This Row],[Total bruto (antes de descuento)]]-Ventas[[#This Row],[total_venta]]</f>
        <v>9</v>
      </c>
    </row>
    <row r="197" spans="1:18" x14ac:dyDescent="0.25">
      <c r="A197" t="s">
        <v>290</v>
      </c>
      <c r="B197" s="1">
        <v>45642</v>
      </c>
      <c r="C197" t="s">
        <v>81</v>
      </c>
      <c r="D197" t="s">
        <v>31</v>
      </c>
      <c r="E197">
        <v>4</v>
      </c>
      <c r="F197" s="2">
        <v>189.99</v>
      </c>
      <c r="G197">
        <v>0</v>
      </c>
      <c r="H197" s="2">
        <v>189.99</v>
      </c>
      <c r="I197" s="2">
        <v>759.96</v>
      </c>
      <c r="J197" t="s">
        <v>19</v>
      </c>
      <c r="K197" t="s">
        <v>20</v>
      </c>
      <c r="L197" t="s">
        <v>45</v>
      </c>
      <c r="M197" t="s">
        <v>95</v>
      </c>
      <c r="N197" t="s">
        <v>96</v>
      </c>
      <c r="O197" t="s">
        <v>48</v>
      </c>
      <c r="P197">
        <v>3</v>
      </c>
      <c r="Q197" s="2">
        <f>Ventas[[#This Row],[precio_base]]*Ventas[[#This Row],[cantidad]]</f>
        <v>759.96</v>
      </c>
      <c r="R197" s="2">
        <f>Ventas[[#This Row],[Total bruto (antes de descuento)]]-Ventas[[#This Row],[total_venta]]</f>
        <v>0</v>
      </c>
    </row>
    <row r="198" spans="1:18" x14ac:dyDescent="0.25">
      <c r="A198" t="s">
        <v>291</v>
      </c>
      <c r="B198" s="1">
        <v>45057</v>
      </c>
      <c r="C198" t="s">
        <v>81</v>
      </c>
      <c r="D198" t="s">
        <v>31</v>
      </c>
      <c r="E198">
        <v>5</v>
      </c>
      <c r="F198" s="2">
        <v>189.99</v>
      </c>
      <c r="G198">
        <v>0</v>
      </c>
      <c r="H198" s="2">
        <v>189.99</v>
      </c>
      <c r="I198" s="2">
        <v>949.95</v>
      </c>
      <c r="J198" t="s">
        <v>51</v>
      </c>
      <c r="K198" t="s">
        <v>44</v>
      </c>
      <c r="L198" t="s">
        <v>21</v>
      </c>
      <c r="M198" t="s">
        <v>120</v>
      </c>
      <c r="N198" t="s">
        <v>23</v>
      </c>
      <c r="O198" t="s">
        <v>24</v>
      </c>
      <c r="Q198" s="2">
        <f>Ventas[[#This Row],[precio_base]]*Ventas[[#This Row],[cantidad]]</f>
        <v>949.95</v>
      </c>
      <c r="R198" s="2">
        <f>Ventas[[#This Row],[Total bruto (antes de descuento)]]-Ventas[[#This Row],[total_venta]]</f>
        <v>0</v>
      </c>
    </row>
    <row r="199" spans="1:18" x14ac:dyDescent="0.25">
      <c r="A199" t="s">
        <v>292</v>
      </c>
      <c r="B199" s="1">
        <v>45243</v>
      </c>
      <c r="C199" t="s">
        <v>205</v>
      </c>
      <c r="D199" t="s">
        <v>18</v>
      </c>
      <c r="E199">
        <v>2</v>
      </c>
      <c r="F199" s="2">
        <v>129.99</v>
      </c>
      <c r="G199">
        <v>0</v>
      </c>
      <c r="H199" s="2">
        <v>129.99</v>
      </c>
      <c r="I199" s="2">
        <v>259.98</v>
      </c>
      <c r="J199" t="s">
        <v>90</v>
      </c>
      <c r="K199" t="s">
        <v>20</v>
      </c>
      <c r="L199" t="s">
        <v>152</v>
      </c>
      <c r="M199" t="s">
        <v>101</v>
      </c>
      <c r="N199" t="s">
        <v>102</v>
      </c>
      <c r="O199" t="s">
        <v>35</v>
      </c>
      <c r="Q199" s="2">
        <f>Ventas[[#This Row],[precio_base]]*Ventas[[#This Row],[cantidad]]</f>
        <v>259.98</v>
      </c>
      <c r="R199" s="2">
        <f>Ventas[[#This Row],[Total bruto (antes de descuento)]]-Ventas[[#This Row],[total_venta]]</f>
        <v>0</v>
      </c>
    </row>
    <row r="200" spans="1:18" x14ac:dyDescent="0.25">
      <c r="A200" t="s">
        <v>293</v>
      </c>
      <c r="B200" s="1">
        <v>45085</v>
      </c>
      <c r="C200" t="s">
        <v>56</v>
      </c>
      <c r="D200" t="s">
        <v>18</v>
      </c>
      <c r="E200">
        <v>3</v>
      </c>
      <c r="F200" s="2">
        <v>89.99</v>
      </c>
      <c r="G200">
        <v>20</v>
      </c>
      <c r="H200" s="2">
        <v>71.989999999999995</v>
      </c>
      <c r="I200" s="2">
        <v>215.97</v>
      </c>
      <c r="J200" t="s">
        <v>51</v>
      </c>
      <c r="K200" t="s">
        <v>52</v>
      </c>
      <c r="L200" t="s">
        <v>32</v>
      </c>
      <c r="M200" t="s">
        <v>65</v>
      </c>
      <c r="N200" t="s">
        <v>54</v>
      </c>
      <c r="O200" t="s">
        <v>35</v>
      </c>
      <c r="Q200" s="2">
        <f>Ventas[[#This Row],[precio_base]]*Ventas[[#This Row],[cantidad]]</f>
        <v>269.96999999999997</v>
      </c>
      <c r="R200" s="2">
        <f>Ventas[[#This Row],[Total bruto (antes de descuento)]]-Ventas[[#This Row],[total_venta]]</f>
        <v>53.999999999999972</v>
      </c>
    </row>
    <row r="201" spans="1:18" x14ac:dyDescent="0.25">
      <c r="A201" t="s">
        <v>294</v>
      </c>
      <c r="B201" s="1">
        <v>45466</v>
      </c>
      <c r="C201" t="s">
        <v>94</v>
      </c>
      <c r="D201" t="s">
        <v>18</v>
      </c>
      <c r="E201">
        <v>3</v>
      </c>
      <c r="F201" s="2">
        <v>899.99</v>
      </c>
      <c r="G201">
        <v>20</v>
      </c>
      <c r="H201" s="2">
        <v>719.99</v>
      </c>
      <c r="I201" s="2">
        <v>2159.9699999999998</v>
      </c>
      <c r="J201" t="s">
        <v>51</v>
      </c>
      <c r="K201" t="s">
        <v>20</v>
      </c>
      <c r="L201" t="s">
        <v>21</v>
      </c>
      <c r="M201" t="s">
        <v>33</v>
      </c>
      <c r="N201" t="s">
        <v>34</v>
      </c>
      <c r="O201" t="s">
        <v>35</v>
      </c>
      <c r="Q201" s="2">
        <f>Ventas[[#This Row],[precio_base]]*Ventas[[#This Row],[cantidad]]</f>
        <v>2699.9700000000003</v>
      </c>
      <c r="R201" s="2">
        <f>Ventas[[#This Row],[Total bruto (antes de descuento)]]-Ventas[[#This Row],[total_venta]]</f>
        <v>540.00000000000045</v>
      </c>
    </row>
    <row r="202" spans="1:18" x14ac:dyDescent="0.25">
      <c r="A202" t="s">
        <v>295</v>
      </c>
      <c r="B202" s="1">
        <v>45636</v>
      </c>
      <c r="C202" t="s">
        <v>98</v>
      </c>
      <c r="D202" t="s">
        <v>31</v>
      </c>
      <c r="E202">
        <v>5</v>
      </c>
      <c r="F202" s="2">
        <v>99.99</v>
      </c>
      <c r="G202">
        <v>20</v>
      </c>
      <c r="H202" s="2">
        <v>79.989999999999995</v>
      </c>
      <c r="I202" s="2">
        <v>399.95</v>
      </c>
      <c r="J202" t="s">
        <v>90</v>
      </c>
      <c r="K202" t="s">
        <v>20</v>
      </c>
      <c r="L202" t="s">
        <v>45</v>
      </c>
      <c r="M202" t="s">
        <v>84</v>
      </c>
      <c r="N202" t="s">
        <v>85</v>
      </c>
      <c r="O202" t="s">
        <v>35</v>
      </c>
      <c r="Q202" s="2">
        <f>Ventas[[#This Row],[precio_base]]*Ventas[[#This Row],[cantidad]]</f>
        <v>499.95</v>
      </c>
      <c r="R202" s="2">
        <f>Ventas[[#This Row],[Total bruto (antes de descuento)]]-Ventas[[#This Row],[total_venta]]</f>
        <v>100</v>
      </c>
    </row>
    <row r="203" spans="1:18" x14ac:dyDescent="0.25">
      <c r="A203" t="s">
        <v>296</v>
      </c>
      <c r="B203" s="1">
        <v>45619</v>
      </c>
      <c r="C203" t="s">
        <v>76</v>
      </c>
      <c r="D203" t="s">
        <v>31</v>
      </c>
      <c r="E203">
        <v>2</v>
      </c>
      <c r="F203" s="2">
        <v>69.989999999999995</v>
      </c>
      <c r="G203">
        <v>5</v>
      </c>
      <c r="H203" s="2">
        <v>66.489999999999995</v>
      </c>
      <c r="I203" s="2">
        <v>132.97999999999999</v>
      </c>
      <c r="J203" t="s">
        <v>51</v>
      </c>
      <c r="K203" t="s">
        <v>44</v>
      </c>
      <c r="L203" t="s">
        <v>45</v>
      </c>
      <c r="M203" t="s">
        <v>39</v>
      </c>
      <c r="N203" t="s">
        <v>40</v>
      </c>
      <c r="O203" t="s">
        <v>35</v>
      </c>
      <c r="Q203" s="2">
        <f>Ventas[[#This Row],[precio_base]]*Ventas[[#This Row],[cantidad]]</f>
        <v>139.97999999999999</v>
      </c>
      <c r="R203" s="2">
        <f>Ventas[[#This Row],[Total bruto (antes de descuento)]]-Ventas[[#This Row],[total_venta]]</f>
        <v>7</v>
      </c>
    </row>
    <row r="204" spans="1:18" x14ac:dyDescent="0.25">
      <c r="A204" t="s">
        <v>297</v>
      </c>
      <c r="B204" s="1">
        <v>45473</v>
      </c>
      <c r="C204" t="s">
        <v>163</v>
      </c>
      <c r="D204" t="s">
        <v>18</v>
      </c>
      <c r="E204">
        <v>3</v>
      </c>
      <c r="F204" s="2">
        <v>499.99</v>
      </c>
      <c r="G204">
        <v>20</v>
      </c>
      <c r="H204" s="2">
        <v>399.99</v>
      </c>
      <c r="I204" s="2">
        <v>1199.97</v>
      </c>
      <c r="J204" t="s">
        <v>51</v>
      </c>
      <c r="K204" t="s">
        <v>52</v>
      </c>
      <c r="L204" t="s">
        <v>45</v>
      </c>
      <c r="M204" t="s">
        <v>53</v>
      </c>
      <c r="N204" t="s">
        <v>54</v>
      </c>
      <c r="O204" t="s">
        <v>35</v>
      </c>
      <c r="Q204" s="2">
        <f>Ventas[[#This Row],[precio_base]]*Ventas[[#This Row],[cantidad]]</f>
        <v>1499.97</v>
      </c>
      <c r="R204" s="2">
        <f>Ventas[[#This Row],[Total bruto (antes de descuento)]]-Ventas[[#This Row],[total_venta]]</f>
        <v>300</v>
      </c>
    </row>
    <row r="205" spans="1:18" x14ac:dyDescent="0.25">
      <c r="A205" t="s">
        <v>298</v>
      </c>
      <c r="B205" s="1">
        <v>45511</v>
      </c>
      <c r="C205" t="s">
        <v>151</v>
      </c>
      <c r="D205" t="s">
        <v>27</v>
      </c>
      <c r="E205">
        <v>4</v>
      </c>
      <c r="F205" s="2">
        <v>599.99</v>
      </c>
      <c r="G205">
        <v>20</v>
      </c>
      <c r="H205" s="2">
        <v>479.99</v>
      </c>
      <c r="I205" s="2">
        <v>1919.96</v>
      </c>
      <c r="J205" t="s">
        <v>19</v>
      </c>
      <c r="K205" t="s">
        <v>44</v>
      </c>
      <c r="L205" t="s">
        <v>45</v>
      </c>
      <c r="M205" t="s">
        <v>120</v>
      </c>
      <c r="N205" t="s">
        <v>23</v>
      </c>
      <c r="O205" t="s">
        <v>24</v>
      </c>
      <c r="P205">
        <v>2</v>
      </c>
      <c r="Q205" s="2">
        <f>Ventas[[#This Row],[precio_base]]*Ventas[[#This Row],[cantidad]]</f>
        <v>2399.96</v>
      </c>
      <c r="R205" s="2">
        <f>Ventas[[#This Row],[Total bruto (antes de descuento)]]-Ventas[[#This Row],[total_venta]]</f>
        <v>480</v>
      </c>
    </row>
    <row r="206" spans="1:18" x14ac:dyDescent="0.25">
      <c r="A206" t="s">
        <v>299</v>
      </c>
      <c r="B206" s="1">
        <v>45131</v>
      </c>
      <c r="C206" t="s">
        <v>70</v>
      </c>
      <c r="D206" t="s">
        <v>31</v>
      </c>
      <c r="E206">
        <v>5</v>
      </c>
      <c r="F206" s="2">
        <v>59.99</v>
      </c>
      <c r="G206">
        <v>0</v>
      </c>
      <c r="H206" s="2">
        <v>59.99</v>
      </c>
      <c r="I206" s="2">
        <v>299.95</v>
      </c>
      <c r="J206" t="s">
        <v>62</v>
      </c>
      <c r="K206" t="s">
        <v>44</v>
      </c>
      <c r="L206" t="s">
        <v>32</v>
      </c>
      <c r="M206" t="s">
        <v>46</v>
      </c>
      <c r="N206" t="s">
        <v>47</v>
      </c>
      <c r="O206" t="s">
        <v>48</v>
      </c>
      <c r="Q206" s="2">
        <f>Ventas[[#This Row],[precio_base]]*Ventas[[#This Row],[cantidad]]</f>
        <v>299.95</v>
      </c>
      <c r="R206" s="2">
        <f>Ventas[[#This Row],[Total bruto (antes de descuento)]]-Ventas[[#This Row],[total_venta]]</f>
        <v>0</v>
      </c>
    </row>
    <row r="207" spans="1:18" x14ac:dyDescent="0.25">
      <c r="A207" t="s">
        <v>300</v>
      </c>
      <c r="B207" s="1">
        <v>45494</v>
      </c>
      <c r="C207" t="s">
        <v>122</v>
      </c>
      <c r="D207" t="s">
        <v>43</v>
      </c>
      <c r="E207">
        <v>1</v>
      </c>
      <c r="F207" s="2">
        <v>44.99</v>
      </c>
      <c r="G207">
        <v>15</v>
      </c>
      <c r="H207" s="2">
        <v>38.24</v>
      </c>
      <c r="I207" s="2">
        <v>38.24</v>
      </c>
      <c r="J207" t="s">
        <v>62</v>
      </c>
      <c r="K207" t="s">
        <v>20</v>
      </c>
      <c r="L207" t="s">
        <v>21</v>
      </c>
      <c r="M207" t="s">
        <v>67</v>
      </c>
      <c r="N207" t="s">
        <v>68</v>
      </c>
      <c r="O207" t="s">
        <v>35</v>
      </c>
      <c r="Q207" s="2">
        <f>Ventas[[#This Row],[precio_base]]*Ventas[[#This Row],[cantidad]]</f>
        <v>44.99</v>
      </c>
      <c r="R207" s="2">
        <f>Ventas[[#This Row],[Total bruto (antes de descuento)]]-Ventas[[#This Row],[total_venta]]</f>
        <v>6.75</v>
      </c>
    </row>
    <row r="208" spans="1:18" x14ac:dyDescent="0.25">
      <c r="A208" t="s">
        <v>301</v>
      </c>
      <c r="B208" s="1">
        <v>45091</v>
      </c>
      <c r="C208" t="s">
        <v>61</v>
      </c>
      <c r="D208" t="s">
        <v>38</v>
      </c>
      <c r="E208">
        <v>4</v>
      </c>
      <c r="F208" s="2">
        <v>19.989999999999998</v>
      </c>
      <c r="G208">
        <v>10</v>
      </c>
      <c r="H208" s="2">
        <v>17.989999999999998</v>
      </c>
      <c r="I208" s="2">
        <v>71.959999999999994</v>
      </c>
      <c r="J208" t="s">
        <v>19</v>
      </c>
      <c r="K208" t="s">
        <v>20</v>
      </c>
      <c r="L208" t="s">
        <v>152</v>
      </c>
      <c r="M208" t="s">
        <v>120</v>
      </c>
      <c r="N208" t="s">
        <v>23</v>
      </c>
      <c r="O208" t="s">
        <v>24</v>
      </c>
      <c r="P208">
        <v>4</v>
      </c>
      <c r="Q208" s="2">
        <f>Ventas[[#This Row],[precio_base]]*Ventas[[#This Row],[cantidad]]</f>
        <v>79.959999999999994</v>
      </c>
      <c r="R208" s="2">
        <f>Ventas[[#This Row],[Total bruto (antes de descuento)]]-Ventas[[#This Row],[total_venta]]</f>
        <v>8</v>
      </c>
    </row>
    <row r="209" spans="1:18" x14ac:dyDescent="0.25">
      <c r="A209" t="s">
        <v>302</v>
      </c>
      <c r="B209" s="1">
        <v>45284</v>
      </c>
      <c r="C209" t="s">
        <v>122</v>
      </c>
      <c r="D209" t="s">
        <v>43</v>
      </c>
      <c r="E209">
        <v>1</v>
      </c>
      <c r="F209" s="2">
        <v>44.99</v>
      </c>
      <c r="G209">
        <v>5</v>
      </c>
      <c r="H209" s="2">
        <v>42.74</v>
      </c>
      <c r="I209" s="2">
        <v>42.74</v>
      </c>
      <c r="J209" t="s">
        <v>19</v>
      </c>
      <c r="K209" t="s">
        <v>20</v>
      </c>
      <c r="L209" t="s">
        <v>45</v>
      </c>
      <c r="M209" t="s">
        <v>65</v>
      </c>
      <c r="N209" t="s">
        <v>54</v>
      </c>
      <c r="O209" t="s">
        <v>35</v>
      </c>
      <c r="P209">
        <v>1</v>
      </c>
      <c r="Q209" s="2">
        <f>Ventas[[#This Row],[precio_base]]*Ventas[[#This Row],[cantidad]]</f>
        <v>44.99</v>
      </c>
      <c r="R209" s="2">
        <f>Ventas[[#This Row],[Total bruto (antes de descuento)]]-Ventas[[#This Row],[total_venta]]</f>
        <v>2.25</v>
      </c>
    </row>
    <row r="210" spans="1:18" x14ac:dyDescent="0.25">
      <c r="A210" t="s">
        <v>303</v>
      </c>
      <c r="B210" s="1">
        <v>45310</v>
      </c>
      <c r="C210" t="s">
        <v>163</v>
      </c>
      <c r="D210" t="s">
        <v>18</v>
      </c>
      <c r="E210">
        <v>1</v>
      </c>
      <c r="F210" s="2">
        <v>499.99</v>
      </c>
      <c r="G210">
        <v>0</v>
      </c>
      <c r="H210" s="2">
        <v>499.99</v>
      </c>
      <c r="I210" s="2">
        <v>499.99</v>
      </c>
      <c r="J210" t="s">
        <v>90</v>
      </c>
      <c r="K210" t="s">
        <v>44</v>
      </c>
      <c r="L210" t="s">
        <v>21</v>
      </c>
      <c r="M210" t="s">
        <v>67</v>
      </c>
      <c r="N210" t="s">
        <v>68</v>
      </c>
      <c r="O210" t="s">
        <v>35</v>
      </c>
      <c r="Q210" s="2">
        <f>Ventas[[#This Row],[precio_base]]*Ventas[[#This Row],[cantidad]]</f>
        <v>499.99</v>
      </c>
      <c r="R210" s="2">
        <f>Ventas[[#This Row],[Total bruto (antes de descuento)]]-Ventas[[#This Row],[total_venta]]</f>
        <v>0</v>
      </c>
    </row>
    <row r="211" spans="1:18" x14ac:dyDescent="0.25">
      <c r="A211" t="s">
        <v>304</v>
      </c>
      <c r="B211" s="1">
        <v>45076</v>
      </c>
      <c r="C211" t="s">
        <v>78</v>
      </c>
      <c r="D211" t="s">
        <v>18</v>
      </c>
      <c r="E211">
        <v>1</v>
      </c>
      <c r="F211" s="2">
        <v>349.99</v>
      </c>
      <c r="G211">
        <v>0</v>
      </c>
      <c r="H211" s="2">
        <v>349.99</v>
      </c>
      <c r="I211" s="2">
        <v>349.99</v>
      </c>
      <c r="J211" t="s">
        <v>90</v>
      </c>
      <c r="K211" t="s">
        <v>44</v>
      </c>
      <c r="L211" t="s">
        <v>21</v>
      </c>
      <c r="M211" t="s">
        <v>101</v>
      </c>
      <c r="N211" t="s">
        <v>102</v>
      </c>
      <c r="O211" t="s">
        <v>35</v>
      </c>
      <c r="Q211" s="2">
        <f>Ventas[[#This Row],[precio_base]]*Ventas[[#This Row],[cantidad]]</f>
        <v>349.99</v>
      </c>
      <c r="R211" s="2">
        <f>Ventas[[#This Row],[Total bruto (antes de descuento)]]-Ventas[[#This Row],[total_venta]]</f>
        <v>0</v>
      </c>
    </row>
    <row r="212" spans="1:18" x14ac:dyDescent="0.25">
      <c r="A212" t="s">
        <v>305</v>
      </c>
      <c r="B212" s="1">
        <v>45649</v>
      </c>
      <c r="C212" t="s">
        <v>92</v>
      </c>
      <c r="D212" t="s">
        <v>27</v>
      </c>
      <c r="E212">
        <v>4</v>
      </c>
      <c r="F212" s="2">
        <v>79.989999999999995</v>
      </c>
      <c r="G212">
        <v>10</v>
      </c>
      <c r="H212" s="2">
        <v>71.989999999999995</v>
      </c>
      <c r="I212" s="2">
        <v>287.95999999999998</v>
      </c>
      <c r="J212" t="s">
        <v>19</v>
      </c>
      <c r="K212" t="s">
        <v>20</v>
      </c>
      <c r="L212" t="s">
        <v>21</v>
      </c>
      <c r="M212" t="s">
        <v>95</v>
      </c>
      <c r="N212" t="s">
        <v>96</v>
      </c>
      <c r="O212" t="s">
        <v>48</v>
      </c>
      <c r="P212">
        <v>2</v>
      </c>
      <c r="Q212" s="2">
        <f>Ventas[[#This Row],[precio_base]]*Ventas[[#This Row],[cantidad]]</f>
        <v>319.95999999999998</v>
      </c>
      <c r="R212" s="2">
        <f>Ventas[[#This Row],[Total bruto (antes de descuento)]]-Ventas[[#This Row],[total_venta]]</f>
        <v>32</v>
      </c>
    </row>
    <row r="213" spans="1:18" x14ac:dyDescent="0.25">
      <c r="A213" t="s">
        <v>306</v>
      </c>
      <c r="B213" s="1">
        <v>45488</v>
      </c>
      <c r="C213" t="s">
        <v>76</v>
      </c>
      <c r="D213" t="s">
        <v>31</v>
      </c>
      <c r="E213">
        <v>5</v>
      </c>
      <c r="F213" s="2">
        <v>69.989999999999995</v>
      </c>
      <c r="G213">
        <v>10</v>
      </c>
      <c r="H213" s="2">
        <v>62.99</v>
      </c>
      <c r="I213" s="2">
        <v>314.95</v>
      </c>
      <c r="J213" t="s">
        <v>19</v>
      </c>
      <c r="K213" t="s">
        <v>20</v>
      </c>
      <c r="L213" t="s">
        <v>21</v>
      </c>
      <c r="M213" t="s">
        <v>39</v>
      </c>
      <c r="N213" t="s">
        <v>40</v>
      </c>
      <c r="O213" t="s">
        <v>35</v>
      </c>
      <c r="P213">
        <v>1</v>
      </c>
      <c r="Q213" s="2">
        <f>Ventas[[#This Row],[precio_base]]*Ventas[[#This Row],[cantidad]]</f>
        <v>349.95</v>
      </c>
      <c r="R213" s="2">
        <f>Ventas[[#This Row],[Total bruto (antes de descuento)]]-Ventas[[#This Row],[total_venta]]</f>
        <v>35</v>
      </c>
    </row>
    <row r="214" spans="1:18" x14ac:dyDescent="0.25">
      <c r="A214" t="s">
        <v>307</v>
      </c>
      <c r="B214" s="1">
        <v>45171</v>
      </c>
      <c r="C214" t="s">
        <v>37</v>
      </c>
      <c r="D214" t="s">
        <v>38</v>
      </c>
      <c r="E214">
        <v>5</v>
      </c>
      <c r="F214" s="2">
        <v>34.99</v>
      </c>
      <c r="G214">
        <v>5</v>
      </c>
      <c r="H214" s="2">
        <v>33.24</v>
      </c>
      <c r="I214" s="2">
        <v>166.2</v>
      </c>
      <c r="J214" t="s">
        <v>19</v>
      </c>
      <c r="K214" t="s">
        <v>52</v>
      </c>
      <c r="L214" t="s">
        <v>45</v>
      </c>
      <c r="M214" t="s">
        <v>67</v>
      </c>
      <c r="N214" t="s">
        <v>68</v>
      </c>
      <c r="O214" t="s">
        <v>35</v>
      </c>
      <c r="P214">
        <v>1</v>
      </c>
      <c r="Q214" s="2">
        <f>Ventas[[#This Row],[precio_base]]*Ventas[[#This Row],[cantidad]]</f>
        <v>174.95000000000002</v>
      </c>
      <c r="R214" s="2">
        <f>Ventas[[#This Row],[Total bruto (antes de descuento)]]-Ventas[[#This Row],[total_venta]]</f>
        <v>8.7500000000000284</v>
      </c>
    </row>
    <row r="215" spans="1:18" x14ac:dyDescent="0.25">
      <c r="A215" t="s">
        <v>308</v>
      </c>
      <c r="B215" s="1">
        <v>45574</v>
      </c>
      <c r="C215" t="s">
        <v>87</v>
      </c>
      <c r="D215" t="s">
        <v>27</v>
      </c>
      <c r="E215">
        <v>5</v>
      </c>
      <c r="F215" s="2">
        <v>249.99</v>
      </c>
      <c r="G215">
        <v>0</v>
      </c>
      <c r="H215" s="2">
        <v>249.99</v>
      </c>
      <c r="I215" s="2">
        <v>1249.95</v>
      </c>
      <c r="J215" t="s">
        <v>51</v>
      </c>
      <c r="K215" t="s">
        <v>20</v>
      </c>
      <c r="L215" t="s">
        <v>28</v>
      </c>
      <c r="M215" t="s">
        <v>58</v>
      </c>
      <c r="N215" t="s">
        <v>59</v>
      </c>
      <c r="O215" t="s">
        <v>24</v>
      </c>
      <c r="Q215" s="2">
        <f>Ventas[[#This Row],[precio_base]]*Ventas[[#This Row],[cantidad]]</f>
        <v>1249.95</v>
      </c>
      <c r="R215" s="2">
        <f>Ventas[[#This Row],[Total bruto (antes de descuento)]]-Ventas[[#This Row],[total_venta]]</f>
        <v>0</v>
      </c>
    </row>
    <row r="216" spans="1:18" x14ac:dyDescent="0.25">
      <c r="A216" t="s">
        <v>309</v>
      </c>
      <c r="B216" s="1">
        <v>45173</v>
      </c>
      <c r="C216" t="s">
        <v>26</v>
      </c>
      <c r="D216" t="s">
        <v>27</v>
      </c>
      <c r="E216">
        <v>4</v>
      </c>
      <c r="F216" s="2">
        <v>399.99</v>
      </c>
      <c r="G216">
        <v>0</v>
      </c>
      <c r="H216" s="2">
        <v>399.99</v>
      </c>
      <c r="I216" s="2">
        <v>1599.96</v>
      </c>
      <c r="J216" t="s">
        <v>51</v>
      </c>
      <c r="K216" t="s">
        <v>44</v>
      </c>
      <c r="L216" t="s">
        <v>45</v>
      </c>
      <c r="M216" t="s">
        <v>95</v>
      </c>
      <c r="N216" t="s">
        <v>96</v>
      </c>
      <c r="O216" t="s">
        <v>48</v>
      </c>
      <c r="Q216" s="2">
        <f>Ventas[[#This Row],[precio_base]]*Ventas[[#This Row],[cantidad]]</f>
        <v>1599.96</v>
      </c>
      <c r="R216" s="2">
        <f>Ventas[[#This Row],[Total bruto (antes de descuento)]]-Ventas[[#This Row],[total_venta]]</f>
        <v>0</v>
      </c>
    </row>
    <row r="217" spans="1:18" x14ac:dyDescent="0.25">
      <c r="A217" t="s">
        <v>310</v>
      </c>
      <c r="B217" s="1">
        <v>45465</v>
      </c>
      <c r="C217" t="s">
        <v>50</v>
      </c>
      <c r="D217" t="s">
        <v>27</v>
      </c>
      <c r="E217">
        <v>5</v>
      </c>
      <c r="F217" s="2">
        <v>149.99</v>
      </c>
      <c r="G217">
        <v>20</v>
      </c>
      <c r="H217" s="2">
        <v>119.99</v>
      </c>
      <c r="I217" s="2">
        <v>599.95000000000005</v>
      </c>
      <c r="J217" t="s">
        <v>116</v>
      </c>
      <c r="K217" t="s">
        <v>20</v>
      </c>
      <c r="L217" t="s">
        <v>32</v>
      </c>
      <c r="M217" t="s">
        <v>65</v>
      </c>
      <c r="N217" t="s">
        <v>54</v>
      </c>
      <c r="O217" t="s">
        <v>35</v>
      </c>
      <c r="Q217" s="2">
        <f>Ventas[[#This Row],[precio_base]]*Ventas[[#This Row],[cantidad]]</f>
        <v>749.95</v>
      </c>
      <c r="R217" s="2">
        <f>Ventas[[#This Row],[Total bruto (antes de descuento)]]-Ventas[[#This Row],[total_venta]]</f>
        <v>150</v>
      </c>
    </row>
    <row r="218" spans="1:18" x14ac:dyDescent="0.25">
      <c r="A218" t="s">
        <v>311</v>
      </c>
      <c r="B218" s="1">
        <v>44971</v>
      </c>
      <c r="C218" t="s">
        <v>72</v>
      </c>
      <c r="D218" t="s">
        <v>31</v>
      </c>
      <c r="E218">
        <v>4</v>
      </c>
      <c r="F218" s="2">
        <v>29.99</v>
      </c>
      <c r="G218">
        <v>0</v>
      </c>
      <c r="H218" s="2">
        <v>29.99</v>
      </c>
      <c r="I218" s="2">
        <v>119.96</v>
      </c>
      <c r="J218" t="s">
        <v>19</v>
      </c>
      <c r="K218" t="s">
        <v>20</v>
      </c>
      <c r="L218" t="s">
        <v>21</v>
      </c>
      <c r="M218" t="s">
        <v>46</v>
      </c>
      <c r="N218" t="s">
        <v>47</v>
      </c>
      <c r="O218" t="s">
        <v>48</v>
      </c>
      <c r="P218">
        <v>2</v>
      </c>
      <c r="Q218" s="2">
        <f>Ventas[[#This Row],[precio_base]]*Ventas[[#This Row],[cantidad]]</f>
        <v>119.96</v>
      </c>
      <c r="R218" s="2">
        <f>Ventas[[#This Row],[Total bruto (antes de descuento)]]-Ventas[[#This Row],[total_venta]]</f>
        <v>0</v>
      </c>
    </row>
    <row r="219" spans="1:18" x14ac:dyDescent="0.25">
      <c r="A219" t="s">
        <v>312</v>
      </c>
      <c r="B219" s="1">
        <v>45599</v>
      </c>
      <c r="C219" t="s">
        <v>72</v>
      </c>
      <c r="D219" t="s">
        <v>31</v>
      </c>
      <c r="E219">
        <v>1</v>
      </c>
      <c r="F219" s="2">
        <v>29.99</v>
      </c>
      <c r="G219">
        <v>20</v>
      </c>
      <c r="H219" s="2">
        <v>23.99</v>
      </c>
      <c r="I219" s="2">
        <v>23.99</v>
      </c>
      <c r="J219" t="s">
        <v>19</v>
      </c>
      <c r="K219" t="s">
        <v>20</v>
      </c>
      <c r="L219" t="s">
        <v>21</v>
      </c>
      <c r="M219" t="s">
        <v>39</v>
      </c>
      <c r="N219" t="s">
        <v>40</v>
      </c>
      <c r="O219" t="s">
        <v>35</v>
      </c>
      <c r="P219">
        <v>5</v>
      </c>
      <c r="Q219" s="2">
        <f>Ventas[[#This Row],[precio_base]]*Ventas[[#This Row],[cantidad]]</f>
        <v>29.99</v>
      </c>
      <c r="R219" s="2">
        <f>Ventas[[#This Row],[Total bruto (antes de descuento)]]-Ventas[[#This Row],[total_venta]]</f>
        <v>6</v>
      </c>
    </row>
    <row r="220" spans="1:18" x14ac:dyDescent="0.25">
      <c r="A220" t="s">
        <v>313</v>
      </c>
      <c r="B220" s="1">
        <v>45273</v>
      </c>
      <c r="C220" t="s">
        <v>143</v>
      </c>
      <c r="D220" t="s">
        <v>43</v>
      </c>
      <c r="E220">
        <v>2</v>
      </c>
      <c r="F220" s="2">
        <v>34.99</v>
      </c>
      <c r="G220">
        <v>20</v>
      </c>
      <c r="H220" s="2">
        <v>27.99</v>
      </c>
      <c r="I220" s="2">
        <v>55.98</v>
      </c>
      <c r="J220" t="s">
        <v>51</v>
      </c>
      <c r="K220" t="s">
        <v>57</v>
      </c>
      <c r="L220" t="s">
        <v>45</v>
      </c>
      <c r="M220" t="s">
        <v>101</v>
      </c>
      <c r="N220" t="s">
        <v>102</v>
      </c>
      <c r="O220" t="s">
        <v>35</v>
      </c>
      <c r="Q220" s="2">
        <f>Ventas[[#This Row],[precio_base]]*Ventas[[#This Row],[cantidad]]</f>
        <v>69.98</v>
      </c>
      <c r="R220" s="2">
        <f>Ventas[[#This Row],[Total bruto (antes de descuento)]]-Ventas[[#This Row],[total_venta]]</f>
        <v>14.000000000000007</v>
      </c>
    </row>
    <row r="221" spans="1:18" x14ac:dyDescent="0.25">
      <c r="A221" t="s">
        <v>314</v>
      </c>
      <c r="B221" s="1">
        <v>45113</v>
      </c>
      <c r="C221" t="s">
        <v>70</v>
      </c>
      <c r="D221" t="s">
        <v>31</v>
      </c>
      <c r="E221">
        <v>2</v>
      </c>
      <c r="F221" s="2">
        <v>59.99</v>
      </c>
      <c r="G221">
        <v>0</v>
      </c>
      <c r="H221" s="2">
        <v>59.99</v>
      </c>
      <c r="I221" s="2">
        <v>119.98</v>
      </c>
      <c r="J221" t="s">
        <v>51</v>
      </c>
      <c r="K221" t="s">
        <v>20</v>
      </c>
      <c r="L221" t="s">
        <v>21</v>
      </c>
      <c r="M221" t="s">
        <v>101</v>
      </c>
      <c r="N221" t="s">
        <v>102</v>
      </c>
      <c r="O221" t="s">
        <v>35</v>
      </c>
      <c r="Q221" s="2">
        <f>Ventas[[#This Row],[precio_base]]*Ventas[[#This Row],[cantidad]]</f>
        <v>119.98</v>
      </c>
      <c r="R221" s="2">
        <f>Ventas[[#This Row],[Total bruto (antes de descuento)]]-Ventas[[#This Row],[total_venta]]</f>
        <v>0</v>
      </c>
    </row>
    <row r="222" spans="1:18" x14ac:dyDescent="0.25">
      <c r="A222" t="s">
        <v>315</v>
      </c>
      <c r="B222" s="1">
        <v>45131</v>
      </c>
      <c r="C222" t="s">
        <v>130</v>
      </c>
      <c r="D222" t="s">
        <v>43</v>
      </c>
      <c r="E222">
        <v>1</v>
      </c>
      <c r="F222" s="2">
        <v>24.99</v>
      </c>
      <c r="G222">
        <v>0</v>
      </c>
      <c r="H222" s="2">
        <v>24.99</v>
      </c>
      <c r="I222" s="2">
        <v>24.99</v>
      </c>
      <c r="J222" t="s">
        <v>90</v>
      </c>
      <c r="K222" t="s">
        <v>20</v>
      </c>
      <c r="L222" t="s">
        <v>32</v>
      </c>
      <c r="M222" t="s">
        <v>65</v>
      </c>
      <c r="N222" t="s">
        <v>54</v>
      </c>
      <c r="O222" t="s">
        <v>35</v>
      </c>
      <c r="Q222" s="2">
        <f>Ventas[[#This Row],[precio_base]]*Ventas[[#This Row],[cantidad]]</f>
        <v>24.99</v>
      </c>
      <c r="R222" s="2">
        <f>Ventas[[#This Row],[Total bruto (antes de descuento)]]-Ventas[[#This Row],[total_venta]]</f>
        <v>0</v>
      </c>
    </row>
    <row r="223" spans="1:18" x14ac:dyDescent="0.25">
      <c r="A223" t="s">
        <v>316</v>
      </c>
      <c r="B223" s="1">
        <v>45411</v>
      </c>
      <c r="C223" t="s">
        <v>61</v>
      </c>
      <c r="D223" t="s">
        <v>38</v>
      </c>
      <c r="E223">
        <v>1</v>
      </c>
      <c r="F223" s="2">
        <v>19.989999999999998</v>
      </c>
      <c r="G223">
        <v>20</v>
      </c>
      <c r="H223" s="2">
        <v>15.99</v>
      </c>
      <c r="I223" s="2">
        <v>15.99</v>
      </c>
      <c r="J223" t="s">
        <v>51</v>
      </c>
      <c r="K223" t="s">
        <v>20</v>
      </c>
      <c r="L223" t="s">
        <v>28</v>
      </c>
      <c r="M223" t="s">
        <v>58</v>
      </c>
      <c r="N223" t="s">
        <v>59</v>
      </c>
      <c r="O223" t="s">
        <v>24</v>
      </c>
      <c r="Q223" s="2">
        <f>Ventas[[#This Row],[precio_base]]*Ventas[[#This Row],[cantidad]]</f>
        <v>19.989999999999998</v>
      </c>
      <c r="R223" s="2">
        <f>Ventas[[#This Row],[Total bruto (antes de descuento)]]-Ventas[[#This Row],[total_venta]]</f>
        <v>3.9999999999999982</v>
      </c>
    </row>
    <row r="224" spans="1:18" x14ac:dyDescent="0.25">
      <c r="A224" t="s">
        <v>317</v>
      </c>
      <c r="B224" s="1">
        <v>45598</v>
      </c>
      <c r="C224" t="s">
        <v>141</v>
      </c>
      <c r="D224" t="s">
        <v>38</v>
      </c>
      <c r="E224">
        <v>3</v>
      </c>
      <c r="F224" s="2">
        <v>89.99</v>
      </c>
      <c r="G224">
        <v>0</v>
      </c>
      <c r="H224" s="2">
        <v>89.99</v>
      </c>
      <c r="I224" s="2">
        <v>269.97000000000003</v>
      </c>
      <c r="J224" t="s">
        <v>51</v>
      </c>
      <c r="K224" t="s">
        <v>52</v>
      </c>
      <c r="L224" t="s">
        <v>28</v>
      </c>
      <c r="M224" t="s">
        <v>120</v>
      </c>
      <c r="N224" t="s">
        <v>23</v>
      </c>
      <c r="O224" t="s">
        <v>24</v>
      </c>
      <c r="Q224" s="2">
        <f>Ventas[[#This Row],[precio_base]]*Ventas[[#This Row],[cantidad]]</f>
        <v>269.96999999999997</v>
      </c>
      <c r="R224" s="2">
        <f>Ventas[[#This Row],[Total bruto (antes de descuento)]]-Ventas[[#This Row],[total_venta]]</f>
        <v>0</v>
      </c>
    </row>
    <row r="225" spans="1:18" x14ac:dyDescent="0.25">
      <c r="A225" t="s">
        <v>318</v>
      </c>
      <c r="B225" s="1">
        <v>45322</v>
      </c>
      <c r="C225" t="s">
        <v>141</v>
      </c>
      <c r="D225" t="s">
        <v>38</v>
      </c>
      <c r="E225">
        <v>2</v>
      </c>
      <c r="F225" s="2">
        <v>89.99</v>
      </c>
      <c r="G225">
        <v>5</v>
      </c>
      <c r="H225" s="2">
        <v>85.49</v>
      </c>
      <c r="I225" s="2">
        <v>170.98</v>
      </c>
      <c r="J225" t="s">
        <v>51</v>
      </c>
      <c r="K225" t="s">
        <v>52</v>
      </c>
      <c r="L225" t="s">
        <v>45</v>
      </c>
      <c r="M225" t="s">
        <v>123</v>
      </c>
      <c r="N225" t="s">
        <v>124</v>
      </c>
      <c r="O225" t="s">
        <v>24</v>
      </c>
      <c r="Q225" s="2">
        <f>Ventas[[#This Row],[precio_base]]*Ventas[[#This Row],[cantidad]]</f>
        <v>179.98</v>
      </c>
      <c r="R225" s="2">
        <f>Ventas[[#This Row],[Total bruto (antes de descuento)]]-Ventas[[#This Row],[total_venta]]</f>
        <v>9</v>
      </c>
    </row>
    <row r="226" spans="1:18" x14ac:dyDescent="0.25">
      <c r="A226" t="s">
        <v>319</v>
      </c>
      <c r="B226" s="1">
        <v>45011</v>
      </c>
      <c r="C226" t="s">
        <v>76</v>
      </c>
      <c r="D226" t="s">
        <v>31</v>
      </c>
      <c r="E226">
        <v>4</v>
      </c>
      <c r="F226" s="2">
        <v>69.989999999999995</v>
      </c>
      <c r="G226">
        <v>0</v>
      </c>
      <c r="H226" s="2">
        <v>69.989999999999995</v>
      </c>
      <c r="I226" s="2">
        <v>279.95999999999998</v>
      </c>
      <c r="J226" t="s">
        <v>19</v>
      </c>
      <c r="K226" t="s">
        <v>20</v>
      </c>
      <c r="L226" t="s">
        <v>21</v>
      </c>
      <c r="M226" t="s">
        <v>67</v>
      </c>
      <c r="N226" t="s">
        <v>68</v>
      </c>
      <c r="O226" t="s">
        <v>35</v>
      </c>
      <c r="P226">
        <v>1</v>
      </c>
      <c r="Q226" s="2">
        <f>Ventas[[#This Row],[precio_base]]*Ventas[[#This Row],[cantidad]]</f>
        <v>279.95999999999998</v>
      </c>
      <c r="R226" s="2">
        <f>Ventas[[#This Row],[Total bruto (antes de descuento)]]-Ventas[[#This Row],[total_venta]]</f>
        <v>0</v>
      </c>
    </row>
    <row r="227" spans="1:18" x14ac:dyDescent="0.25">
      <c r="A227" t="s">
        <v>320</v>
      </c>
      <c r="B227" s="1">
        <v>45008</v>
      </c>
      <c r="C227" t="s">
        <v>141</v>
      </c>
      <c r="D227" t="s">
        <v>38</v>
      </c>
      <c r="E227">
        <v>3</v>
      </c>
      <c r="F227" s="2">
        <v>89.99</v>
      </c>
      <c r="G227">
        <v>0</v>
      </c>
      <c r="H227" s="2">
        <v>89.99</v>
      </c>
      <c r="I227" s="2">
        <v>269.97000000000003</v>
      </c>
      <c r="J227" t="s">
        <v>19</v>
      </c>
      <c r="K227" t="s">
        <v>20</v>
      </c>
      <c r="L227" t="s">
        <v>28</v>
      </c>
      <c r="M227" t="s">
        <v>84</v>
      </c>
      <c r="N227" t="s">
        <v>85</v>
      </c>
      <c r="O227" t="s">
        <v>35</v>
      </c>
      <c r="P227">
        <v>3</v>
      </c>
      <c r="Q227" s="2">
        <f>Ventas[[#This Row],[precio_base]]*Ventas[[#This Row],[cantidad]]</f>
        <v>269.96999999999997</v>
      </c>
      <c r="R227" s="2">
        <f>Ventas[[#This Row],[Total bruto (antes de descuento)]]-Ventas[[#This Row],[total_venta]]</f>
        <v>0</v>
      </c>
    </row>
    <row r="228" spans="1:18" x14ac:dyDescent="0.25">
      <c r="A228" t="s">
        <v>321</v>
      </c>
      <c r="B228" s="1">
        <v>45384</v>
      </c>
      <c r="C228" t="s">
        <v>94</v>
      </c>
      <c r="D228" t="s">
        <v>18</v>
      </c>
      <c r="E228">
        <v>3</v>
      </c>
      <c r="F228" s="2">
        <v>899.99</v>
      </c>
      <c r="G228">
        <v>10</v>
      </c>
      <c r="H228" s="2">
        <v>809.99</v>
      </c>
      <c r="I228" s="2">
        <v>2429.9699999999998</v>
      </c>
      <c r="J228" t="s">
        <v>116</v>
      </c>
      <c r="K228" t="s">
        <v>44</v>
      </c>
      <c r="L228" t="s">
        <v>28</v>
      </c>
      <c r="M228" t="s">
        <v>58</v>
      </c>
      <c r="N228" t="s">
        <v>59</v>
      </c>
      <c r="O228" t="s">
        <v>24</v>
      </c>
      <c r="Q228" s="2">
        <f>Ventas[[#This Row],[precio_base]]*Ventas[[#This Row],[cantidad]]</f>
        <v>2699.9700000000003</v>
      </c>
      <c r="R228" s="2">
        <f>Ventas[[#This Row],[Total bruto (antes de descuento)]]-Ventas[[#This Row],[total_venta]]</f>
        <v>270.00000000000045</v>
      </c>
    </row>
    <row r="229" spans="1:18" x14ac:dyDescent="0.25">
      <c r="A229" t="s">
        <v>322</v>
      </c>
      <c r="B229" s="1">
        <v>44985</v>
      </c>
      <c r="C229" t="s">
        <v>56</v>
      </c>
      <c r="D229" t="s">
        <v>18</v>
      </c>
      <c r="E229">
        <v>4</v>
      </c>
      <c r="F229" s="2">
        <v>89.99</v>
      </c>
      <c r="G229">
        <v>0</v>
      </c>
      <c r="H229" s="2">
        <v>89.99</v>
      </c>
      <c r="I229" s="2">
        <v>359.96</v>
      </c>
      <c r="J229" t="s">
        <v>19</v>
      </c>
      <c r="K229" t="s">
        <v>44</v>
      </c>
      <c r="L229" t="s">
        <v>152</v>
      </c>
      <c r="M229" t="s">
        <v>84</v>
      </c>
      <c r="N229" t="s">
        <v>85</v>
      </c>
      <c r="O229" t="s">
        <v>35</v>
      </c>
      <c r="P229">
        <v>2</v>
      </c>
      <c r="Q229" s="2">
        <f>Ventas[[#This Row],[precio_base]]*Ventas[[#This Row],[cantidad]]</f>
        <v>359.96</v>
      </c>
      <c r="R229" s="2">
        <f>Ventas[[#This Row],[Total bruto (antes de descuento)]]-Ventas[[#This Row],[total_venta]]</f>
        <v>0</v>
      </c>
    </row>
    <row r="230" spans="1:18" x14ac:dyDescent="0.25">
      <c r="A230" t="s">
        <v>323</v>
      </c>
      <c r="B230" s="1">
        <v>45549</v>
      </c>
      <c r="C230" t="s">
        <v>81</v>
      </c>
      <c r="D230" t="s">
        <v>31</v>
      </c>
      <c r="E230">
        <v>4</v>
      </c>
      <c r="F230" s="2">
        <v>189.99</v>
      </c>
      <c r="G230">
        <v>0</v>
      </c>
      <c r="H230" s="2">
        <v>189.99</v>
      </c>
      <c r="I230" s="2">
        <v>759.96</v>
      </c>
      <c r="J230" t="s">
        <v>19</v>
      </c>
      <c r="K230" t="s">
        <v>52</v>
      </c>
      <c r="L230" t="s">
        <v>45</v>
      </c>
      <c r="M230" t="s">
        <v>22</v>
      </c>
      <c r="N230" t="s">
        <v>23</v>
      </c>
      <c r="O230" t="s">
        <v>24</v>
      </c>
      <c r="P230">
        <v>4</v>
      </c>
      <c r="Q230" s="2">
        <f>Ventas[[#This Row],[precio_base]]*Ventas[[#This Row],[cantidad]]</f>
        <v>759.96</v>
      </c>
      <c r="R230" s="2">
        <f>Ventas[[#This Row],[Total bruto (antes de descuento)]]-Ventas[[#This Row],[total_venta]]</f>
        <v>0</v>
      </c>
    </row>
    <row r="231" spans="1:18" x14ac:dyDescent="0.25">
      <c r="A231" t="s">
        <v>324</v>
      </c>
      <c r="B231" s="1">
        <v>45507</v>
      </c>
      <c r="C231" t="s">
        <v>94</v>
      </c>
      <c r="D231" t="s">
        <v>18</v>
      </c>
      <c r="E231">
        <v>5</v>
      </c>
      <c r="F231" s="2">
        <v>899.99</v>
      </c>
      <c r="G231">
        <v>0</v>
      </c>
      <c r="H231" s="2">
        <v>899.99</v>
      </c>
      <c r="I231" s="2">
        <v>4499.95</v>
      </c>
      <c r="J231" t="s">
        <v>51</v>
      </c>
      <c r="K231" t="s">
        <v>20</v>
      </c>
      <c r="L231" t="s">
        <v>28</v>
      </c>
      <c r="M231" t="s">
        <v>123</v>
      </c>
      <c r="N231" t="s">
        <v>124</v>
      </c>
      <c r="O231" t="s">
        <v>24</v>
      </c>
      <c r="Q231" s="2">
        <f>Ventas[[#This Row],[precio_base]]*Ventas[[#This Row],[cantidad]]</f>
        <v>4499.95</v>
      </c>
      <c r="R231" s="2">
        <f>Ventas[[#This Row],[Total bruto (antes de descuento)]]-Ventas[[#This Row],[total_venta]]</f>
        <v>0</v>
      </c>
    </row>
    <row r="232" spans="1:18" x14ac:dyDescent="0.25">
      <c r="A232" t="s">
        <v>325</v>
      </c>
      <c r="B232" s="1">
        <v>45514</v>
      </c>
      <c r="C232" t="s">
        <v>78</v>
      </c>
      <c r="D232" t="s">
        <v>18</v>
      </c>
      <c r="E232">
        <v>5</v>
      </c>
      <c r="F232" s="2">
        <v>349.99</v>
      </c>
      <c r="G232">
        <v>0</v>
      </c>
      <c r="H232" s="2">
        <v>349.99</v>
      </c>
      <c r="I232" s="2">
        <v>1749.95</v>
      </c>
      <c r="J232" t="s">
        <v>19</v>
      </c>
      <c r="K232" t="s">
        <v>20</v>
      </c>
      <c r="L232" t="s">
        <v>152</v>
      </c>
      <c r="M232" t="s">
        <v>73</v>
      </c>
      <c r="N232" t="s">
        <v>74</v>
      </c>
      <c r="O232" t="s">
        <v>35</v>
      </c>
      <c r="P232">
        <v>1</v>
      </c>
      <c r="Q232" s="2">
        <f>Ventas[[#This Row],[precio_base]]*Ventas[[#This Row],[cantidad]]</f>
        <v>1749.95</v>
      </c>
      <c r="R232" s="2">
        <f>Ventas[[#This Row],[Total bruto (antes de descuento)]]-Ventas[[#This Row],[total_venta]]</f>
        <v>0</v>
      </c>
    </row>
    <row r="233" spans="1:18" x14ac:dyDescent="0.25">
      <c r="A233" t="s">
        <v>326</v>
      </c>
      <c r="B233" s="1">
        <v>45117</v>
      </c>
      <c r="C233" t="s">
        <v>92</v>
      </c>
      <c r="D233" t="s">
        <v>27</v>
      </c>
      <c r="E233">
        <v>5</v>
      </c>
      <c r="F233" s="2">
        <v>79.989999999999995</v>
      </c>
      <c r="G233">
        <v>5</v>
      </c>
      <c r="H233" s="2">
        <v>75.989999999999995</v>
      </c>
      <c r="I233" s="2">
        <v>379.95</v>
      </c>
      <c r="J233" t="s">
        <v>90</v>
      </c>
      <c r="K233" t="s">
        <v>20</v>
      </c>
      <c r="L233" t="s">
        <v>21</v>
      </c>
      <c r="M233" t="s">
        <v>95</v>
      </c>
      <c r="N233" t="s">
        <v>96</v>
      </c>
      <c r="O233" t="s">
        <v>48</v>
      </c>
      <c r="Q233" s="2">
        <f>Ventas[[#This Row],[precio_base]]*Ventas[[#This Row],[cantidad]]</f>
        <v>399.95</v>
      </c>
      <c r="R233" s="2">
        <f>Ventas[[#This Row],[Total bruto (antes de descuento)]]-Ventas[[#This Row],[total_venta]]</f>
        <v>20</v>
      </c>
    </row>
    <row r="234" spans="1:18" x14ac:dyDescent="0.25">
      <c r="A234" t="s">
        <v>327</v>
      </c>
      <c r="B234" s="1">
        <v>45383</v>
      </c>
      <c r="C234" t="s">
        <v>115</v>
      </c>
      <c r="D234" t="s">
        <v>18</v>
      </c>
      <c r="E234">
        <v>5</v>
      </c>
      <c r="F234" s="2">
        <v>799.99</v>
      </c>
      <c r="G234">
        <v>0</v>
      </c>
      <c r="H234" s="2">
        <v>799.99</v>
      </c>
      <c r="I234" s="2">
        <v>3999.95</v>
      </c>
      <c r="J234" t="s">
        <v>51</v>
      </c>
      <c r="K234" t="s">
        <v>20</v>
      </c>
      <c r="L234" t="s">
        <v>21</v>
      </c>
      <c r="M234" t="s">
        <v>101</v>
      </c>
      <c r="N234" t="s">
        <v>102</v>
      </c>
      <c r="O234" t="s">
        <v>35</v>
      </c>
      <c r="Q234" s="2">
        <f>Ventas[[#This Row],[precio_base]]*Ventas[[#This Row],[cantidad]]</f>
        <v>3999.95</v>
      </c>
      <c r="R234" s="2">
        <f>Ventas[[#This Row],[Total bruto (antes de descuento)]]-Ventas[[#This Row],[total_venta]]</f>
        <v>0</v>
      </c>
    </row>
    <row r="235" spans="1:18" x14ac:dyDescent="0.25">
      <c r="A235" t="s">
        <v>328</v>
      </c>
      <c r="B235" s="1">
        <v>45002</v>
      </c>
      <c r="C235" t="s">
        <v>151</v>
      </c>
      <c r="D235" t="s">
        <v>27</v>
      </c>
      <c r="E235">
        <v>2</v>
      </c>
      <c r="F235" s="2">
        <v>599.99</v>
      </c>
      <c r="G235">
        <v>15</v>
      </c>
      <c r="H235" s="2">
        <v>509.99</v>
      </c>
      <c r="I235" s="2">
        <v>1019.98</v>
      </c>
      <c r="J235" t="s">
        <v>19</v>
      </c>
      <c r="K235" t="s">
        <v>52</v>
      </c>
      <c r="L235" t="s">
        <v>152</v>
      </c>
      <c r="M235" t="s">
        <v>95</v>
      </c>
      <c r="N235" t="s">
        <v>96</v>
      </c>
      <c r="O235" t="s">
        <v>48</v>
      </c>
      <c r="P235">
        <v>3</v>
      </c>
      <c r="Q235" s="2">
        <f>Ventas[[#This Row],[precio_base]]*Ventas[[#This Row],[cantidad]]</f>
        <v>1199.98</v>
      </c>
      <c r="R235" s="2">
        <f>Ventas[[#This Row],[Total bruto (antes de descuento)]]-Ventas[[#This Row],[total_venta]]</f>
        <v>180</v>
      </c>
    </row>
    <row r="236" spans="1:18" x14ac:dyDescent="0.25">
      <c r="A236" t="s">
        <v>329</v>
      </c>
      <c r="B236" s="1">
        <v>45610</v>
      </c>
      <c r="C236" t="s">
        <v>89</v>
      </c>
      <c r="D236" t="s">
        <v>38</v>
      </c>
      <c r="E236">
        <v>1</v>
      </c>
      <c r="F236" s="2">
        <v>69.989999999999995</v>
      </c>
      <c r="G236">
        <v>10</v>
      </c>
      <c r="H236" s="2">
        <v>62.99</v>
      </c>
      <c r="I236" s="2">
        <v>62.99</v>
      </c>
      <c r="J236" t="s">
        <v>19</v>
      </c>
      <c r="K236" t="s">
        <v>20</v>
      </c>
      <c r="L236" t="s">
        <v>21</v>
      </c>
      <c r="M236" t="s">
        <v>53</v>
      </c>
      <c r="N236" t="s">
        <v>54</v>
      </c>
      <c r="O236" t="s">
        <v>35</v>
      </c>
      <c r="P236">
        <v>2</v>
      </c>
      <c r="Q236" s="2">
        <f>Ventas[[#This Row],[precio_base]]*Ventas[[#This Row],[cantidad]]</f>
        <v>69.989999999999995</v>
      </c>
      <c r="R236" s="2">
        <f>Ventas[[#This Row],[Total bruto (antes de descuento)]]-Ventas[[#This Row],[total_venta]]</f>
        <v>6.9999999999999929</v>
      </c>
    </row>
    <row r="237" spans="1:18" x14ac:dyDescent="0.25">
      <c r="A237" t="s">
        <v>330</v>
      </c>
      <c r="B237" s="1">
        <v>45297</v>
      </c>
      <c r="C237" t="s">
        <v>87</v>
      </c>
      <c r="D237" t="s">
        <v>27</v>
      </c>
      <c r="E237">
        <v>2</v>
      </c>
      <c r="F237" s="2">
        <v>249.99</v>
      </c>
      <c r="G237">
        <v>0</v>
      </c>
      <c r="H237" s="2">
        <v>249.99</v>
      </c>
      <c r="I237" s="2">
        <v>499.98</v>
      </c>
      <c r="J237" t="s">
        <v>116</v>
      </c>
      <c r="K237" t="s">
        <v>20</v>
      </c>
      <c r="L237" t="s">
        <v>28</v>
      </c>
      <c r="M237" t="s">
        <v>39</v>
      </c>
      <c r="N237" t="s">
        <v>40</v>
      </c>
      <c r="O237" t="s">
        <v>35</v>
      </c>
      <c r="Q237" s="2">
        <f>Ventas[[#This Row],[precio_base]]*Ventas[[#This Row],[cantidad]]</f>
        <v>499.98</v>
      </c>
      <c r="R237" s="2">
        <f>Ventas[[#This Row],[Total bruto (antes de descuento)]]-Ventas[[#This Row],[total_venta]]</f>
        <v>0</v>
      </c>
    </row>
    <row r="238" spans="1:18" x14ac:dyDescent="0.25">
      <c r="A238" t="s">
        <v>331</v>
      </c>
      <c r="B238" s="1">
        <v>44953</v>
      </c>
      <c r="C238" t="s">
        <v>89</v>
      </c>
      <c r="D238" t="s">
        <v>38</v>
      </c>
      <c r="E238">
        <v>5</v>
      </c>
      <c r="F238" s="2">
        <v>69.989999999999995</v>
      </c>
      <c r="G238">
        <v>10</v>
      </c>
      <c r="H238" s="2">
        <v>62.99</v>
      </c>
      <c r="I238" s="2">
        <v>314.95</v>
      </c>
      <c r="J238" t="s">
        <v>19</v>
      </c>
      <c r="K238" t="s">
        <v>57</v>
      </c>
      <c r="L238" t="s">
        <v>21</v>
      </c>
      <c r="M238" t="s">
        <v>39</v>
      </c>
      <c r="N238" t="s">
        <v>40</v>
      </c>
      <c r="O238" t="s">
        <v>35</v>
      </c>
      <c r="P238">
        <v>1</v>
      </c>
      <c r="Q238" s="2">
        <f>Ventas[[#This Row],[precio_base]]*Ventas[[#This Row],[cantidad]]</f>
        <v>349.95</v>
      </c>
      <c r="R238" s="2">
        <f>Ventas[[#This Row],[Total bruto (antes de descuento)]]-Ventas[[#This Row],[total_venta]]</f>
        <v>35</v>
      </c>
    </row>
    <row r="239" spans="1:18" x14ac:dyDescent="0.25">
      <c r="A239" t="s">
        <v>332</v>
      </c>
      <c r="B239" s="1">
        <v>44994</v>
      </c>
      <c r="C239" t="s">
        <v>83</v>
      </c>
      <c r="D239" t="s">
        <v>38</v>
      </c>
      <c r="E239">
        <v>4</v>
      </c>
      <c r="F239" s="2">
        <v>49.99</v>
      </c>
      <c r="G239">
        <v>15</v>
      </c>
      <c r="H239" s="2">
        <v>42.49</v>
      </c>
      <c r="I239" s="2">
        <v>169.96</v>
      </c>
      <c r="J239" t="s">
        <v>51</v>
      </c>
      <c r="K239" t="s">
        <v>20</v>
      </c>
      <c r="L239" t="s">
        <v>45</v>
      </c>
      <c r="M239" t="s">
        <v>65</v>
      </c>
      <c r="N239" t="s">
        <v>54</v>
      </c>
      <c r="O239" t="s">
        <v>35</v>
      </c>
      <c r="Q239" s="2">
        <f>Ventas[[#This Row],[precio_base]]*Ventas[[#This Row],[cantidad]]</f>
        <v>199.96</v>
      </c>
      <c r="R239" s="2">
        <f>Ventas[[#This Row],[Total bruto (antes de descuento)]]-Ventas[[#This Row],[total_venta]]</f>
        <v>30</v>
      </c>
    </row>
    <row r="240" spans="1:18" x14ac:dyDescent="0.25">
      <c r="A240" t="s">
        <v>333</v>
      </c>
      <c r="B240" s="1">
        <v>45515</v>
      </c>
      <c r="C240" t="s">
        <v>56</v>
      </c>
      <c r="D240" t="s">
        <v>18</v>
      </c>
      <c r="E240">
        <v>2</v>
      </c>
      <c r="F240" s="2">
        <v>89.99</v>
      </c>
      <c r="G240">
        <v>0</v>
      </c>
      <c r="H240" s="2">
        <v>89.99</v>
      </c>
      <c r="I240" s="2">
        <v>179.98</v>
      </c>
      <c r="J240" t="s">
        <v>51</v>
      </c>
      <c r="K240" t="s">
        <v>44</v>
      </c>
      <c r="L240" t="s">
        <v>45</v>
      </c>
      <c r="M240" t="s">
        <v>101</v>
      </c>
      <c r="N240" t="s">
        <v>102</v>
      </c>
      <c r="O240" t="s">
        <v>35</v>
      </c>
      <c r="Q240" s="2">
        <f>Ventas[[#This Row],[precio_base]]*Ventas[[#This Row],[cantidad]]</f>
        <v>179.98</v>
      </c>
      <c r="R240" s="2">
        <f>Ventas[[#This Row],[Total bruto (antes de descuento)]]-Ventas[[#This Row],[total_venta]]</f>
        <v>0</v>
      </c>
    </row>
    <row r="241" spans="1:18" x14ac:dyDescent="0.25">
      <c r="A241" t="s">
        <v>334</v>
      </c>
      <c r="B241" s="1">
        <v>45058</v>
      </c>
      <c r="C241" t="s">
        <v>130</v>
      </c>
      <c r="D241" t="s">
        <v>43</v>
      </c>
      <c r="E241">
        <v>5</v>
      </c>
      <c r="F241" s="2">
        <v>24.99</v>
      </c>
      <c r="G241">
        <v>15</v>
      </c>
      <c r="H241" s="2">
        <v>21.24</v>
      </c>
      <c r="I241" s="2">
        <v>106.2</v>
      </c>
      <c r="J241" t="s">
        <v>19</v>
      </c>
      <c r="K241" t="s">
        <v>57</v>
      </c>
      <c r="L241" t="s">
        <v>45</v>
      </c>
      <c r="M241" t="s">
        <v>39</v>
      </c>
      <c r="N241" t="s">
        <v>40</v>
      </c>
      <c r="O241" t="s">
        <v>35</v>
      </c>
      <c r="P241">
        <v>1</v>
      </c>
      <c r="Q241" s="2">
        <f>Ventas[[#This Row],[precio_base]]*Ventas[[#This Row],[cantidad]]</f>
        <v>124.94999999999999</v>
      </c>
      <c r="R241" s="2">
        <f>Ventas[[#This Row],[Total bruto (antes de descuento)]]-Ventas[[#This Row],[total_venta]]</f>
        <v>18.749999999999986</v>
      </c>
    </row>
    <row r="242" spans="1:18" x14ac:dyDescent="0.25">
      <c r="A242" t="s">
        <v>335</v>
      </c>
      <c r="B242" s="1">
        <v>45054</v>
      </c>
      <c r="C242" t="s">
        <v>87</v>
      </c>
      <c r="D242" t="s">
        <v>27</v>
      </c>
      <c r="E242">
        <v>2</v>
      </c>
      <c r="F242" s="2">
        <v>249.99</v>
      </c>
      <c r="G242">
        <v>0</v>
      </c>
      <c r="H242" s="2">
        <v>249.99</v>
      </c>
      <c r="I242" s="2">
        <v>499.98</v>
      </c>
      <c r="J242" t="s">
        <v>19</v>
      </c>
      <c r="K242" t="s">
        <v>52</v>
      </c>
      <c r="L242" t="s">
        <v>21</v>
      </c>
      <c r="M242" t="s">
        <v>123</v>
      </c>
      <c r="N242" t="s">
        <v>124</v>
      </c>
      <c r="O242" t="s">
        <v>24</v>
      </c>
      <c r="P242">
        <v>5</v>
      </c>
      <c r="Q242" s="2">
        <f>Ventas[[#This Row],[precio_base]]*Ventas[[#This Row],[cantidad]]</f>
        <v>499.98</v>
      </c>
      <c r="R242" s="2">
        <f>Ventas[[#This Row],[Total bruto (antes de descuento)]]-Ventas[[#This Row],[total_venta]]</f>
        <v>0</v>
      </c>
    </row>
    <row r="243" spans="1:18" x14ac:dyDescent="0.25">
      <c r="A243" t="s">
        <v>336</v>
      </c>
      <c r="B243" s="1">
        <v>45217</v>
      </c>
      <c r="C243" t="s">
        <v>42</v>
      </c>
      <c r="D243" t="s">
        <v>43</v>
      </c>
      <c r="E243">
        <v>1</v>
      </c>
      <c r="F243" s="2">
        <v>349.99</v>
      </c>
      <c r="G243">
        <v>0</v>
      </c>
      <c r="H243" s="2">
        <v>349.99</v>
      </c>
      <c r="I243" s="2">
        <v>349.99</v>
      </c>
      <c r="J243" t="s">
        <v>19</v>
      </c>
      <c r="K243" t="s">
        <v>20</v>
      </c>
      <c r="L243" t="s">
        <v>28</v>
      </c>
      <c r="M243" t="s">
        <v>65</v>
      </c>
      <c r="N243" t="s">
        <v>54</v>
      </c>
      <c r="O243" t="s">
        <v>35</v>
      </c>
      <c r="P243">
        <v>5</v>
      </c>
      <c r="Q243" s="2">
        <f>Ventas[[#This Row],[precio_base]]*Ventas[[#This Row],[cantidad]]</f>
        <v>349.99</v>
      </c>
      <c r="R243" s="2">
        <f>Ventas[[#This Row],[Total bruto (antes de descuento)]]-Ventas[[#This Row],[total_venta]]</f>
        <v>0</v>
      </c>
    </row>
    <row r="244" spans="1:18" x14ac:dyDescent="0.25">
      <c r="A244" t="s">
        <v>337</v>
      </c>
      <c r="B244" s="1">
        <v>45473</v>
      </c>
      <c r="C244" t="s">
        <v>56</v>
      </c>
      <c r="D244" t="s">
        <v>18</v>
      </c>
      <c r="E244">
        <v>5</v>
      </c>
      <c r="F244" s="2">
        <v>89.99</v>
      </c>
      <c r="G244">
        <v>15</v>
      </c>
      <c r="H244" s="2">
        <v>76.489999999999995</v>
      </c>
      <c r="I244" s="2">
        <v>382.45</v>
      </c>
      <c r="J244" t="s">
        <v>19</v>
      </c>
      <c r="K244" t="s">
        <v>20</v>
      </c>
      <c r="L244" t="s">
        <v>28</v>
      </c>
      <c r="M244" t="s">
        <v>33</v>
      </c>
      <c r="N244" t="s">
        <v>34</v>
      </c>
      <c r="O244" t="s">
        <v>35</v>
      </c>
      <c r="P244">
        <v>5</v>
      </c>
      <c r="Q244" s="2">
        <f>Ventas[[#This Row],[precio_base]]*Ventas[[#This Row],[cantidad]]</f>
        <v>449.95</v>
      </c>
      <c r="R244" s="2">
        <f>Ventas[[#This Row],[Total bruto (antes de descuento)]]-Ventas[[#This Row],[total_venta]]</f>
        <v>67.5</v>
      </c>
    </row>
    <row r="245" spans="1:18" x14ac:dyDescent="0.25">
      <c r="A245" t="s">
        <v>338</v>
      </c>
      <c r="B245" s="1">
        <v>45272</v>
      </c>
      <c r="C245" t="s">
        <v>143</v>
      </c>
      <c r="D245" t="s">
        <v>43</v>
      </c>
      <c r="E245">
        <v>5</v>
      </c>
      <c r="F245" s="2">
        <v>34.99</v>
      </c>
      <c r="G245">
        <v>0</v>
      </c>
      <c r="H245" s="2">
        <v>34.99</v>
      </c>
      <c r="I245" s="2">
        <v>174.95</v>
      </c>
      <c r="J245" t="s">
        <v>62</v>
      </c>
      <c r="K245" t="s">
        <v>20</v>
      </c>
      <c r="L245" t="s">
        <v>152</v>
      </c>
      <c r="M245" t="s">
        <v>46</v>
      </c>
      <c r="N245" t="s">
        <v>47</v>
      </c>
      <c r="O245" t="s">
        <v>48</v>
      </c>
      <c r="Q245" s="2">
        <f>Ventas[[#This Row],[precio_base]]*Ventas[[#This Row],[cantidad]]</f>
        <v>174.95000000000002</v>
      </c>
      <c r="R245" s="2">
        <f>Ventas[[#This Row],[Total bruto (antes de descuento)]]-Ventas[[#This Row],[total_venta]]</f>
        <v>0</v>
      </c>
    </row>
    <row r="246" spans="1:18" x14ac:dyDescent="0.25">
      <c r="A246" t="s">
        <v>339</v>
      </c>
      <c r="B246" s="1">
        <v>45517</v>
      </c>
      <c r="C246" t="s">
        <v>61</v>
      </c>
      <c r="D246" t="s">
        <v>38</v>
      </c>
      <c r="E246">
        <v>2</v>
      </c>
      <c r="F246" s="2">
        <v>19.989999999999998</v>
      </c>
      <c r="G246">
        <v>20</v>
      </c>
      <c r="H246" s="2">
        <v>15.99</v>
      </c>
      <c r="I246" s="2">
        <v>31.98</v>
      </c>
      <c r="J246" t="s">
        <v>19</v>
      </c>
      <c r="K246" t="s">
        <v>44</v>
      </c>
      <c r="L246" t="s">
        <v>45</v>
      </c>
      <c r="M246" t="s">
        <v>33</v>
      </c>
      <c r="N246" t="s">
        <v>34</v>
      </c>
      <c r="O246" t="s">
        <v>35</v>
      </c>
      <c r="P246">
        <v>5</v>
      </c>
      <c r="Q246" s="2">
        <f>Ventas[[#This Row],[precio_base]]*Ventas[[#This Row],[cantidad]]</f>
        <v>39.979999999999997</v>
      </c>
      <c r="R246" s="2">
        <f>Ventas[[#This Row],[Total bruto (antes de descuento)]]-Ventas[[#This Row],[total_venta]]</f>
        <v>7.9999999999999964</v>
      </c>
    </row>
    <row r="247" spans="1:18" x14ac:dyDescent="0.25">
      <c r="A247" t="s">
        <v>340</v>
      </c>
      <c r="B247" s="1">
        <v>45223</v>
      </c>
      <c r="C247" t="s">
        <v>72</v>
      </c>
      <c r="D247" t="s">
        <v>31</v>
      </c>
      <c r="E247">
        <v>3</v>
      </c>
      <c r="F247" s="2">
        <v>29.99</v>
      </c>
      <c r="G247">
        <v>5</v>
      </c>
      <c r="H247" s="2">
        <v>28.49</v>
      </c>
      <c r="I247" s="2">
        <v>85.47</v>
      </c>
      <c r="J247" t="s">
        <v>19</v>
      </c>
      <c r="K247" t="s">
        <v>44</v>
      </c>
      <c r="L247" t="s">
        <v>21</v>
      </c>
      <c r="M247" t="s">
        <v>39</v>
      </c>
      <c r="N247" t="s">
        <v>40</v>
      </c>
      <c r="O247" t="s">
        <v>35</v>
      </c>
      <c r="P247">
        <v>1</v>
      </c>
      <c r="Q247" s="2">
        <f>Ventas[[#This Row],[precio_base]]*Ventas[[#This Row],[cantidad]]</f>
        <v>89.97</v>
      </c>
      <c r="R247" s="2">
        <f>Ventas[[#This Row],[Total bruto (antes de descuento)]]-Ventas[[#This Row],[total_venta]]</f>
        <v>4.5</v>
      </c>
    </row>
    <row r="248" spans="1:18" x14ac:dyDescent="0.25">
      <c r="A248" t="s">
        <v>341</v>
      </c>
      <c r="B248" s="1">
        <v>45632</v>
      </c>
      <c r="C248" t="s">
        <v>94</v>
      </c>
      <c r="D248" t="s">
        <v>18</v>
      </c>
      <c r="E248">
        <v>2</v>
      </c>
      <c r="F248" s="2">
        <v>899.99</v>
      </c>
      <c r="G248">
        <v>5</v>
      </c>
      <c r="H248" s="2">
        <v>854.99</v>
      </c>
      <c r="I248" s="2">
        <v>1709.98</v>
      </c>
      <c r="J248" t="s">
        <v>19</v>
      </c>
      <c r="K248" t="s">
        <v>20</v>
      </c>
      <c r="L248" t="s">
        <v>28</v>
      </c>
      <c r="M248" t="s">
        <v>101</v>
      </c>
      <c r="N248" t="s">
        <v>102</v>
      </c>
      <c r="O248" t="s">
        <v>35</v>
      </c>
      <c r="P248">
        <v>3</v>
      </c>
      <c r="Q248" s="2">
        <f>Ventas[[#This Row],[precio_base]]*Ventas[[#This Row],[cantidad]]</f>
        <v>1799.98</v>
      </c>
      <c r="R248" s="2">
        <f>Ventas[[#This Row],[Total bruto (antes de descuento)]]-Ventas[[#This Row],[total_venta]]</f>
        <v>90</v>
      </c>
    </row>
    <row r="249" spans="1:18" x14ac:dyDescent="0.25">
      <c r="A249" t="s">
        <v>342</v>
      </c>
      <c r="B249" s="1">
        <v>45253</v>
      </c>
      <c r="C249" t="s">
        <v>76</v>
      </c>
      <c r="D249" t="s">
        <v>31</v>
      </c>
      <c r="E249">
        <v>3</v>
      </c>
      <c r="F249" s="2">
        <v>69.989999999999995</v>
      </c>
      <c r="G249">
        <v>5</v>
      </c>
      <c r="H249" s="2">
        <v>66.489999999999995</v>
      </c>
      <c r="I249" s="2">
        <v>199.47</v>
      </c>
      <c r="J249" t="s">
        <v>19</v>
      </c>
      <c r="K249" t="s">
        <v>44</v>
      </c>
      <c r="L249" t="s">
        <v>21</v>
      </c>
      <c r="M249" t="s">
        <v>123</v>
      </c>
      <c r="N249" t="s">
        <v>124</v>
      </c>
      <c r="O249" t="s">
        <v>24</v>
      </c>
      <c r="P249">
        <v>2</v>
      </c>
      <c r="Q249" s="2">
        <f>Ventas[[#This Row],[precio_base]]*Ventas[[#This Row],[cantidad]]</f>
        <v>209.96999999999997</v>
      </c>
      <c r="R249" s="2">
        <f>Ventas[[#This Row],[Total bruto (antes de descuento)]]-Ventas[[#This Row],[total_venta]]</f>
        <v>10.499999999999972</v>
      </c>
    </row>
    <row r="250" spans="1:18" x14ac:dyDescent="0.25">
      <c r="A250" t="s">
        <v>343</v>
      </c>
      <c r="B250" s="1">
        <v>45404</v>
      </c>
      <c r="C250" t="s">
        <v>17</v>
      </c>
      <c r="D250" t="s">
        <v>18</v>
      </c>
      <c r="E250">
        <v>3</v>
      </c>
      <c r="F250" s="2">
        <v>45.99</v>
      </c>
      <c r="G250">
        <v>5</v>
      </c>
      <c r="H250" s="2">
        <v>43.69</v>
      </c>
      <c r="I250" s="2">
        <v>131.07</v>
      </c>
      <c r="J250" t="s">
        <v>19</v>
      </c>
      <c r="K250" t="s">
        <v>20</v>
      </c>
      <c r="L250" t="s">
        <v>152</v>
      </c>
      <c r="M250" t="s">
        <v>95</v>
      </c>
      <c r="N250" t="s">
        <v>96</v>
      </c>
      <c r="O250" t="s">
        <v>48</v>
      </c>
      <c r="P250">
        <v>5</v>
      </c>
      <c r="Q250" s="2">
        <f>Ventas[[#This Row],[precio_base]]*Ventas[[#This Row],[cantidad]]</f>
        <v>137.97</v>
      </c>
      <c r="R250" s="2">
        <f>Ventas[[#This Row],[Total bruto (antes de descuento)]]-Ventas[[#This Row],[total_venta]]</f>
        <v>6.9000000000000057</v>
      </c>
    </row>
    <row r="251" spans="1:18" x14ac:dyDescent="0.25">
      <c r="A251" t="s">
        <v>344</v>
      </c>
      <c r="B251" s="1">
        <v>45355</v>
      </c>
      <c r="C251" t="s">
        <v>163</v>
      </c>
      <c r="D251" t="s">
        <v>18</v>
      </c>
      <c r="E251">
        <v>2</v>
      </c>
      <c r="F251" s="2">
        <v>499.99</v>
      </c>
      <c r="G251">
        <v>20</v>
      </c>
      <c r="H251" s="2">
        <v>399.99</v>
      </c>
      <c r="I251" s="2">
        <v>799.98</v>
      </c>
      <c r="J251" t="s">
        <v>19</v>
      </c>
      <c r="K251" t="s">
        <v>44</v>
      </c>
      <c r="L251" t="s">
        <v>21</v>
      </c>
      <c r="M251" t="s">
        <v>33</v>
      </c>
      <c r="N251" t="s">
        <v>34</v>
      </c>
      <c r="O251" t="s">
        <v>35</v>
      </c>
      <c r="P251">
        <v>2</v>
      </c>
      <c r="Q251" s="2">
        <f>Ventas[[#This Row],[precio_base]]*Ventas[[#This Row],[cantidad]]</f>
        <v>999.98</v>
      </c>
      <c r="R251" s="2">
        <f>Ventas[[#This Row],[Total bruto (antes de descuento)]]-Ventas[[#This Row],[total_venta]]</f>
        <v>200</v>
      </c>
    </row>
    <row r="252" spans="1:18" x14ac:dyDescent="0.25">
      <c r="A252" t="s">
        <v>345</v>
      </c>
      <c r="B252" s="1">
        <v>45437</v>
      </c>
      <c r="C252" t="s">
        <v>87</v>
      </c>
      <c r="D252" t="s">
        <v>27</v>
      </c>
      <c r="E252">
        <v>4</v>
      </c>
      <c r="F252" s="2">
        <v>249.99</v>
      </c>
      <c r="G252">
        <v>5</v>
      </c>
      <c r="H252" s="2">
        <v>237.49</v>
      </c>
      <c r="I252" s="2">
        <v>949.96</v>
      </c>
      <c r="J252" t="s">
        <v>62</v>
      </c>
      <c r="K252" t="s">
        <v>20</v>
      </c>
      <c r="L252" t="s">
        <v>152</v>
      </c>
      <c r="M252" t="s">
        <v>101</v>
      </c>
      <c r="N252" t="s">
        <v>102</v>
      </c>
      <c r="O252" t="s">
        <v>35</v>
      </c>
      <c r="Q252" s="2">
        <f>Ventas[[#This Row],[precio_base]]*Ventas[[#This Row],[cantidad]]</f>
        <v>999.96</v>
      </c>
      <c r="R252" s="2">
        <f>Ventas[[#This Row],[Total bruto (antes de descuento)]]-Ventas[[#This Row],[total_venta]]</f>
        <v>50</v>
      </c>
    </row>
    <row r="253" spans="1:18" x14ac:dyDescent="0.25">
      <c r="A253" t="s">
        <v>346</v>
      </c>
      <c r="B253" s="1">
        <v>45444</v>
      </c>
      <c r="C253" t="s">
        <v>151</v>
      </c>
      <c r="D253" t="s">
        <v>27</v>
      </c>
      <c r="E253">
        <v>2</v>
      </c>
      <c r="F253" s="2">
        <v>599.99</v>
      </c>
      <c r="G253">
        <v>0</v>
      </c>
      <c r="H253" s="2">
        <v>599.99</v>
      </c>
      <c r="I253" s="2">
        <v>1199.98</v>
      </c>
      <c r="J253" t="s">
        <v>19</v>
      </c>
      <c r="K253" t="s">
        <v>20</v>
      </c>
      <c r="L253" t="s">
        <v>45</v>
      </c>
      <c r="M253" t="s">
        <v>46</v>
      </c>
      <c r="N253" t="s">
        <v>47</v>
      </c>
      <c r="O253" t="s">
        <v>48</v>
      </c>
      <c r="P253">
        <v>4</v>
      </c>
      <c r="Q253" s="2">
        <f>Ventas[[#This Row],[precio_base]]*Ventas[[#This Row],[cantidad]]</f>
        <v>1199.98</v>
      </c>
      <c r="R253" s="2">
        <f>Ventas[[#This Row],[Total bruto (antes de descuento)]]-Ventas[[#This Row],[total_venta]]</f>
        <v>0</v>
      </c>
    </row>
    <row r="254" spans="1:18" x14ac:dyDescent="0.25">
      <c r="A254" t="s">
        <v>347</v>
      </c>
      <c r="B254" s="1">
        <v>45219</v>
      </c>
      <c r="C254" t="s">
        <v>50</v>
      </c>
      <c r="D254" t="s">
        <v>27</v>
      </c>
      <c r="E254">
        <v>1</v>
      </c>
      <c r="F254" s="2">
        <v>149.99</v>
      </c>
      <c r="G254">
        <v>20</v>
      </c>
      <c r="H254" s="2">
        <v>119.99</v>
      </c>
      <c r="I254" s="2">
        <v>119.99</v>
      </c>
      <c r="J254" t="s">
        <v>19</v>
      </c>
      <c r="K254" t="s">
        <v>52</v>
      </c>
      <c r="L254" t="s">
        <v>28</v>
      </c>
      <c r="M254" t="s">
        <v>63</v>
      </c>
      <c r="N254" t="s">
        <v>34</v>
      </c>
      <c r="O254" t="s">
        <v>24</v>
      </c>
      <c r="P254">
        <v>4</v>
      </c>
      <c r="Q254" s="2">
        <f>Ventas[[#This Row],[precio_base]]*Ventas[[#This Row],[cantidad]]</f>
        <v>149.99</v>
      </c>
      <c r="R254" s="2">
        <f>Ventas[[#This Row],[Total bruto (antes de descuento)]]-Ventas[[#This Row],[total_venta]]</f>
        <v>30.000000000000014</v>
      </c>
    </row>
    <row r="255" spans="1:18" x14ac:dyDescent="0.25">
      <c r="A255" t="s">
        <v>348</v>
      </c>
      <c r="B255" s="1">
        <v>45301</v>
      </c>
      <c r="C255" t="s">
        <v>94</v>
      </c>
      <c r="D255" t="s">
        <v>18</v>
      </c>
      <c r="E255">
        <v>4</v>
      </c>
      <c r="F255" s="2">
        <v>899.99</v>
      </c>
      <c r="G255">
        <v>0</v>
      </c>
      <c r="H255" s="2">
        <v>899.99</v>
      </c>
      <c r="I255" s="2">
        <v>3599.96</v>
      </c>
      <c r="J255" t="s">
        <v>19</v>
      </c>
      <c r="K255" t="s">
        <v>20</v>
      </c>
      <c r="L255" t="s">
        <v>21</v>
      </c>
      <c r="M255" t="s">
        <v>22</v>
      </c>
      <c r="N255" t="s">
        <v>23</v>
      </c>
      <c r="O255" t="s">
        <v>24</v>
      </c>
      <c r="P255">
        <v>4</v>
      </c>
      <c r="Q255" s="2">
        <f>Ventas[[#This Row],[precio_base]]*Ventas[[#This Row],[cantidad]]</f>
        <v>3599.96</v>
      </c>
      <c r="R255" s="2">
        <f>Ventas[[#This Row],[Total bruto (antes de descuento)]]-Ventas[[#This Row],[total_venta]]</f>
        <v>0</v>
      </c>
    </row>
    <row r="256" spans="1:18" x14ac:dyDescent="0.25">
      <c r="A256" t="s">
        <v>349</v>
      </c>
      <c r="B256" s="1">
        <v>45443</v>
      </c>
      <c r="C256" t="s">
        <v>151</v>
      </c>
      <c r="D256" t="s">
        <v>27</v>
      </c>
      <c r="E256">
        <v>5</v>
      </c>
      <c r="F256" s="2">
        <v>599.99</v>
      </c>
      <c r="G256">
        <v>0</v>
      </c>
      <c r="H256" s="2">
        <v>599.99</v>
      </c>
      <c r="I256" s="2">
        <v>2999.95</v>
      </c>
      <c r="J256" t="s">
        <v>62</v>
      </c>
      <c r="K256" t="s">
        <v>44</v>
      </c>
      <c r="L256" t="s">
        <v>21</v>
      </c>
      <c r="M256" t="s">
        <v>33</v>
      </c>
      <c r="N256" t="s">
        <v>34</v>
      </c>
      <c r="O256" t="s">
        <v>35</v>
      </c>
      <c r="Q256" s="2">
        <f>Ventas[[#This Row],[precio_base]]*Ventas[[#This Row],[cantidad]]</f>
        <v>2999.95</v>
      </c>
      <c r="R256" s="2">
        <f>Ventas[[#This Row],[Total bruto (antes de descuento)]]-Ventas[[#This Row],[total_venta]]</f>
        <v>0</v>
      </c>
    </row>
    <row r="257" spans="1:18" x14ac:dyDescent="0.25">
      <c r="A257" t="s">
        <v>350</v>
      </c>
      <c r="B257" s="1">
        <v>45026</v>
      </c>
      <c r="C257" t="s">
        <v>109</v>
      </c>
      <c r="D257" t="s">
        <v>38</v>
      </c>
      <c r="E257">
        <v>3</v>
      </c>
      <c r="F257" s="2">
        <v>39.99</v>
      </c>
      <c r="G257">
        <v>20</v>
      </c>
      <c r="H257" s="2">
        <v>31.99</v>
      </c>
      <c r="I257" s="2">
        <v>95.97</v>
      </c>
      <c r="J257" t="s">
        <v>116</v>
      </c>
      <c r="K257" t="s">
        <v>52</v>
      </c>
      <c r="L257" t="s">
        <v>28</v>
      </c>
      <c r="M257" t="s">
        <v>65</v>
      </c>
      <c r="N257" t="s">
        <v>54</v>
      </c>
      <c r="O257" t="s">
        <v>35</v>
      </c>
      <c r="Q257" s="2">
        <f>Ventas[[#This Row],[precio_base]]*Ventas[[#This Row],[cantidad]]</f>
        <v>119.97</v>
      </c>
      <c r="R257" s="2">
        <f>Ventas[[#This Row],[Total bruto (antes de descuento)]]-Ventas[[#This Row],[total_venta]]</f>
        <v>24</v>
      </c>
    </row>
    <row r="258" spans="1:18" x14ac:dyDescent="0.25">
      <c r="A258" t="s">
        <v>351</v>
      </c>
      <c r="B258" s="1">
        <v>45130</v>
      </c>
      <c r="C258" t="s">
        <v>156</v>
      </c>
      <c r="D258" t="s">
        <v>27</v>
      </c>
      <c r="E258">
        <v>5</v>
      </c>
      <c r="F258" s="2">
        <v>49.99</v>
      </c>
      <c r="G258">
        <v>5</v>
      </c>
      <c r="H258" s="2">
        <v>47.49</v>
      </c>
      <c r="I258" s="2">
        <v>237.45</v>
      </c>
      <c r="J258" t="s">
        <v>19</v>
      </c>
      <c r="K258" t="s">
        <v>20</v>
      </c>
      <c r="L258" t="s">
        <v>28</v>
      </c>
      <c r="M258" t="s">
        <v>46</v>
      </c>
      <c r="N258" t="s">
        <v>47</v>
      </c>
      <c r="O258" t="s">
        <v>48</v>
      </c>
      <c r="P258">
        <v>4</v>
      </c>
      <c r="Q258" s="2">
        <f>Ventas[[#This Row],[precio_base]]*Ventas[[#This Row],[cantidad]]</f>
        <v>249.95000000000002</v>
      </c>
      <c r="R258" s="2">
        <f>Ventas[[#This Row],[Total bruto (antes de descuento)]]-Ventas[[#This Row],[total_venta]]</f>
        <v>12.500000000000028</v>
      </c>
    </row>
    <row r="259" spans="1:18" x14ac:dyDescent="0.25">
      <c r="A259" t="s">
        <v>352</v>
      </c>
      <c r="B259" s="1">
        <v>45458</v>
      </c>
      <c r="C259" t="s">
        <v>151</v>
      </c>
      <c r="D259" t="s">
        <v>27</v>
      </c>
      <c r="E259">
        <v>2</v>
      </c>
      <c r="F259" s="2">
        <v>599.99</v>
      </c>
      <c r="G259">
        <v>10</v>
      </c>
      <c r="H259" s="2">
        <v>539.99</v>
      </c>
      <c r="I259" s="2">
        <v>1079.98</v>
      </c>
      <c r="J259" t="s">
        <v>62</v>
      </c>
      <c r="K259" t="s">
        <v>20</v>
      </c>
      <c r="L259" t="s">
        <v>28</v>
      </c>
      <c r="M259" t="s">
        <v>63</v>
      </c>
      <c r="N259" t="s">
        <v>34</v>
      </c>
      <c r="O259" t="s">
        <v>24</v>
      </c>
      <c r="Q259" s="2">
        <f>Ventas[[#This Row],[precio_base]]*Ventas[[#This Row],[cantidad]]</f>
        <v>1199.98</v>
      </c>
      <c r="R259" s="2">
        <f>Ventas[[#This Row],[Total bruto (antes de descuento)]]-Ventas[[#This Row],[total_venta]]</f>
        <v>120</v>
      </c>
    </row>
    <row r="260" spans="1:18" x14ac:dyDescent="0.25">
      <c r="A260" t="s">
        <v>353</v>
      </c>
      <c r="B260" s="1">
        <v>45093</v>
      </c>
      <c r="C260" t="s">
        <v>109</v>
      </c>
      <c r="D260" t="s">
        <v>38</v>
      </c>
      <c r="E260">
        <v>5</v>
      </c>
      <c r="F260" s="2">
        <v>39.99</v>
      </c>
      <c r="G260">
        <v>15</v>
      </c>
      <c r="H260" s="2">
        <v>33.99</v>
      </c>
      <c r="I260" s="2">
        <v>169.95</v>
      </c>
      <c r="J260" t="s">
        <v>62</v>
      </c>
      <c r="K260" t="s">
        <v>20</v>
      </c>
      <c r="L260" t="s">
        <v>32</v>
      </c>
      <c r="M260" t="s">
        <v>33</v>
      </c>
      <c r="N260" t="s">
        <v>34</v>
      </c>
      <c r="O260" t="s">
        <v>35</v>
      </c>
      <c r="Q260" s="2">
        <f>Ventas[[#This Row],[precio_base]]*Ventas[[#This Row],[cantidad]]</f>
        <v>199.95000000000002</v>
      </c>
      <c r="R260" s="2">
        <f>Ventas[[#This Row],[Total bruto (antes de descuento)]]-Ventas[[#This Row],[total_venta]]</f>
        <v>30.000000000000028</v>
      </c>
    </row>
    <row r="261" spans="1:18" x14ac:dyDescent="0.25">
      <c r="A261" t="s">
        <v>354</v>
      </c>
      <c r="B261" s="1">
        <v>45472</v>
      </c>
      <c r="C261" t="s">
        <v>92</v>
      </c>
      <c r="D261" t="s">
        <v>27</v>
      </c>
      <c r="E261">
        <v>5</v>
      </c>
      <c r="F261" s="2">
        <v>79.989999999999995</v>
      </c>
      <c r="G261">
        <v>0</v>
      </c>
      <c r="H261" s="2">
        <v>79.989999999999995</v>
      </c>
      <c r="I261" s="2">
        <v>399.95</v>
      </c>
      <c r="J261" t="s">
        <v>19</v>
      </c>
      <c r="K261" t="s">
        <v>20</v>
      </c>
      <c r="L261" t="s">
        <v>28</v>
      </c>
      <c r="M261" t="s">
        <v>46</v>
      </c>
      <c r="N261" t="s">
        <v>47</v>
      </c>
      <c r="O261" t="s">
        <v>48</v>
      </c>
      <c r="P261">
        <v>4</v>
      </c>
      <c r="Q261" s="2">
        <f>Ventas[[#This Row],[precio_base]]*Ventas[[#This Row],[cantidad]]</f>
        <v>399.95</v>
      </c>
      <c r="R261" s="2">
        <f>Ventas[[#This Row],[Total bruto (antes de descuento)]]-Ventas[[#This Row],[total_venta]]</f>
        <v>0</v>
      </c>
    </row>
    <row r="262" spans="1:18" x14ac:dyDescent="0.25">
      <c r="A262" t="s">
        <v>355</v>
      </c>
      <c r="B262" s="1">
        <v>45524</v>
      </c>
      <c r="C262" t="s">
        <v>83</v>
      </c>
      <c r="D262" t="s">
        <v>38</v>
      </c>
      <c r="E262">
        <v>1</v>
      </c>
      <c r="F262" s="2">
        <v>49.99</v>
      </c>
      <c r="G262">
        <v>10</v>
      </c>
      <c r="H262" s="2">
        <v>44.99</v>
      </c>
      <c r="I262" s="2">
        <v>44.99</v>
      </c>
      <c r="J262" t="s">
        <v>19</v>
      </c>
      <c r="K262" t="s">
        <v>52</v>
      </c>
      <c r="L262" t="s">
        <v>28</v>
      </c>
      <c r="M262" t="s">
        <v>73</v>
      </c>
      <c r="N262" t="s">
        <v>74</v>
      </c>
      <c r="O262" t="s">
        <v>35</v>
      </c>
      <c r="P262">
        <v>5</v>
      </c>
      <c r="Q262" s="2">
        <f>Ventas[[#This Row],[precio_base]]*Ventas[[#This Row],[cantidad]]</f>
        <v>49.99</v>
      </c>
      <c r="R262" s="2">
        <f>Ventas[[#This Row],[Total bruto (antes de descuento)]]-Ventas[[#This Row],[total_venta]]</f>
        <v>5</v>
      </c>
    </row>
    <row r="263" spans="1:18" x14ac:dyDescent="0.25">
      <c r="A263" t="s">
        <v>356</v>
      </c>
      <c r="B263" s="1">
        <v>45160</v>
      </c>
      <c r="C263" t="s">
        <v>76</v>
      </c>
      <c r="D263" t="s">
        <v>31</v>
      </c>
      <c r="E263">
        <v>1</v>
      </c>
      <c r="F263" s="2">
        <v>69.989999999999995</v>
      </c>
      <c r="G263">
        <v>10</v>
      </c>
      <c r="H263" s="2">
        <v>62.99</v>
      </c>
      <c r="I263" s="2">
        <v>62.99</v>
      </c>
      <c r="J263" t="s">
        <v>19</v>
      </c>
      <c r="K263" t="s">
        <v>44</v>
      </c>
      <c r="L263" t="s">
        <v>28</v>
      </c>
      <c r="M263" t="s">
        <v>65</v>
      </c>
      <c r="N263" t="s">
        <v>54</v>
      </c>
      <c r="O263" t="s">
        <v>35</v>
      </c>
      <c r="P263">
        <v>4</v>
      </c>
      <c r="Q263" s="2">
        <f>Ventas[[#This Row],[precio_base]]*Ventas[[#This Row],[cantidad]]</f>
        <v>69.989999999999995</v>
      </c>
      <c r="R263" s="2">
        <f>Ventas[[#This Row],[Total bruto (antes de descuento)]]-Ventas[[#This Row],[total_venta]]</f>
        <v>6.9999999999999929</v>
      </c>
    </row>
    <row r="264" spans="1:18" x14ac:dyDescent="0.25">
      <c r="A264" t="s">
        <v>357</v>
      </c>
      <c r="B264" s="1">
        <v>45078</v>
      </c>
      <c r="C264" t="s">
        <v>143</v>
      </c>
      <c r="D264" t="s">
        <v>43</v>
      </c>
      <c r="E264">
        <v>2</v>
      </c>
      <c r="F264" s="2">
        <v>34.99</v>
      </c>
      <c r="G264">
        <v>0</v>
      </c>
      <c r="H264" s="2">
        <v>34.99</v>
      </c>
      <c r="I264" s="2">
        <v>69.98</v>
      </c>
      <c r="J264" t="s">
        <v>19</v>
      </c>
      <c r="K264" t="s">
        <v>20</v>
      </c>
      <c r="L264" t="s">
        <v>21</v>
      </c>
      <c r="M264" t="s">
        <v>84</v>
      </c>
      <c r="N264" t="s">
        <v>85</v>
      </c>
      <c r="O264" t="s">
        <v>35</v>
      </c>
      <c r="P264">
        <v>3</v>
      </c>
      <c r="Q264" s="2">
        <f>Ventas[[#This Row],[precio_base]]*Ventas[[#This Row],[cantidad]]</f>
        <v>69.98</v>
      </c>
      <c r="R264" s="2">
        <f>Ventas[[#This Row],[Total bruto (antes de descuento)]]-Ventas[[#This Row],[total_venta]]</f>
        <v>0</v>
      </c>
    </row>
    <row r="265" spans="1:18" x14ac:dyDescent="0.25">
      <c r="A265" t="s">
        <v>358</v>
      </c>
      <c r="B265" s="1">
        <v>45355</v>
      </c>
      <c r="C265" t="s">
        <v>78</v>
      </c>
      <c r="D265" t="s">
        <v>18</v>
      </c>
      <c r="E265">
        <v>4</v>
      </c>
      <c r="F265" s="2">
        <v>349.99</v>
      </c>
      <c r="G265">
        <v>15</v>
      </c>
      <c r="H265" s="2">
        <v>297.49</v>
      </c>
      <c r="I265" s="2">
        <v>1189.96</v>
      </c>
      <c r="J265" t="s">
        <v>19</v>
      </c>
      <c r="K265" t="s">
        <v>52</v>
      </c>
      <c r="L265" t="s">
        <v>152</v>
      </c>
      <c r="M265" t="s">
        <v>65</v>
      </c>
      <c r="N265" t="s">
        <v>54</v>
      </c>
      <c r="O265" t="s">
        <v>35</v>
      </c>
      <c r="P265">
        <v>1</v>
      </c>
      <c r="Q265" s="2">
        <f>Ventas[[#This Row],[precio_base]]*Ventas[[#This Row],[cantidad]]</f>
        <v>1399.96</v>
      </c>
      <c r="R265" s="2">
        <f>Ventas[[#This Row],[Total bruto (antes de descuento)]]-Ventas[[#This Row],[total_venta]]</f>
        <v>210</v>
      </c>
    </row>
    <row r="266" spans="1:18" x14ac:dyDescent="0.25">
      <c r="A266" t="s">
        <v>359</v>
      </c>
      <c r="B266" s="1">
        <v>45649</v>
      </c>
      <c r="C266" t="s">
        <v>78</v>
      </c>
      <c r="D266" t="s">
        <v>18</v>
      </c>
      <c r="E266">
        <v>5</v>
      </c>
      <c r="F266" s="2">
        <v>349.99</v>
      </c>
      <c r="G266">
        <v>0</v>
      </c>
      <c r="H266" s="2">
        <v>349.99</v>
      </c>
      <c r="I266" s="2">
        <v>1749.95</v>
      </c>
      <c r="J266" t="s">
        <v>19</v>
      </c>
      <c r="K266" t="s">
        <v>44</v>
      </c>
      <c r="L266" t="s">
        <v>45</v>
      </c>
      <c r="M266" t="s">
        <v>73</v>
      </c>
      <c r="N266" t="s">
        <v>74</v>
      </c>
      <c r="O266" t="s">
        <v>35</v>
      </c>
      <c r="P266">
        <v>2</v>
      </c>
      <c r="Q266" s="2">
        <f>Ventas[[#This Row],[precio_base]]*Ventas[[#This Row],[cantidad]]</f>
        <v>1749.95</v>
      </c>
      <c r="R266" s="2">
        <f>Ventas[[#This Row],[Total bruto (antes de descuento)]]-Ventas[[#This Row],[total_venta]]</f>
        <v>0</v>
      </c>
    </row>
    <row r="267" spans="1:18" x14ac:dyDescent="0.25">
      <c r="A267" t="s">
        <v>360</v>
      </c>
      <c r="B267" s="1">
        <v>45397</v>
      </c>
      <c r="C267" t="s">
        <v>122</v>
      </c>
      <c r="D267" t="s">
        <v>43</v>
      </c>
      <c r="E267">
        <v>5</v>
      </c>
      <c r="F267" s="2">
        <v>44.99</v>
      </c>
      <c r="G267">
        <v>0</v>
      </c>
      <c r="H267" s="2">
        <v>44.99</v>
      </c>
      <c r="I267" s="2">
        <v>224.95</v>
      </c>
      <c r="J267" t="s">
        <v>19</v>
      </c>
      <c r="K267" t="s">
        <v>52</v>
      </c>
      <c r="L267" t="s">
        <v>28</v>
      </c>
      <c r="M267" t="s">
        <v>73</v>
      </c>
      <c r="N267" t="s">
        <v>74</v>
      </c>
      <c r="O267" t="s">
        <v>35</v>
      </c>
      <c r="P267">
        <v>3</v>
      </c>
      <c r="Q267" s="2">
        <f>Ventas[[#This Row],[precio_base]]*Ventas[[#This Row],[cantidad]]</f>
        <v>224.95000000000002</v>
      </c>
      <c r="R267" s="2">
        <f>Ventas[[#This Row],[Total bruto (antes de descuento)]]-Ventas[[#This Row],[total_venta]]</f>
        <v>0</v>
      </c>
    </row>
    <row r="268" spans="1:18" x14ac:dyDescent="0.25">
      <c r="A268" t="s">
        <v>361</v>
      </c>
      <c r="B268" s="1">
        <v>45551</v>
      </c>
      <c r="C268" t="s">
        <v>92</v>
      </c>
      <c r="D268" t="s">
        <v>27</v>
      </c>
      <c r="E268">
        <v>2</v>
      </c>
      <c r="F268" s="2">
        <v>79.989999999999995</v>
      </c>
      <c r="G268">
        <v>0</v>
      </c>
      <c r="H268" s="2">
        <v>79.989999999999995</v>
      </c>
      <c r="I268" s="2">
        <v>159.97999999999999</v>
      </c>
      <c r="J268" t="s">
        <v>19</v>
      </c>
      <c r="K268" t="s">
        <v>20</v>
      </c>
      <c r="L268" t="s">
        <v>152</v>
      </c>
      <c r="M268" t="s">
        <v>58</v>
      </c>
      <c r="N268" t="s">
        <v>59</v>
      </c>
      <c r="O268" t="s">
        <v>24</v>
      </c>
      <c r="P268">
        <v>3</v>
      </c>
      <c r="Q268" s="2">
        <f>Ventas[[#This Row],[precio_base]]*Ventas[[#This Row],[cantidad]]</f>
        <v>159.97999999999999</v>
      </c>
      <c r="R268" s="2">
        <f>Ventas[[#This Row],[Total bruto (antes de descuento)]]-Ventas[[#This Row],[total_venta]]</f>
        <v>0</v>
      </c>
    </row>
    <row r="269" spans="1:18" x14ac:dyDescent="0.25">
      <c r="A269" t="s">
        <v>362</v>
      </c>
      <c r="B269" s="1">
        <v>45222</v>
      </c>
      <c r="C269" t="s">
        <v>30</v>
      </c>
      <c r="D269" t="s">
        <v>31</v>
      </c>
      <c r="E269">
        <v>2</v>
      </c>
      <c r="F269" s="2">
        <v>299.99</v>
      </c>
      <c r="G269">
        <v>15</v>
      </c>
      <c r="H269" s="2">
        <v>254.99</v>
      </c>
      <c r="I269" s="2">
        <v>509.98</v>
      </c>
      <c r="J269" t="s">
        <v>51</v>
      </c>
      <c r="K269" t="s">
        <v>44</v>
      </c>
      <c r="L269" t="s">
        <v>45</v>
      </c>
      <c r="M269" t="s">
        <v>123</v>
      </c>
      <c r="N269" t="s">
        <v>124</v>
      </c>
      <c r="O269" t="s">
        <v>24</v>
      </c>
      <c r="Q269" s="2">
        <f>Ventas[[#This Row],[precio_base]]*Ventas[[#This Row],[cantidad]]</f>
        <v>599.98</v>
      </c>
      <c r="R269" s="2">
        <f>Ventas[[#This Row],[Total bruto (antes de descuento)]]-Ventas[[#This Row],[total_venta]]</f>
        <v>90</v>
      </c>
    </row>
    <row r="270" spans="1:18" x14ac:dyDescent="0.25">
      <c r="A270" t="s">
        <v>363</v>
      </c>
      <c r="B270" s="1">
        <v>45207</v>
      </c>
      <c r="C270" t="s">
        <v>83</v>
      </c>
      <c r="D270" t="s">
        <v>38</v>
      </c>
      <c r="E270">
        <v>1</v>
      </c>
      <c r="F270" s="2">
        <v>49.99</v>
      </c>
      <c r="G270">
        <v>10</v>
      </c>
      <c r="H270" s="2">
        <v>44.99</v>
      </c>
      <c r="I270" s="2">
        <v>44.99</v>
      </c>
      <c r="J270" t="s">
        <v>51</v>
      </c>
      <c r="K270" t="s">
        <v>52</v>
      </c>
      <c r="L270" t="s">
        <v>45</v>
      </c>
      <c r="M270" t="s">
        <v>120</v>
      </c>
      <c r="N270" t="s">
        <v>23</v>
      </c>
      <c r="O270" t="s">
        <v>24</v>
      </c>
      <c r="Q270" s="2">
        <f>Ventas[[#This Row],[precio_base]]*Ventas[[#This Row],[cantidad]]</f>
        <v>49.99</v>
      </c>
      <c r="R270" s="2">
        <f>Ventas[[#This Row],[Total bruto (antes de descuento)]]-Ventas[[#This Row],[total_venta]]</f>
        <v>5</v>
      </c>
    </row>
    <row r="271" spans="1:18" x14ac:dyDescent="0.25">
      <c r="A271" t="s">
        <v>364</v>
      </c>
      <c r="B271" s="1">
        <v>45280</v>
      </c>
      <c r="C271" t="s">
        <v>98</v>
      </c>
      <c r="D271" t="s">
        <v>31</v>
      </c>
      <c r="E271">
        <v>2</v>
      </c>
      <c r="F271" s="2">
        <v>99.99</v>
      </c>
      <c r="G271">
        <v>0</v>
      </c>
      <c r="H271" s="2">
        <v>99.99</v>
      </c>
      <c r="I271" s="2">
        <v>199.98</v>
      </c>
      <c r="J271" t="s">
        <v>19</v>
      </c>
      <c r="K271" t="s">
        <v>20</v>
      </c>
      <c r="L271" t="s">
        <v>152</v>
      </c>
      <c r="M271" t="s">
        <v>84</v>
      </c>
      <c r="N271" t="s">
        <v>85</v>
      </c>
      <c r="O271" t="s">
        <v>35</v>
      </c>
      <c r="P271">
        <v>3</v>
      </c>
      <c r="Q271" s="2">
        <f>Ventas[[#This Row],[precio_base]]*Ventas[[#This Row],[cantidad]]</f>
        <v>199.98</v>
      </c>
      <c r="R271" s="2">
        <f>Ventas[[#This Row],[Total bruto (antes de descuento)]]-Ventas[[#This Row],[total_venta]]</f>
        <v>0</v>
      </c>
    </row>
    <row r="272" spans="1:18" x14ac:dyDescent="0.25">
      <c r="A272" t="s">
        <v>365</v>
      </c>
      <c r="B272" s="1">
        <v>45417</v>
      </c>
      <c r="C272" t="s">
        <v>115</v>
      </c>
      <c r="D272" t="s">
        <v>18</v>
      </c>
      <c r="E272">
        <v>2</v>
      </c>
      <c r="F272" s="2">
        <v>799.99</v>
      </c>
      <c r="G272">
        <v>20</v>
      </c>
      <c r="H272" s="2">
        <v>639.99</v>
      </c>
      <c r="I272" s="2">
        <v>1279.98</v>
      </c>
      <c r="J272" t="s">
        <v>19</v>
      </c>
      <c r="K272" t="s">
        <v>44</v>
      </c>
      <c r="L272" t="s">
        <v>21</v>
      </c>
      <c r="M272" t="s">
        <v>53</v>
      </c>
      <c r="N272" t="s">
        <v>54</v>
      </c>
      <c r="O272" t="s">
        <v>35</v>
      </c>
      <c r="P272">
        <v>1</v>
      </c>
      <c r="Q272" s="2">
        <f>Ventas[[#This Row],[precio_base]]*Ventas[[#This Row],[cantidad]]</f>
        <v>1599.98</v>
      </c>
      <c r="R272" s="2">
        <f>Ventas[[#This Row],[Total bruto (antes de descuento)]]-Ventas[[#This Row],[total_venta]]</f>
        <v>320</v>
      </c>
    </row>
    <row r="273" spans="1:18" x14ac:dyDescent="0.25">
      <c r="A273" t="s">
        <v>366</v>
      </c>
      <c r="B273" s="1">
        <v>45557</v>
      </c>
      <c r="C273" t="s">
        <v>76</v>
      </c>
      <c r="D273" t="s">
        <v>31</v>
      </c>
      <c r="E273">
        <v>5</v>
      </c>
      <c r="F273" s="2">
        <v>69.989999999999995</v>
      </c>
      <c r="G273">
        <v>0</v>
      </c>
      <c r="H273" s="2">
        <v>69.989999999999995</v>
      </c>
      <c r="I273" s="2">
        <v>349.95</v>
      </c>
      <c r="J273" t="s">
        <v>19</v>
      </c>
      <c r="K273" t="s">
        <v>52</v>
      </c>
      <c r="L273" t="s">
        <v>21</v>
      </c>
      <c r="M273" t="s">
        <v>73</v>
      </c>
      <c r="N273" t="s">
        <v>74</v>
      </c>
      <c r="O273" t="s">
        <v>35</v>
      </c>
      <c r="P273">
        <v>2</v>
      </c>
      <c r="Q273" s="2">
        <f>Ventas[[#This Row],[precio_base]]*Ventas[[#This Row],[cantidad]]</f>
        <v>349.95</v>
      </c>
      <c r="R273" s="2">
        <f>Ventas[[#This Row],[Total bruto (antes de descuento)]]-Ventas[[#This Row],[total_venta]]</f>
        <v>0</v>
      </c>
    </row>
    <row r="274" spans="1:18" x14ac:dyDescent="0.25">
      <c r="A274" t="s">
        <v>367</v>
      </c>
      <c r="B274" s="1">
        <v>44980</v>
      </c>
      <c r="C274" t="s">
        <v>17</v>
      </c>
      <c r="D274" t="s">
        <v>18</v>
      </c>
      <c r="E274">
        <v>4</v>
      </c>
      <c r="F274" s="2">
        <v>45.99</v>
      </c>
      <c r="G274">
        <v>0</v>
      </c>
      <c r="H274" s="2">
        <v>45.99</v>
      </c>
      <c r="I274" s="2">
        <v>183.96</v>
      </c>
      <c r="J274" t="s">
        <v>51</v>
      </c>
      <c r="K274" t="s">
        <v>44</v>
      </c>
      <c r="L274" t="s">
        <v>21</v>
      </c>
      <c r="M274" t="s">
        <v>95</v>
      </c>
      <c r="N274" t="s">
        <v>96</v>
      </c>
      <c r="O274" t="s">
        <v>48</v>
      </c>
      <c r="Q274" s="2">
        <f>Ventas[[#This Row],[precio_base]]*Ventas[[#This Row],[cantidad]]</f>
        <v>183.96</v>
      </c>
      <c r="R274" s="2">
        <f>Ventas[[#This Row],[Total bruto (antes de descuento)]]-Ventas[[#This Row],[total_venta]]</f>
        <v>0</v>
      </c>
    </row>
    <row r="275" spans="1:18" x14ac:dyDescent="0.25">
      <c r="A275" t="s">
        <v>368</v>
      </c>
      <c r="B275" s="1">
        <v>45490</v>
      </c>
      <c r="C275" t="s">
        <v>122</v>
      </c>
      <c r="D275" t="s">
        <v>43</v>
      </c>
      <c r="E275">
        <v>2</v>
      </c>
      <c r="F275" s="2">
        <v>44.99</v>
      </c>
      <c r="G275">
        <v>5</v>
      </c>
      <c r="H275" s="2">
        <v>42.74</v>
      </c>
      <c r="I275" s="2">
        <v>85.48</v>
      </c>
      <c r="J275" t="s">
        <v>51</v>
      </c>
      <c r="K275" t="s">
        <v>52</v>
      </c>
      <c r="L275" t="s">
        <v>45</v>
      </c>
      <c r="M275" t="s">
        <v>53</v>
      </c>
      <c r="N275" t="s">
        <v>54</v>
      </c>
      <c r="O275" t="s">
        <v>35</v>
      </c>
      <c r="Q275" s="2">
        <f>Ventas[[#This Row],[precio_base]]*Ventas[[#This Row],[cantidad]]</f>
        <v>89.98</v>
      </c>
      <c r="R275" s="2">
        <f>Ventas[[#This Row],[Total bruto (antes de descuento)]]-Ventas[[#This Row],[total_venta]]</f>
        <v>4.5</v>
      </c>
    </row>
    <row r="276" spans="1:18" x14ac:dyDescent="0.25">
      <c r="A276" t="s">
        <v>369</v>
      </c>
      <c r="B276" s="1">
        <v>45131</v>
      </c>
      <c r="C276" t="s">
        <v>98</v>
      </c>
      <c r="D276" t="s">
        <v>31</v>
      </c>
      <c r="E276">
        <v>3</v>
      </c>
      <c r="F276" s="2">
        <v>99.99</v>
      </c>
      <c r="G276">
        <v>0</v>
      </c>
      <c r="H276" s="2">
        <v>99.99</v>
      </c>
      <c r="I276" s="2">
        <v>299.97000000000003</v>
      </c>
      <c r="J276" t="s">
        <v>19</v>
      </c>
      <c r="K276" t="s">
        <v>52</v>
      </c>
      <c r="L276" t="s">
        <v>21</v>
      </c>
      <c r="M276" t="s">
        <v>46</v>
      </c>
      <c r="N276" t="s">
        <v>47</v>
      </c>
      <c r="O276" t="s">
        <v>48</v>
      </c>
      <c r="P276">
        <v>5</v>
      </c>
      <c r="Q276" s="2">
        <f>Ventas[[#This Row],[precio_base]]*Ventas[[#This Row],[cantidad]]</f>
        <v>299.96999999999997</v>
      </c>
      <c r="R276" s="2">
        <f>Ventas[[#This Row],[Total bruto (antes de descuento)]]-Ventas[[#This Row],[total_venta]]</f>
        <v>0</v>
      </c>
    </row>
    <row r="277" spans="1:18" x14ac:dyDescent="0.25">
      <c r="A277" t="s">
        <v>370</v>
      </c>
      <c r="B277" s="1">
        <v>45164</v>
      </c>
      <c r="C277" t="s">
        <v>50</v>
      </c>
      <c r="D277" t="s">
        <v>27</v>
      </c>
      <c r="E277">
        <v>1</v>
      </c>
      <c r="F277" s="2">
        <v>149.99</v>
      </c>
      <c r="G277">
        <v>0</v>
      </c>
      <c r="H277" s="2">
        <v>149.99</v>
      </c>
      <c r="I277" s="2">
        <v>149.99</v>
      </c>
      <c r="J277" t="s">
        <v>19</v>
      </c>
      <c r="K277" t="s">
        <v>20</v>
      </c>
      <c r="L277" t="s">
        <v>152</v>
      </c>
      <c r="M277" t="s">
        <v>67</v>
      </c>
      <c r="N277" t="s">
        <v>68</v>
      </c>
      <c r="O277" t="s">
        <v>35</v>
      </c>
      <c r="P277">
        <v>4</v>
      </c>
      <c r="Q277" s="2">
        <f>Ventas[[#This Row],[precio_base]]*Ventas[[#This Row],[cantidad]]</f>
        <v>149.99</v>
      </c>
      <c r="R277" s="2">
        <f>Ventas[[#This Row],[Total bruto (antes de descuento)]]-Ventas[[#This Row],[total_venta]]</f>
        <v>0</v>
      </c>
    </row>
    <row r="278" spans="1:18" x14ac:dyDescent="0.25">
      <c r="A278" t="s">
        <v>371</v>
      </c>
      <c r="B278" s="1">
        <v>45434</v>
      </c>
      <c r="C278" t="s">
        <v>205</v>
      </c>
      <c r="D278" t="s">
        <v>18</v>
      </c>
      <c r="E278">
        <v>3</v>
      </c>
      <c r="F278" s="2">
        <v>129.99</v>
      </c>
      <c r="G278">
        <v>0</v>
      </c>
      <c r="H278" s="2">
        <v>129.99</v>
      </c>
      <c r="I278" s="2">
        <v>389.97</v>
      </c>
      <c r="J278" t="s">
        <v>19</v>
      </c>
      <c r="K278" t="s">
        <v>44</v>
      </c>
      <c r="L278" t="s">
        <v>152</v>
      </c>
      <c r="M278" t="s">
        <v>33</v>
      </c>
      <c r="N278" t="s">
        <v>34</v>
      </c>
      <c r="O278" t="s">
        <v>35</v>
      </c>
      <c r="P278">
        <v>3</v>
      </c>
      <c r="Q278" s="2">
        <f>Ventas[[#This Row],[precio_base]]*Ventas[[#This Row],[cantidad]]</f>
        <v>389.97</v>
      </c>
      <c r="R278" s="2">
        <f>Ventas[[#This Row],[Total bruto (antes de descuento)]]-Ventas[[#This Row],[total_venta]]</f>
        <v>0</v>
      </c>
    </row>
    <row r="279" spans="1:18" x14ac:dyDescent="0.25">
      <c r="A279" t="s">
        <v>372</v>
      </c>
      <c r="B279" s="1">
        <v>45218</v>
      </c>
      <c r="C279" t="s">
        <v>151</v>
      </c>
      <c r="D279" t="s">
        <v>27</v>
      </c>
      <c r="E279">
        <v>5</v>
      </c>
      <c r="F279" s="2">
        <v>599.99</v>
      </c>
      <c r="G279">
        <v>10</v>
      </c>
      <c r="H279" s="2">
        <v>539.99</v>
      </c>
      <c r="I279" s="2">
        <v>2699.95</v>
      </c>
      <c r="J279" t="s">
        <v>19</v>
      </c>
      <c r="K279" t="s">
        <v>52</v>
      </c>
      <c r="L279" t="s">
        <v>45</v>
      </c>
      <c r="M279" t="s">
        <v>63</v>
      </c>
      <c r="N279" t="s">
        <v>34</v>
      </c>
      <c r="O279" t="s">
        <v>24</v>
      </c>
      <c r="P279">
        <v>2</v>
      </c>
      <c r="Q279" s="2">
        <f>Ventas[[#This Row],[precio_base]]*Ventas[[#This Row],[cantidad]]</f>
        <v>2999.95</v>
      </c>
      <c r="R279" s="2">
        <f>Ventas[[#This Row],[Total bruto (antes de descuento)]]-Ventas[[#This Row],[total_venta]]</f>
        <v>300</v>
      </c>
    </row>
    <row r="280" spans="1:18" x14ac:dyDescent="0.25">
      <c r="A280" t="s">
        <v>373</v>
      </c>
      <c r="B280" s="1">
        <v>45042</v>
      </c>
      <c r="C280" t="s">
        <v>141</v>
      </c>
      <c r="D280" t="s">
        <v>38</v>
      </c>
      <c r="E280">
        <v>2</v>
      </c>
      <c r="F280" s="2">
        <v>89.99</v>
      </c>
      <c r="G280">
        <v>15</v>
      </c>
      <c r="H280" s="2">
        <v>76.489999999999995</v>
      </c>
      <c r="I280" s="2">
        <v>152.97999999999999</v>
      </c>
      <c r="J280" t="s">
        <v>19</v>
      </c>
      <c r="K280" t="s">
        <v>44</v>
      </c>
      <c r="L280" t="s">
        <v>21</v>
      </c>
      <c r="M280" t="s">
        <v>58</v>
      </c>
      <c r="N280" t="s">
        <v>59</v>
      </c>
      <c r="O280" t="s">
        <v>24</v>
      </c>
      <c r="P280">
        <v>3</v>
      </c>
      <c r="Q280" s="2">
        <f>Ventas[[#This Row],[precio_base]]*Ventas[[#This Row],[cantidad]]</f>
        <v>179.98</v>
      </c>
      <c r="R280" s="2">
        <f>Ventas[[#This Row],[Total bruto (antes de descuento)]]-Ventas[[#This Row],[total_venta]]</f>
        <v>27</v>
      </c>
    </row>
    <row r="281" spans="1:18" x14ac:dyDescent="0.25">
      <c r="A281" t="s">
        <v>374</v>
      </c>
      <c r="B281" s="1">
        <v>45229</v>
      </c>
      <c r="C281" t="s">
        <v>26</v>
      </c>
      <c r="D281" t="s">
        <v>27</v>
      </c>
      <c r="E281">
        <v>2</v>
      </c>
      <c r="F281" s="2">
        <v>399.99</v>
      </c>
      <c r="G281">
        <v>0</v>
      </c>
      <c r="H281" s="2">
        <v>399.99</v>
      </c>
      <c r="I281" s="2">
        <v>799.98</v>
      </c>
      <c r="J281" t="s">
        <v>51</v>
      </c>
      <c r="K281" t="s">
        <v>52</v>
      </c>
      <c r="L281" t="s">
        <v>32</v>
      </c>
      <c r="M281" t="s">
        <v>73</v>
      </c>
      <c r="N281" t="s">
        <v>74</v>
      </c>
      <c r="O281" t="s">
        <v>35</v>
      </c>
      <c r="Q281" s="2">
        <f>Ventas[[#This Row],[precio_base]]*Ventas[[#This Row],[cantidad]]</f>
        <v>799.98</v>
      </c>
      <c r="R281" s="2">
        <f>Ventas[[#This Row],[Total bruto (antes de descuento)]]-Ventas[[#This Row],[total_venta]]</f>
        <v>0</v>
      </c>
    </row>
    <row r="282" spans="1:18" x14ac:dyDescent="0.25">
      <c r="A282" t="s">
        <v>375</v>
      </c>
      <c r="B282" s="1">
        <v>45454</v>
      </c>
      <c r="C282" t="s">
        <v>141</v>
      </c>
      <c r="D282" t="s">
        <v>38</v>
      </c>
      <c r="E282">
        <v>1</v>
      </c>
      <c r="F282" s="2">
        <v>89.99</v>
      </c>
      <c r="G282">
        <v>5</v>
      </c>
      <c r="H282" s="2">
        <v>85.49</v>
      </c>
      <c r="I282" s="2">
        <v>85.49</v>
      </c>
      <c r="J282" t="s">
        <v>51</v>
      </c>
      <c r="K282" t="s">
        <v>57</v>
      </c>
      <c r="L282" t="s">
        <v>45</v>
      </c>
      <c r="M282" t="s">
        <v>63</v>
      </c>
      <c r="N282" t="s">
        <v>34</v>
      </c>
      <c r="O282" t="s">
        <v>24</v>
      </c>
      <c r="Q282" s="2">
        <f>Ventas[[#This Row],[precio_base]]*Ventas[[#This Row],[cantidad]]</f>
        <v>89.99</v>
      </c>
      <c r="R282" s="2">
        <f>Ventas[[#This Row],[Total bruto (antes de descuento)]]-Ventas[[#This Row],[total_venta]]</f>
        <v>4.5</v>
      </c>
    </row>
    <row r="283" spans="1:18" x14ac:dyDescent="0.25">
      <c r="A283" t="s">
        <v>376</v>
      </c>
      <c r="B283" s="1">
        <v>45181</v>
      </c>
      <c r="C283" t="s">
        <v>104</v>
      </c>
      <c r="D283" t="s">
        <v>18</v>
      </c>
      <c r="E283">
        <v>3</v>
      </c>
      <c r="F283" s="2">
        <v>1199.99</v>
      </c>
      <c r="G283">
        <v>5</v>
      </c>
      <c r="H283" s="2">
        <v>1139.99</v>
      </c>
      <c r="I283" s="2">
        <v>3419.97</v>
      </c>
      <c r="J283" t="s">
        <v>19</v>
      </c>
      <c r="K283" t="s">
        <v>20</v>
      </c>
      <c r="L283" t="s">
        <v>21</v>
      </c>
      <c r="M283" t="s">
        <v>39</v>
      </c>
      <c r="N283" t="s">
        <v>40</v>
      </c>
      <c r="O283" t="s">
        <v>35</v>
      </c>
      <c r="P283">
        <v>5</v>
      </c>
      <c r="Q283" s="2">
        <f>Ventas[[#This Row],[precio_base]]*Ventas[[#This Row],[cantidad]]</f>
        <v>3599.9700000000003</v>
      </c>
      <c r="R283" s="2">
        <f>Ventas[[#This Row],[Total bruto (antes de descuento)]]-Ventas[[#This Row],[total_venta]]</f>
        <v>180.00000000000045</v>
      </c>
    </row>
    <row r="284" spans="1:18" x14ac:dyDescent="0.25">
      <c r="A284" t="s">
        <v>377</v>
      </c>
      <c r="B284" s="1">
        <v>45513</v>
      </c>
      <c r="C284" t="s">
        <v>104</v>
      </c>
      <c r="D284" t="s">
        <v>18</v>
      </c>
      <c r="E284">
        <v>3</v>
      </c>
      <c r="F284" s="2">
        <v>1199.99</v>
      </c>
      <c r="G284">
        <v>15</v>
      </c>
      <c r="H284" s="2">
        <v>1019.99</v>
      </c>
      <c r="I284" s="2">
        <v>3059.97</v>
      </c>
      <c r="J284" t="s">
        <v>19</v>
      </c>
      <c r="K284" t="s">
        <v>20</v>
      </c>
      <c r="L284" t="s">
        <v>21</v>
      </c>
      <c r="M284" t="s">
        <v>22</v>
      </c>
      <c r="N284" t="s">
        <v>23</v>
      </c>
      <c r="O284" t="s">
        <v>24</v>
      </c>
      <c r="P284">
        <v>3</v>
      </c>
      <c r="Q284" s="2">
        <f>Ventas[[#This Row],[precio_base]]*Ventas[[#This Row],[cantidad]]</f>
        <v>3599.9700000000003</v>
      </c>
      <c r="R284" s="2">
        <f>Ventas[[#This Row],[Total bruto (antes de descuento)]]-Ventas[[#This Row],[total_venta]]</f>
        <v>540.00000000000045</v>
      </c>
    </row>
    <row r="285" spans="1:18" x14ac:dyDescent="0.25">
      <c r="A285" t="s">
        <v>378</v>
      </c>
      <c r="B285" s="1">
        <v>45090</v>
      </c>
      <c r="C285" t="s">
        <v>109</v>
      </c>
      <c r="D285" t="s">
        <v>38</v>
      </c>
      <c r="E285">
        <v>5</v>
      </c>
      <c r="F285" s="2">
        <v>39.99</v>
      </c>
      <c r="G285">
        <v>15</v>
      </c>
      <c r="H285" s="2">
        <v>33.99</v>
      </c>
      <c r="I285" s="2">
        <v>169.95</v>
      </c>
      <c r="J285" t="s">
        <v>51</v>
      </c>
      <c r="K285" t="s">
        <v>20</v>
      </c>
      <c r="L285" t="s">
        <v>152</v>
      </c>
      <c r="M285" t="s">
        <v>84</v>
      </c>
      <c r="N285" t="s">
        <v>85</v>
      </c>
      <c r="O285" t="s">
        <v>35</v>
      </c>
      <c r="Q285" s="2">
        <f>Ventas[[#This Row],[precio_base]]*Ventas[[#This Row],[cantidad]]</f>
        <v>199.95000000000002</v>
      </c>
      <c r="R285" s="2">
        <f>Ventas[[#This Row],[Total bruto (antes de descuento)]]-Ventas[[#This Row],[total_venta]]</f>
        <v>30.000000000000028</v>
      </c>
    </row>
    <row r="286" spans="1:18" x14ac:dyDescent="0.25">
      <c r="A286" t="s">
        <v>379</v>
      </c>
      <c r="B286" s="1">
        <v>45229</v>
      </c>
      <c r="C286" t="s">
        <v>89</v>
      </c>
      <c r="D286" t="s">
        <v>38</v>
      </c>
      <c r="E286">
        <v>5</v>
      </c>
      <c r="F286" s="2">
        <v>69.989999999999995</v>
      </c>
      <c r="G286">
        <v>0</v>
      </c>
      <c r="H286" s="2">
        <v>69.989999999999995</v>
      </c>
      <c r="I286" s="2">
        <v>349.95</v>
      </c>
      <c r="J286" t="s">
        <v>19</v>
      </c>
      <c r="K286" t="s">
        <v>44</v>
      </c>
      <c r="L286" t="s">
        <v>45</v>
      </c>
      <c r="M286" t="s">
        <v>63</v>
      </c>
      <c r="N286" t="s">
        <v>34</v>
      </c>
      <c r="O286" t="s">
        <v>24</v>
      </c>
      <c r="P286">
        <v>5</v>
      </c>
      <c r="Q286" s="2">
        <f>Ventas[[#This Row],[precio_base]]*Ventas[[#This Row],[cantidad]]</f>
        <v>349.95</v>
      </c>
      <c r="R286" s="2">
        <f>Ventas[[#This Row],[Total bruto (antes de descuento)]]-Ventas[[#This Row],[total_venta]]</f>
        <v>0</v>
      </c>
    </row>
    <row r="287" spans="1:18" x14ac:dyDescent="0.25">
      <c r="A287" t="s">
        <v>380</v>
      </c>
      <c r="B287" s="1">
        <v>45309</v>
      </c>
      <c r="C287" t="s">
        <v>37</v>
      </c>
      <c r="D287" t="s">
        <v>38</v>
      </c>
      <c r="E287">
        <v>5</v>
      </c>
      <c r="F287" s="2">
        <v>34.99</v>
      </c>
      <c r="G287">
        <v>5</v>
      </c>
      <c r="H287" s="2">
        <v>33.24</v>
      </c>
      <c r="I287" s="2">
        <v>166.2</v>
      </c>
      <c r="J287" t="s">
        <v>51</v>
      </c>
      <c r="K287" t="s">
        <v>44</v>
      </c>
      <c r="L287" t="s">
        <v>21</v>
      </c>
      <c r="M287" t="s">
        <v>39</v>
      </c>
      <c r="N287" t="s">
        <v>40</v>
      </c>
      <c r="O287" t="s">
        <v>35</v>
      </c>
      <c r="Q287" s="2">
        <f>Ventas[[#This Row],[precio_base]]*Ventas[[#This Row],[cantidad]]</f>
        <v>174.95000000000002</v>
      </c>
      <c r="R287" s="2">
        <f>Ventas[[#This Row],[Total bruto (antes de descuento)]]-Ventas[[#This Row],[total_venta]]</f>
        <v>8.7500000000000284</v>
      </c>
    </row>
    <row r="288" spans="1:18" x14ac:dyDescent="0.25">
      <c r="A288" t="s">
        <v>381</v>
      </c>
      <c r="B288" s="1">
        <v>45180</v>
      </c>
      <c r="C288" t="s">
        <v>81</v>
      </c>
      <c r="D288" t="s">
        <v>31</v>
      </c>
      <c r="E288">
        <v>5</v>
      </c>
      <c r="F288" s="2">
        <v>189.99</v>
      </c>
      <c r="G288">
        <v>20</v>
      </c>
      <c r="H288" s="2">
        <v>151.99</v>
      </c>
      <c r="I288" s="2">
        <v>759.95</v>
      </c>
      <c r="J288" t="s">
        <v>51</v>
      </c>
      <c r="K288" t="s">
        <v>20</v>
      </c>
      <c r="L288" t="s">
        <v>28</v>
      </c>
      <c r="M288" t="s">
        <v>65</v>
      </c>
      <c r="N288" t="s">
        <v>54</v>
      </c>
      <c r="O288" t="s">
        <v>35</v>
      </c>
      <c r="Q288" s="2">
        <f>Ventas[[#This Row],[precio_base]]*Ventas[[#This Row],[cantidad]]</f>
        <v>949.95</v>
      </c>
      <c r="R288" s="2">
        <f>Ventas[[#This Row],[Total bruto (antes de descuento)]]-Ventas[[#This Row],[total_venta]]</f>
        <v>190</v>
      </c>
    </row>
    <row r="289" spans="1:18" x14ac:dyDescent="0.25">
      <c r="A289" t="s">
        <v>382</v>
      </c>
      <c r="B289" s="1">
        <v>45006</v>
      </c>
      <c r="C289" t="s">
        <v>122</v>
      </c>
      <c r="D289" t="s">
        <v>43</v>
      </c>
      <c r="E289">
        <v>5</v>
      </c>
      <c r="F289" s="2">
        <v>44.99</v>
      </c>
      <c r="G289">
        <v>0</v>
      </c>
      <c r="H289" s="2">
        <v>44.99</v>
      </c>
      <c r="I289" s="2">
        <v>224.95</v>
      </c>
      <c r="J289" t="s">
        <v>19</v>
      </c>
      <c r="K289" t="s">
        <v>52</v>
      </c>
      <c r="L289" t="s">
        <v>21</v>
      </c>
      <c r="M289" t="s">
        <v>65</v>
      </c>
      <c r="N289" t="s">
        <v>54</v>
      </c>
      <c r="O289" t="s">
        <v>35</v>
      </c>
      <c r="P289">
        <v>5</v>
      </c>
      <c r="Q289" s="2">
        <f>Ventas[[#This Row],[precio_base]]*Ventas[[#This Row],[cantidad]]</f>
        <v>224.95000000000002</v>
      </c>
      <c r="R289" s="2">
        <f>Ventas[[#This Row],[Total bruto (antes de descuento)]]-Ventas[[#This Row],[total_venta]]</f>
        <v>0</v>
      </c>
    </row>
    <row r="290" spans="1:18" x14ac:dyDescent="0.25">
      <c r="A290" t="s">
        <v>383</v>
      </c>
      <c r="B290" s="1">
        <v>45080</v>
      </c>
      <c r="C290" t="s">
        <v>205</v>
      </c>
      <c r="D290" t="s">
        <v>18</v>
      </c>
      <c r="E290">
        <v>3</v>
      </c>
      <c r="F290" s="2">
        <v>129.99</v>
      </c>
      <c r="G290">
        <v>20</v>
      </c>
      <c r="H290" s="2">
        <v>103.99</v>
      </c>
      <c r="I290" s="2">
        <v>311.97000000000003</v>
      </c>
      <c r="J290" t="s">
        <v>19</v>
      </c>
      <c r="K290" t="s">
        <v>44</v>
      </c>
      <c r="L290" t="s">
        <v>28</v>
      </c>
      <c r="M290" t="s">
        <v>95</v>
      </c>
      <c r="N290" t="s">
        <v>96</v>
      </c>
      <c r="O290" t="s">
        <v>48</v>
      </c>
      <c r="P290">
        <v>4</v>
      </c>
      <c r="Q290" s="2">
        <f>Ventas[[#This Row],[precio_base]]*Ventas[[#This Row],[cantidad]]</f>
        <v>389.97</v>
      </c>
      <c r="R290" s="2">
        <f>Ventas[[#This Row],[Total bruto (antes de descuento)]]-Ventas[[#This Row],[total_venta]]</f>
        <v>78</v>
      </c>
    </row>
    <row r="291" spans="1:18" x14ac:dyDescent="0.25">
      <c r="A291" t="s">
        <v>384</v>
      </c>
      <c r="B291" s="1">
        <v>45020</v>
      </c>
      <c r="C291" t="s">
        <v>130</v>
      </c>
      <c r="D291" t="s">
        <v>43</v>
      </c>
      <c r="E291">
        <v>5</v>
      </c>
      <c r="F291" s="2">
        <v>24.99</v>
      </c>
      <c r="G291">
        <v>5</v>
      </c>
      <c r="H291" s="2">
        <v>23.74</v>
      </c>
      <c r="I291" s="2">
        <v>118.7</v>
      </c>
      <c r="J291" t="s">
        <v>62</v>
      </c>
      <c r="K291" t="s">
        <v>20</v>
      </c>
      <c r="L291" t="s">
        <v>45</v>
      </c>
      <c r="M291" t="s">
        <v>101</v>
      </c>
      <c r="N291" t="s">
        <v>102</v>
      </c>
      <c r="O291" t="s">
        <v>35</v>
      </c>
      <c r="Q291" s="2">
        <f>Ventas[[#This Row],[precio_base]]*Ventas[[#This Row],[cantidad]]</f>
        <v>124.94999999999999</v>
      </c>
      <c r="R291" s="2">
        <f>Ventas[[#This Row],[Total bruto (antes de descuento)]]-Ventas[[#This Row],[total_venta]]</f>
        <v>6.2499999999999858</v>
      </c>
    </row>
    <row r="292" spans="1:18" x14ac:dyDescent="0.25">
      <c r="A292" t="s">
        <v>385</v>
      </c>
      <c r="B292" s="1">
        <v>45504</v>
      </c>
      <c r="C292" t="s">
        <v>94</v>
      </c>
      <c r="D292" t="s">
        <v>18</v>
      </c>
      <c r="E292">
        <v>5</v>
      </c>
      <c r="F292" s="2">
        <v>899.99</v>
      </c>
      <c r="G292">
        <v>5</v>
      </c>
      <c r="H292" s="2">
        <v>854.99</v>
      </c>
      <c r="I292" s="2">
        <v>4274.95</v>
      </c>
      <c r="J292" t="s">
        <v>51</v>
      </c>
      <c r="K292" t="s">
        <v>44</v>
      </c>
      <c r="L292" t="s">
        <v>45</v>
      </c>
      <c r="M292" t="s">
        <v>58</v>
      </c>
      <c r="N292" t="s">
        <v>59</v>
      </c>
      <c r="O292" t="s">
        <v>24</v>
      </c>
      <c r="Q292" s="2">
        <f>Ventas[[#This Row],[precio_base]]*Ventas[[#This Row],[cantidad]]</f>
        <v>4499.95</v>
      </c>
      <c r="R292" s="2">
        <f>Ventas[[#This Row],[Total bruto (antes de descuento)]]-Ventas[[#This Row],[total_venta]]</f>
        <v>225</v>
      </c>
    </row>
    <row r="293" spans="1:18" x14ac:dyDescent="0.25">
      <c r="A293" t="s">
        <v>386</v>
      </c>
      <c r="B293" s="1">
        <v>44930</v>
      </c>
      <c r="C293" t="s">
        <v>76</v>
      </c>
      <c r="D293" t="s">
        <v>31</v>
      </c>
      <c r="E293">
        <v>2</v>
      </c>
      <c r="F293" s="2">
        <v>69.989999999999995</v>
      </c>
      <c r="G293">
        <v>10</v>
      </c>
      <c r="H293" s="2">
        <v>62.99</v>
      </c>
      <c r="I293" s="2">
        <v>125.98</v>
      </c>
      <c r="J293" t="s">
        <v>19</v>
      </c>
      <c r="K293" t="s">
        <v>20</v>
      </c>
      <c r="L293" t="s">
        <v>21</v>
      </c>
      <c r="M293" t="s">
        <v>120</v>
      </c>
      <c r="N293" t="s">
        <v>23</v>
      </c>
      <c r="O293" t="s">
        <v>24</v>
      </c>
      <c r="P293">
        <v>1</v>
      </c>
      <c r="Q293" s="2">
        <f>Ventas[[#This Row],[precio_base]]*Ventas[[#This Row],[cantidad]]</f>
        <v>139.97999999999999</v>
      </c>
      <c r="R293" s="2">
        <f>Ventas[[#This Row],[Total bruto (antes de descuento)]]-Ventas[[#This Row],[total_venta]]</f>
        <v>13.999999999999986</v>
      </c>
    </row>
    <row r="294" spans="1:18" x14ac:dyDescent="0.25">
      <c r="A294" t="s">
        <v>387</v>
      </c>
      <c r="B294" s="1">
        <v>44997</v>
      </c>
      <c r="C294" t="s">
        <v>122</v>
      </c>
      <c r="D294" t="s">
        <v>43</v>
      </c>
      <c r="E294">
        <v>4</v>
      </c>
      <c r="F294" s="2">
        <v>44.99</v>
      </c>
      <c r="G294">
        <v>0</v>
      </c>
      <c r="H294" s="2">
        <v>44.99</v>
      </c>
      <c r="I294" s="2">
        <v>179.96</v>
      </c>
      <c r="J294" t="s">
        <v>19</v>
      </c>
      <c r="K294" t="s">
        <v>52</v>
      </c>
      <c r="L294" t="s">
        <v>28</v>
      </c>
      <c r="M294" t="s">
        <v>63</v>
      </c>
      <c r="N294" t="s">
        <v>34</v>
      </c>
      <c r="O294" t="s">
        <v>24</v>
      </c>
      <c r="P294">
        <v>4</v>
      </c>
      <c r="Q294" s="2">
        <f>Ventas[[#This Row],[precio_base]]*Ventas[[#This Row],[cantidad]]</f>
        <v>179.96</v>
      </c>
      <c r="R294" s="2">
        <f>Ventas[[#This Row],[Total bruto (antes de descuento)]]-Ventas[[#This Row],[total_venta]]</f>
        <v>0</v>
      </c>
    </row>
    <row r="295" spans="1:18" x14ac:dyDescent="0.25">
      <c r="A295" t="s">
        <v>388</v>
      </c>
      <c r="B295" s="1">
        <v>45310</v>
      </c>
      <c r="C295" t="s">
        <v>130</v>
      </c>
      <c r="D295" t="s">
        <v>43</v>
      </c>
      <c r="E295">
        <v>4</v>
      </c>
      <c r="F295" s="2">
        <v>24.99</v>
      </c>
      <c r="G295">
        <v>5</v>
      </c>
      <c r="H295" s="2">
        <v>23.74</v>
      </c>
      <c r="I295" s="2">
        <v>94.96</v>
      </c>
      <c r="J295" t="s">
        <v>62</v>
      </c>
      <c r="K295" t="s">
        <v>20</v>
      </c>
      <c r="L295" t="s">
        <v>21</v>
      </c>
      <c r="M295" t="s">
        <v>53</v>
      </c>
      <c r="N295" t="s">
        <v>54</v>
      </c>
      <c r="O295" t="s">
        <v>35</v>
      </c>
      <c r="Q295" s="2">
        <f>Ventas[[#This Row],[precio_base]]*Ventas[[#This Row],[cantidad]]</f>
        <v>99.96</v>
      </c>
      <c r="R295" s="2">
        <f>Ventas[[#This Row],[Total bruto (antes de descuento)]]-Ventas[[#This Row],[total_venta]]</f>
        <v>5</v>
      </c>
    </row>
    <row r="296" spans="1:18" x14ac:dyDescent="0.25">
      <c r="A296" t="s">
        <v>389</v>
      </c>
      <c r="B296" s="1">
        <v>45604</v>
      </c>
      <c r="C296" t="s">
        <v>42</v>
      </c>
      <c r="D296" t="s">
        <v>43</v>
      </c>
      <c r="E296">
        <v>5</v>
      </c>
      <c r="F296" s="2">
        <v>349.99</v>
      </c>
      <c r="G296">
        <v>0</v>
      </c>
      <c r="H296" s="2">
        <v>349.99</v>
      </c>
      <c r="I296" s="2">
        <v>1749.95</v>
      </c>
      <c r="J296" t="s">
        <v>51</v>
      </c>
      <c r="K296" t="s">
        <v>20</v>
      </c>
      <c r="L296" t="s">
        <v>152</v>
      </c>
      <c r="M296" t="s">
        <v>123</v>
      </c>
      <c r="N296" t="s">
        <v>124</v>
      </c>
      <c r="O296" t="s">
        <v>24</v>
      </c>
      <c r="Q296" s="2">
        <f>Ventas[[#This Row],[precio_base]]*Ventas[[#This Row],[cantidad]]</f>
        <v>1749.95</v>
      </c>
      <c r="R296" s="2">
        <f>Ventas[[#This Row],[Total bruto (antes de descuento)]]-Ventas[[#This Row],[total_venta]]</f>
        <v>0</v>
      </c>
    </row>
    <row r="297" spans="1:18" x14ac:dyDescent="0.25">
      <c r="A297" t="s">
        <v>390</v>
      </c>
      <c r="B297" s="1">
        <v>45329</v>
      </c>
      <c r="C297" t="s">
        <v>87</v>
      </c>
      <c r="D297" t="s">
        <v>27</v>
      </c>
      <c r="E297">
        <v>2</v>
      </c>
      <c r="F297" s="2">
        <v>249.99</v>
      </c>
      <c r="G297">
        <v>15</v>
      </c>
      <c r="H297" s="2">
        <v>212.49</v>
      </c>
      <c r="I297" s="2">
        <v>424.98</v>
      </c>
      <c r="J297" t="s">
        <v>116</v>
      </c>
      <c r="K297" t="s">
        <v>20</v>
      </c>
      <c r="L297" t="s">
        <v>21</v>
      </c>
      <c r="M297" t="s">
        <v>67</v>
      </c>
      <c r="N297" t="s">
        <v>68</v>
      </c>
      <c r="O297" t="s">
        <v>35</v>
      </c>
      <c r="Q297" s="2">
        <f>Ventas[[#This Row],[precio_base]]*Ventas[[#This Row],[cantidad]]</f>
        <v>499.98</v>
      </c>
      <c r="R297" s="2">
        <f>Ventas[[#This Row],[Total bruto (antes de descuento)]]-Ventas[[#This Row],[total_venta]]</f>
        <v>75</v>
      </c>
    </row>
    <row r="298" spans="1:18" x14ac:dyDescent="0.25">
      <c r="A298" t="s">
        <v>391</v>
      </c>
      <c r="B298" s="1">
        <v>45232</v>
      </c>
      <c r="C298" t="s">
        <v>151</v>
      </c>
      <c r="D298" t="s">
        <v>27</v>
      </c>
      <c r="E298">
        <v>5</v>
      </c>
      <c r="F298" s="2">
        <v>599.99</v>
      </c>
      <c r="G298">
        <v>5</v>
      </c>
      <c r="H298" s="2">
        <v>569.99</v>
      </c>
      <c r="I298" s="2">
        <v>2849.95</v>
      </c>
      <c r="J298" t="s">
        <v>19</v>
      </c>
      <c r="K298" t="s">
        <v>20</v>
      </c>
      <c r="L298" t="s">
        <v>45</v>
      </c>
      <c r="M298" t="s">
        <v>67</v>
      </c>
      <c r="N298" t="s">
        <v>68</v>
      </c>
      <c r="O298" t="s">
        <v>35</v>
      </c>
      <c r="P298">
        <v>2</v>
      </c>
      <c r="Q298" s="2">
        <f>Ventas[[#This Row],[precio_base]]*Ventas[[#This Row],[cantidad]]</f>
        <v>2999.95</v>
      </c>
      <c r="R298" s="2">
        <f>Ventas[[#This Row],[Total bruto (antes de descuento)]]-Ventas[[#This Row],[total_venta]]</f>
        <v>150</v>
      </c>
    </row>
    <row r="299" spans="1:18" x14ac:dyDescent="0.25">
      <c r="A299" t="s">
        <v>392</v>
      </c>
      <c r="B299" s="1">
        <v>45209</v>
      </c>
      <c r="C299" t="s">
        <v>115</v>
      </c>
      <c r="D299" t="s">
        <v>18</v>
      </c>
      <c r="E299">
        <v>1</v>
      </c>
      <c r="F299" s="2">
        <v>799.99</v>
      </c>
      <c r="G299">
        <v>0</v>
      </c>
      <c r="H299" s="2">
        <v>799.99</v>
      </c>
      <c r="I299" s="2">
        <v>799.99</v>
      </c>
      <c r="J299" t="s">
        <v>62</v>
      </c>
      <c r="K299" t="s">
        <v>44</v>
      </c>
      <c r="L299" t="s">
        <v>152</v>
      </c>
      <c r="M299" t="s">
        <v>120</v>
      </c>
      <c r="N299" t="s">
        <v>23</v>
      </c>
      <c r="O299" t="s">
        <v>24</v>
      </c>
      <c r="Q299" s="2">
        <f>Ventas[[#This Row],[precio_base]]*Ventas[[#This Row],[cantidad]]</f>
        <v>799.99</v>
      </c>
      <c r="R299" s="2">
        <f>Ventas[[#This Row],[Total bruto (antes de descuento)]]-Ventas[[#This Row],[total_venta]]</f>
        <v>0</v>
      </c>
    </row>
    <row r="300" spans="1:18" x14ac:dyDescent="0.25">
      <c r="A300" t="s">
        <v>393</v>
      </c>
      <c r="B300" s="1">
        <v>44943</v>
      </c>
      <c r="C300" t="s">
        <v>163</v>
      </c>
      <c r="D300" t="s">
        <v>18</v>
      </c>
      <c r="E300">
        <v>2</v>
      </c>
      <c r="F300" s="2">
        <v>499.99</v>
      </c>
      <c r="G300">
        <v>0</v>
      </c>
      <c r="H300" s="2">
        <v>499.99</v>
      </c>
      <c r="I300" s="2">
        <v>999.98</v>
      </c>
      <c r="J300" t="s">
        <v>19</v>
      </c>
      <c r="K300" t="s">
        <v>20</v>
      </c>
      <c r="L300" t="s">
        <v>28</v>
      </c>
      <c r="M300" t="s">
        <v>46</v>
      </c>
      <c r="N300" t="s">
        <v>47</v>
      </c>
      <c r="O300" t="s">
        <v>48</v>
      </c>
      <c r="P300">
        <v>1</v>
      </c>
      <c r="Q300" s="2">
        <f>Ventas[[#This Row],[precio_base]]*Ventas[[#This Row],[cantidad]]</f>
        <v>999.98</v>
      </c>
      <c r="R300" s="2">
        <f>Ventas[[#This Row],[Total bruto (antes de descuento)]]-Ventas[[#This Row],[total_venta]]</f>
        <v>0</v>
      </c>
    </row>
    <row r="301" spans="1:18" x14ac:dyDescent="0.25">
      <c r="A301" t="s">
        <v>394</v>
      </c>
      <c r="B301" s="1">
        <v>45177</v>
      </c>
      <c r="C301" t="s">
        <v>76</v>
      </c>
      <c r="D301" t="s">
        <v>31</v>
      </c>
      <c r="E301">
        <v>1</v>
      </c>
      <c r="F301" s="2">
        <v>69.989999999999995</v>
      </c>
      <c r="G301">
        <v>5</v>
      </c>
      <c r="H301" s="2">
        <v>66.489999999999995</v>
      </c>
      <c r="I301" s="2">
        <v>66.489999999999995</v>
      </c>
      <c r="J301" t="s">
        <v>19</v>
      </c>
      <c r="K301" t="s">
        <v>20</v>
      </c>
      <c r="L301" t="s">
        <v>32</v>
      </c>
      <c r="M301" t="s">
        <v>65</v>
      </c>
      <c r="N301" t="s">
        <v>54</v>
      </c>
      <c r="O301" t="s">
        <v>35</v>
      </c>
      <c r="P301">
        <v>1</v>
      </c>
      <c r="Q301" s="2">
        <f>Ventas[[#This Row],[precio_base]]*Ventas[[#This Row],[cantidad]]</f>
        <v>69.989999999999995</v>
      </c>
      <c r="R301" s="2">
        <f>Ventas[[#This Row],[Total bruto (antes de descuento)]]-Ventas[[#This Row],[total_venta]]</f>
        <v>3.5</v>
      </c>
    </row>
    <row r="302" spans="1:18" x14ac:dyDescent="0.25">
      <c r="A302" t="s">
        <v>395</v>
      </c>
      <c r="B302" s="1">
        <v>45070</v>
      </c>
      <c r="C302" t="s">
        <v>87</v>
      </c>
      <c r="D302" t="s">
        <v>27</v>
      </c>
      <c r="E302">
        <v>3</v>
      </c>
      <c r="F302" s="2">
        <v>249.99</v>
      </c>
      <c r="G302">
        <v>0</v>
      </c>
      <c r="H302" s="2">
        <v>249.99</v>
      </c>
      <c r="I302" s="2">
        <v>749.97</v>
      </c>
      <c r="J302" t="s">
        <v>62</v>
      </c>
      <c r="K302" t="s">
        <v>44</v>
      </c>
      <c r="L302" t="s">
        <v>45</v>
      </c>
      <c r="M302" t="s">
        <v>84</v>
      </c>
      <c r="N302" t="s">
        <v>85</v>
      </c>
      <c r="O302" t="s">
        <v>35</v>
      </c>
      <c r="Q302" s="2">
        <f>Ventas[[#This Row],[precio_base]]*Ventas[[#This Row],[cantidad]]</f>
        <v>749.97</v>
      </c>
      <c r="R302" s="2">
        <f>Ventas[[#This Row],[Total bruto (antes de descuento)]]-Ventas[[#This Row],[total_venta]]</f>
        <v>0</v>
      </c>
    </row>
    <row r="303" spans="1:18" x14ac:dyDescent="0.25">
      <c r="A303" t="s">
        <v>396</v>
      </c>
      <c r="B303" s="1">
        <v>45615</v>
      </c>
      <c r="C303" t="s">
        <v>143</v>
      </c>
      <c r="D303" t="s">
        <v>43</v>
      </c>
      <c r="E303">
        <v>3</v>
      </c>
      <c r="F303" s="2">
        <v>34.99</v>
      </c>
      <c r="G303">
        <v>0</v>
      </c>
      <c r="H303" s="2">
        <v>34.99</v>
      </c>
      <c r="I303" s="2">
        <v>104.97</v>
      </c>
      <c r="J303" t="s">
        <v>19</v>
      </c>
      <c r="K303" t="s">
        <v>57</v>
      </c>
      <c r="L303" t="s">
        <v>45</v>
      </c>
      <c r="M303" t="s">
        <v>63</v>
      </c>
      <c r="N303" t="s">
        <v>34</v>
      </c>
      <c r="O303" t="s">
        <v>24</v>
      </c>
      <c r="P303">
        <v>4</v>
      </c>
      <c r="Q303" s="2">
        <f>Ventas[[#This Row],[precio_base]]*Ventas[[#This Row],[cantidad]]</f>
        <v>104.97</v>
      </c>
      <c r="R303" s="2">
        <f>Ventas[[#This Row],[Total bruto (antes de descuento)]]-Ventas[[#This Row],[total_venta]]</f>
        <v>0</v>
      </c>
    </row>
    <row r="304" spans="1:18" x14ac:dyDescent="0.25">
      <c r="A304" t="s">
        <v>397</v>
      </c>
      <c r="B304" s="1">
        <v>45234</v>
      </c>
      <c r="C304" t="s">
        <v>61</v>
      </c>
      <c r="D304" t="s">
        <v>38</v>
      </c>
      <c r="E304">
        <v>1</v>
      </c>
      <c r="F304" s="2">
        <v>19.989999999999998</v>
      </c>
      <c r="G304">
        <v>10</v>
      </c>
      <c r="H304" s="2">
        <v>17.989999999999998</v>
      </c>
      <c r="I304" s="2">
        <v>17.989999999999998</v>
      </c>
      <c r="J304" t="s">
        <v>90</v>
      </c>
      <c r="K304" t="s">
        <v>44</v>
      </c>
      <c r="L304" t="s">
        <v>21</v>
      </c>
      <c r="M304" t="s">
        <v>53</v>
      </c>
      <c r="N304" t="s">
        <v>54</v>
      </c>
      <c r="O304" t="s">
        <v>35</v>
      </c>
      <c r="Q304" s="2">
        <f>Ventas[[#This Row],[precio_base]]*Ventas[[#This Row],[cantidad]]</f>
        <v>19.989999999999998</v>
      </c>
      <c r="R304" s="2">
        <f>Ventas[[#This Row],[Total bruto (antes de descuento)]]-Ventas[[#This Row],[total_venta]]</f>
        <v>2</v>
      </c>
    </row>
    <row r="305" spans="1:18" x14ac:dyDescent="0.25">
      <c r="A305" t="s">
        <v>398</v>
      </c>
      <c r="B305" s="1">
        <v>45622</v>
      </c>
      <c r="C305" t="s">
        <v>37</v>
      </c>
      <c r="D305" t="s">
        <v>38</v>
      </c>
      <c r="E305">
        <v>5</v>
      </c>
      <c r="F305" s="2">
        <v>34.99</v>
      </c>
      <c r="G305">
        <v>5</v>
      </c>
      <c r="H305" s="2">
        <v>33.24</v>
      </c>
      <c r="I305" s="2">
        <v>166.2</v>
      </c>
      <c r="J305" t="s">
        <v>19</v>
      </c>
      <c r="K305" t="s">
        <v>52</v>
      </c>
      <c r="L305" t="s">
        <v>28</v>
      </c>
      <c r="M305" t="s">
        <v>123</v>
      </c>
      <c r="N305" t="s">
        <v>124</v>
      </c>
      <c r="O305" t="s">
        <v>24</v>
      </c>
      <c r="P305">
        <v>5</v>
      </c>
      <c r="Q305" s="2">
        <f>Ventas[[#This Row],[precio_base]]*Ventas[[#This Row],[cantidad]]</f>
        <v>174.95000000000002</v>
      </c>
      <c r="R305" s="2">
        <f>Ventas[[#This Row],[Total bruto (antes de descuento)]]-Ventas[[#This Row],[total_venta]]</f>
        <v>8.7500000000000284</v>
      </c>
    </row>
    <row r="306" spans="1:18" x14ac:dyDescent="0.25">
      <c r="A306" t="s">
        <v>399</v>
      </c>
      <c r="B306" s="1">
        <v>45253</v>
      </c>
      <c r="C306" t="s">
        <v>30</v>
      </c>
      <c r="D306" t="s">
        <v>31</v>
      </c>
      <c r="E306">
        <v>4</v>
      </c>
      <c r="F306" s="2">
        <v>299.99</v>
      </c>
      <c r="G306">
        <v>5</v>
      </c>
      <c r="H306" s="2">
        <v>284.99</v>
      </c>
      <c r="I306" s="2">
        <v>1139.96</v>
      </c>
      <c r="J306" t="s">
        <v>19</v>
      </c>
      <c r="K306" t="s">
        <v>20</v>
      </c>
      <c r="L306" t="s">
        <v>45</v>
      </c>
      <c r="M306" t="s">
        <v>120</v>
      </c>
      <c r="N306" t="s">
        <v>23</v>
      </c>
      <c r="O306" t="s">
        <v>24</v>
      </c>
      <c r="P306">
        <v>2</v>
      </c>
      <c r="Q306" s="2">
        <f>Ventas[[#This Row],[precio_base]]*Ventas[[#This Row],[cantidad]]</f>
        <v>1199.96</v>
      </c>
      <c r="R306" s="2">
        <f>Ventas[[#This Row],[Total bruto (antes de descuento)]]-Ventas[[#This Row],[total_venta]]</f>
        <v>60</v>
      </c>
    </row>
    <row r="307" spans="1:18" x14ac:dyDescent="0.25">
      <c r="A307" t="s">
        <v>400</v>
      </c>
      <c r="B307" s="1">
        <v>45157</v>
      </c>
      <c r="C307" t="s">
        <v>83</v>
      </c>
      <c r="D307" t="s">
        <v>38</v>
      </c>
      <c r="E307">
        <v>2</v>
      </c>
      <c r="F307" s="2">
        <v>49.99</v>
      </c>
      <c r="G307">
        <v>20</v>
      </c>
      <c r="H307" s="2">
        <v>39.99</v>
      </c>
      <c r="I307" s="2">
        <v>79.98</v>
      </c>
      <c r="J307" t="s">
        <v>19</v>
      </c>
      <c r="K307" t="s">
        <v>44</v>
      </c>
      <c r="L307" t="s">
        <v>152</v>
      </c>
      <c r="M307" t="s">
        <v>46</v>
      </c>
      <c r="N307" t="s">
        <v>47</v>
      </c>
      <c r="O307" t="s">
        <v>48</v>
      </c>
      <c r="P307">
        <v>5</v>
      </c>
      <c r="Q307" s="2">
        <f>Ventas[[#This Row],[precio_base]]*Ventas[[#This Row],[cantidad]]</f>
        <v>99.98</v>
      </c>
      <c r="R307" s="2">
        <f>Ventas[[#This Row],[Total bruto (antes de descuento)]]-Ventas[[#This Row],[total_venta]]</f>
        <v>20</v>
      </c>
    </row>
    <row r="308" spans="1:18" x14ac:dyDescent="0.25">
      <c r="A308" t="s">
        <v>401</v>
      </c>
      <c r="B308" s="1">
        <v>45469</v>
      </c>
      <c r="C308" t="s">
        <v>78</v>
      </c>
      <c r="D308" t="s">
        <v>18</v>
      </c>
      <c r="E308">
        <v>4</v>
      </c>
      <c r="F308" s="2">
        <v>349.99</v>
      </c>
      <c r="G308">
        <v>0</v>
      </c>
      <c r="H308" s="2">
        <v>349.99</v>
      </c>
      <c r="I308" s="2">
        <v>1399.96</v>
      </c>
      <c r="J308" t="s">
        <v>19</v>
      </c>
      <c r="K308" t="s">
        <v>44</v>
      </c>
      <c r="L308" t="s">
        <v>152</v>
      </c>
      <c r="M308" t="s">
        <v>123</v>
      </c>
      <c r="N308" t="s">
        <v>124</v>
      </c>
      <c r="O308" t="s">
        <v>24</v>
      </c>
      <c r="P308">
        <v>3</v>
      </c>
      <c r="Q308" s="2">
        <f>Ventas[[#This Row],[precio_base]]*Ventas[[#This Row],[cantidad]]</f>
        <v>1399.96</v>
      </c>
      <c r="R308" s="2">
        <f>Ventas[[#This Row],[Total bruto (antes de descuento)]]-Ventas[[#This Row],[total_venta]]</f>
        <v>0</v>
      </c>
    </row>
    <row r="309" spans="1:18" x14ac:dyDescent="0.25">
      <c r="A309" t="s">
        <v>402</v>
      </c>
      <c r="B309" s="1">
        <v>45021</v>
      </c>
      <c r="C309" t="s">
        <v>50</v>
      </c>
      <c r="D309" t="s">
        <v>27</v>
      </c>
      <c r="E309">
        <v>2</v>
      </c>
      <c r="F309" s="2">
        <v>149.99</v>
      </c>
      <c r="G309">
        <v>0</v>
      </c>
      <c r="H309" s="2">
        <v>149.99</v>
      </c>
      <c r="I309" s="2">
        <v>299.98</v>
      </c>
      <c r="J309" t="s">
        <v>19</v>
      </c>
      <c r="K309" t="s">
        <v>44</v>
      </c>
      <c r="L309" t="s">
        <v>21</v>
      </c>
      <c r="M309" t="s">
        <v>73</v>
      </c>
      <c r="N309" t="s">
        <v>74</v>
      </c>
      <c r="O309" t="s">
        <v>35</v>
      </c>
      <c r="P309">
        <v>1</v>
      </c>
      <c r="Q309" s="2">
        <f>Ventas[[#This Row],[precio_base]]*Ventas[[#This Row],[cantidad]]</f>
        <v>299.98</v>
      </c>
      <c r="R309" s="2">
        <f>Ventas[[#This Row],[Total bruto (antes de descuento)]]-Ventas[[#This Row],[total_venta]]</f>
        <v>0</v>
      </c>
    </row>
    <row r="310" spans="1:18" x14ac:dyDescent="0.25">
      <c r="A310" t="s">
        <v>403</v>
      </c>
      <c r="B310" s="1">
        <v>45119</v>
      </c>
      <c r="C310" t="s">
        <v>70</v>
      </c>
      <c r="D310" t="s">
        <v>31</v>
      </c>
      <c r="E310">
        <v>5</v>
      </c>
      <c r="F310" s="2">
        <v>59.99</v>
      </c>
      <c r="G310">
        <v>15</v>
      </c>
      <c r="H310" s="2">
        <v>50.99</v>
      </c>
      <c r="I310" s="2">
        <v>254.95</v>
      </c>
      <c r="J310" t="s">
        <v>51</v>
      </c>
      <c r="K310" t="s">
        <v>44</v>
      </c>
      <c r="L310" t="s">
        <v>32</v>
      </c>
      <c r="M310" t="s">
        <v>22</v>
      </c>
      <c r="N310" t="s">
        <v>23</v>
      </c>
      <c r="O310" t="s">
        <v>24</v>
      </c>
      <c r="Q310" s="2">
        <f>Ventas[[#This Row],[precio_base]]*Ventas[[#This Row],[cantidad]]</f>
        <v>299.95</v>
      </c>
      <c r="R310" s="2">
        <f>Ventas[[#This Row],[Total bruto (antes de descuento)]]-Ventas[[#This Row],[total_venta]]</f>
        <v>45</v>
      </c>
    </row>
    <row r="311" spans="1:18" x14ac:dyDescent="0.25">
      <c r="A311" t="s">
        <v>404</v>
      </c>
      <c r="B311" s="1">
        <v>45267</v>
      </c>
      <c r="C311" t="s">
        <v>83</v>
      </c>
      <c r="D311" t="s">
        <v>38</v>
      </c>
      <c r="E311">
        <v>1</v>
      </c>
      <c r="F311" s="2">
        <v>49.99</v>
      </c>
      <c r="G311">
        <v>0</v>
      </c>
      <c r="H311" s="2">
        <v>49.99</v>
      </c>
      <c r="I311" s="2">
        <v>49.99</v>
      </c>
      <c r="J311" t="s">
        <v>90</v>
      </c>
      <c r="K311" t="s">
        <v>20</v>
      </c>
      <c r="L311" t="s">
        <v>152</v>
      </c>
      <c r="M311" t="s">
        <v>84</v>
      </c>
      <c r="N311" t="s">
        <v>85</v>
      </c>
      <c r="O311" t="s">
        <v>35</v>
      </c>
      <c r="Q311" s="2">
        <f>Ventas[[#This Row],[precio_base]]*Ventas[[#This Row],[cantidad]]</f>
        <v>49.99</v>
      </c>
      <c r="R311" s="2">
        <f>Ventas[[#This Row],[Total bruto (antes de descuento)]]-Ventas[[#This Row],[total_venta]]</f>
        <v>0</v>
      </c>
    </row>
    <row r="312" spans="1:18" x14ac:dyDescent="0.25">
      <c r="A312" t="s">
        <v>405</v>
      </c>
      <c r="B312" s="1">
        <v>45417</v>
      </c>
      <c r="C312" t="s">
        <v>122</v>
      </c>
      <c r="D312" t="s">
        <v>43</v>
      </c>
      <c r="E312">
        <v>2</v>
      </c>
      <c r="F312" s="2">
        <v>44.99</v>
      </c>
      <c r="G312">
        <v>15</v>
      </c>
      <c r="H312" s="2">
        <v>38.24</v>
      </c>
      <c r="I312" s="2">
        <v>76.48</v>
      </c>
      <c r="J312" t="s">
        <v>51</v>
      </c>
      <c r="K312" t="s">
        <v>20</v>
      </c>
      <c r="L312" t="s">
        <v>21</v>
      </c>
      <c r="M312" t="s">
        <v>22</v>
      </c>
      <c r="N312" t="s">
        <v>23</v>
      </c>
      <c r="O312" t="s">
        <v>24</v>
      </c>
      <c r="Q312" s="2">
        <f>Ventas[[#This Row],[precio_base]]*Ventas[[#This Row],[cantidad]]</f>
        <v>89.98</v>
      </c>
      <c r="R312" s="2">
        <f>Ventas[[#This Row],[Total bruto (antes de descuento)]]-Ventas[[#This Row],[total_venta]]</f>
        <v>13.5</v>
      </c>
    </row>
    <row r="313" spans="1:18" x14ac:dyDescent="0.25">
      <c r="A313" t="s">
        <v>406</v>
      </c>
      <c r="B313" s="1">
        <v>45256</v>
      </c>
      <c r="C313" t="s">
        <v>98</v>
      </c>
      <c r="D313" t="s">
        <v>31</v>
      </c>
      <c r="E313">
        <v>3</v>
      </c>
      <c r="F313" s="2">
        <v>99.99</v>
      </c>
      <c r="G313">
        <v>5</v>
      </c>
      <c r="H313" s="2">
        <v>94.99</v>
      </c>
      <c r="I313" s="2">
        <v>284.97000000000003</v>
      </c>
      <c r="J313" t="s">
        <v>19</v>
      </c>
      <c r="K313" t="s">
        <v>20</v>
      </c>
      <c r="L313" t="s">
        <v>21</v>
      </c>
      <c r="M313" t="s">
        <v>73</v>
      </c>
      <c r="N313" t="s">
        <v>74</v>
      </c>
      <c r="O313" t="s">
        <v>35</v>
      </c>
      <c r="P313">
        <v>5</v>
      </c>
      <c r="Q313" s="2">
        <f>Ventas[[#This Row],[precio_base]]*Ventas[[#This Row],[cantidad]]</f>
        <v>299.96999999999997</v>
      </c>
      <c r="R313" s="2">
        <f>Ventas[[#This Row],[Total bruto (antes de descuento)]]-Ventas[[#This Row],[total_venta]]</f>
        <v>14.999999999999943</v>
      </c>
    </row>
    <row r="314" spans="1:18" x14ac:dyDescent="0.25">
      <c r="A314" t="s">
        <v>407</v>
      </c>
      <c r="B314" s="1">
        <v>45436</v>
      </c>
      <c r="C314" t="s">
        <v>151</v>
      </c>
      <c r="D314" t="s">
        <v>27</v>
      </c>
      <c r="E314">
        <v>1</v>
      </c>
      <c r="F314" s="2">
        <v>599.99</v>
      </c>
      <c r="G314">
        <v>20</v>
      </c>
      <c r="H314" s="2">
        <v>479.99</v>
      </c>
      <c r="I314" s="2">
        <v>479.99</v>
      </c>
      <c r="J314" t="s">
        <v>116</v>
      </c>
      <c r="K314" t="s">
        <v>52</v>
      </c>
      <c r="L314" t="s">
        <v>21</v>
      </c>
      <c r="M314" t="s">
        <v>101</v>
      </c>
      <c r="N314" t="s">
        <v>102</v>
      </c>
      <c r="O314" t="s">
        <v>35</v>
      </c>
      <c r="Q314" s="2">
        <f>Ventas[[#This Row],[precio_base]]*Ventas[[#This Row],[cantidad]]</f>
        <v>599.99</v>
      </c>
      <c r="R314" s="2">
        <f>Ventas[[#This Row],[Total bruto (antes de descuento)]]-Ventas[[#This Row],[total_venta]]</f>
        <v>120</v>
      </c>
    </row>
    <row r="315" spans="1:18" x14ac:dyDescent="0.25">
      <c r="A315" t="s">
        <v>408</v>
      </c>
      <c r="B315" s="1">
        <v>45135</v>
      </c>
      <c r="C315" t="s">
        <v>89</v>
      </c>
      <c r="D315" t="s">
        <v>38</v>
      </c>
      <c r="E315">
        <v>3</v>
      </c>
      <c r="F315" s="2">
        <v>69.989999999999995</v>
      </c>
      <c r="G315">
        <v>5</v>
      </c>
      <c r="H315" s="2">
        <v>66.489999999999995</v>
      </c>
      <c r="I315" s="2">
        <v>199.47</v>
      </c>
      <c r="J315" t="s">
        <v>19</v>
      </c>
      <c r="K315" t="s">
        <v>20</v>
      </c>
      <c r="L315" t="s">
        <v>21</v>
      </c>
      <c r="M315" t="s">
        <v>67</v>
      </c>
      <c r="N315" t="s">
        <v>68</v>
      </c>
      <c r="O315" t="s">
        <v>35</v>
      </c>
      <c r="P315">
        <v>3</v>
      </c>
      <c r="Q315" s="2">
        <f>Ventas[[#This Row],[precio_base]]*Ventas[[#This Row],[cantidad]]</f>
        <v>209.96999999999997</v>
      </c>
      <c r="R315" s="2">
        <f>Ventas[[#This Row],[Total bruto (antes de descuento)]]-Ventas[[#This Row],[total_venta]]</f>
        <v>10.499999999999972</v>
      </c>
    </row>
    <row r="316" spans="1:18" x14ac:dyDescent="0.25">
      <c r="A316" t="s">
        <v>409</v>
      </c>
      <c r="B316" s="1">
        <v>45493</v>
      </c>
      <c r="C316" t="s">
        <v>122</v>
      </c>
      <c r="D316" t="s">
        <v>43</v>
      </c>
      <c r="E316">
        <v>5</v>
      </c>
      <c r="F316" s="2">
        <v>44.99</v>
      </c>
      <c r="G316">
        <v>10</v>
      </c>
      <c r="H316" s="2">
        <v>40.49</v>
      </c>
      <c r="I316" s="2">
        <v>202.45</v>
      </c>
      <c r="J316" t="s">
        <v>51</v>
      </c>
      <c r="K316" t="s">
        <v>20</v>
      </c>
      <c r="L316" t="s">
        <v>21</v>
      </c>
      <c r="M316" t="s">
        <v>58</v>
      </c>
      <c r="N316" t="s">
        <v>59</v>
      </c>
      <c r="O316" t="s">
        <v>24</v>
      </c>
      <c r="Q316" s="2">
        <f>Ventas[[#This Row],[precio_base]]*Ventas[[#This Row],[cantidad]]</f>
        <v>224.95000000000002</v>
      </c>
      <c r="R316" s="2">
        <f>Ventas[[#This Row],[Total bruto (antes de descuento)]]-Ventas[[#This Row],[total_venta]]</f>
        <v>22.500000000000028</v>
      </c>
    </row>
    <row r="317" spans="1:18" x14ac:dyDescent="0.25">
      <c r="A317" t="s">
        <v>410</v>
      </c>
      <c r="B317" s="1">
        <v>45315</v>
      </c>
      <c r="C317" t="s">
        <v>26</v>
      </c>
      <c r="D317" t="s">
        <v>27</v>
      </c>
      <c r="E317">
        <v>2</v>
      </c>
      <c r="F317" s="2">
        <v>399.99</v>
      </c>
      <c r="G317">
        <v>5</v>
      </c>
      <c r="H317" s="2">
        <v>379.99</v>
      </c>
      <c r="I317" s="2">
        <v>759.98</v>
      </c>
      <c r="J317" t="s">
        <v>19</v>
      </c>
      <c r="K317" t="s">
        <v>20</v>
      </c>
      <c r="L317" t="s">
        <v>28</v>
      </c>
      <c r="M317" t="s">
        <v>73</v>
      </c>
      <c r="N317" t="s">
        <v>74</v>
      </c>
      <c r="O317" t="s">
        <v>35</v>
      </c>
      <c r="P317">
        <v>4</v>
      </c>
      <c r="Q317" s="2">
        <f>Ventas[[#This Row],[precio_base]]*Ventas[[#This Row],[cantidad]]</f>
        <v>799.98</v>
      </c>
      <c r="R317" s="2">
        <f>Ventas[[#This Row],[Total bruto (antes de descuento)]]-Ventas[[#This Row],[total_venta]]</f>
        <v>40</v>
      </c>
    </row>
    <row r="318" spans="1:18" x14ac:dyDescent="0.25">
      <c r="A318" t="s">
        <v>411</v>
      </c>
      <c r="B318" s="1">
        <v>45584</v>
      </c>
      <c r="C318" t="s">
        <v>76</v>
      </c>
      <c r="D318" t="s">
        <v>31</v>
      </c>
      <c r="E318">
        <v>4</v>
      </c>
      <c r="F318" s="2">
        <v>69.989999999999995</v>
      </c>
      <c r="G318">
        <v>5</v>
      </c>
      <c r="H318" s="2">
        <v>66.489999999999995</v>
      </c>
      <c r="I318" s="2">
        <v>265.95999999999998</v>
      </c>
      <c r="J318" t="s">
        <v>19</v>
      </c>
      <c r="K318" t="s">
        <v>20</v>
      </c>
      <c r="L318" t="s">
        <v>21</v>
      </c>
      <c r="M318" t="s">
        <v>39</v>
      </c>
      <c r="N318" t="s">
        <v>40</v>
      </c>
      <c r="O318" t="s">
        <v>35</v>
      </c>
      <c r="P318">
        <v>5</v>
      </c>
      <c r="Q318" s="2">
        <f>Ventas[[#This Row],[precio_base]]*Ventas[[#This Row],[cantidad]]</f>
        <v>279.95999999999998</v>
      </c>
      <c r="R318" s="2">
        <f>Ventas[[#This Row],[Total bruto (antes de descuento)]]-Ventas[[#This Row],[total_venta]]</f>
        <v>14</v>
      </c>
    </row>
    <row r="319" spans="1:18" x14ac:dyDescent="0.25">
      <c r="A319" t="s">
        <v>412</v>
      </c>
      <c r="B319" s="1">
        <v>45427</v>
      </c>
      <c r="C319" t="s">
        <v>205</v>
      </c>
      <c r="D319" t="s">
        <v>18</v>
      </c>
      <c r="E319">
        <v>5</v>
      </c>
      <c r="F319" s="2">
        <v>129.99</v>
      </c>
      <c r="G319">
        <v>15</v>
      </c>
      <c r="H319" s="2">
        <v>110.49</v>
      </c>
      <c r="I319" s="2">
        <v>552.45000000000005</v>
      </c>
      <c r="J319" t="s">
        <v>90</v>
      </c>
      <c r="K319" t="s">
        <v>20</v>
      </c>
      <c r="L319" t="s">
        <v>32</v>
      </c>
      <c r="M319" t="s">
        <v>65</v>
      </c>
      <c r="N319" t="s">
        <v>54</v>
      </c>
      <c r="O319" t="s">
        <v>35</v>
      </c>
      <c r="Q319" s="2">
        <f>Ventas[[#This Row],[precio_base]]*Ventas[[#This Row],[cantidad]]</f>
        <v>649.95000000000005</v>
      </c>
      <c r="R319" s="2">
        <f>Ventas[[#This Row],[Total bruto (antes de descuento)]]-Ventas[[#This Row],[total_venta]]</f>
        <v>97.5</v>
      </c>
    </row>
    <row r="320" spans="1:18" x14ac:dyDescent="0.25">
      <c r="A320" t="s">
        <v>413</v>
      </c>
      <c r="B320" s="1">
        <v>45611</v>
      </c>
      <c r="C320" t="s">
        <v>94</v>
      </c>
      <c r="D320" t="s">
        <v>18</v>
      </c>
      <c r="E320">
        <v>1</v>
      </c>
      <c r="F320" s="2">
        <v>899.99</v>
      </c>
      <c r="G320">
        <v>5</v>
      </c>
      <c r="H320" s="2">
        <v>854.99</v>
      </c>
      <c r="I320" s="2">
        <v>854.99</v>
      </c>
      <c r="J320" t="s">
        <v>19</v>
      </c>
      <c r="K320" t="s">
        <v>20</v>
      </c>
      <c r="L320" t="s">
        <v>28</v>
      </c>
      <c r="M320" t="s">
        <v>73</v>
      </c>
      <c r="N320" t="s">
        <v>74</v>
      </c>
      <c r="O320" t="s">
        <v>35</v>
      </c>
      <c r="P320">
        <v>1</v>
      </c>
      <c r="Q320" s="2">
        <f>Ventas[[#This Row],[precio_base]]*Ventas[[#This Row],[cantidad]]</f>
        <v>899.99</v>
      </c>
      <c r="R320" s="2">
        <f>Ventas[[#This Row],[Total bruto (antes de descuento)]]-Ventas[[#This Row],[total_venta]]</f>
        <v>45</v>
      </c>
    </row>
    <row r="321" spans="1:18" x14ac:dyDescent="0.25">
      <c r="A321" t="s">
        <v>414</v>
      </c>
      <c r="B321" s="1">
        <v>45150</v>
      </c>
      <c r="C321" t="s">
        <v>87</v>
      </c>
      <c r="D321" t="s">
        <v>27</v>
      </c>
      <c r="E321">
        <v>4</v>
      </c>
      <c r="F321" s="2">
        <v>249.99</v>
      </c>
      <c r="G321">
        <v>0</v>
      </c>
      <c r="H321" s="2">
        <v>249.99</v>
      </c>
      <c r="I321" s="2">
        <v>999.96</v>
      </c>
      <c r="J321" t="s">
        <v>19</v>
      </c>
      <c r="K321" t="s">
        <v>44</v>
      </c>
      <c r="L321" t="s">
        <v>28</v>
      </c>
      <c r="M321" t="s">
        <v>73</v>
      </c>
      <c r="N321" t="s">
        <v>74</v>
      </c>
      <c r="O321" t="s">
        <v>35</v>
      </c>
      <c r="P321">
        <v>4</v>
      </c>
      <c r="Q321" s="2">
        <f>Ventas[[#This Row],[precio_base]]*Ventas[[#This Row],[cantidad]]</f>
        <v>999.96</v>
      </c>
      <c r="R321" s="2">
        <f>Ventas[[#This Row],[Total bruto (antes de descuento)]]-Ventas[[#This Row],[total_venta]]</f>
        <v>0</v>
      </c>
    </row>
    <row r="322" spans="1:18" x14ac:dyDescent="0.25">
      <c r="A322" t="s">
        <v>415</v>
      </c>
      <c r="B322" s="1">
        <v>45602</v>
      </c>
      <c r="C322" t="s">
        <v>92</v>
      </c>
      <c r="D322" t="s">
        <v>27</v>
      </c>
      <c r="E322">
        <v>1</v>
      </c>
      <c r="F322" s="2">
        <v>79.989999999999995</v>
      </c>
      <c r="G322">
        <v>0</v>
      </c>
      <c r="H322" s="2">
        <v>79.989999999999995</v>
      </c>
      <c r="I322" s="2">
        <v>79.989999999999995</v>
      </c>
      <c r="J322" t="s">
        <v>19</v>
      </c>
      <c r="K322" t="s">
        <v>20</v>
      </c>
      <c r="L322" t="s">
        <v>45</v>
      </c>
      <c r="M322" t="s">
        <v>120</v>
      </c>
      <c r="N322" t="s">
        <v>23</v>
      </c>
      <c r="O322" t="s">
        <v>24</v>
      </c>
      <c r="P322">
        <v>3</v>
      </c>
      <c r="Q322" s="2">
        <f>Ventas[[#This Row],[precio_base]]*Ventas[[#This Row],[cantidad]]</f>
        <v>79.989999999999995</v>
      </c>
      <c r="R322" s="2">
        <f>Ventas[[#This Row],[Total bruto (antes de descuento)]]-Ventas[[#This Row],[total_venta]]</f>
        <v>0</v>
      </c>
    </row>
    <row r="323" spans="1:18" x14ac:dyDescent="0.25">
      <c r="A323" t="s">
        <v>416</v>
      </c>
      <c r="B323" s="1">
        <v>45475</v>
      </c>
      <c r="C323" t="s">
        <v>83</v>
      </c>
      <c r="D323" t="s">
        <v>38</v>
      </c>
      <c r="E323">
        <v>1</v>
      </c>
      <c r="F323" s="2">
        <v>49.99</v>
      </c>
      <c r="G323">
        <v>10</v>
      </c>
      <c r="H323" s="2">
        <v>44.99</v>
      </c>
      <c r="I323" s="2">
        <v>44.99</v>
      </c>
      <c r="J323" t="s">
        <v>62</v>
      </c>
      <c r="K323" t="s">
        <v>20</v>
      </c>
      <c r="L323" t="s">
        <v>152</v>
      </c>
      <c r="M323" t="s">
        <v>73</v>
      </c>
      <c r="N323" t="s">
        <v>74</v>
      </c>
      <c r="O323" t="s">
        <v>35</v>
      </c>
      <c r="Q323" s="2">
        <f>Ventas[[#This Row],[precio_base]]*Ventas[[#This Row],[cantidad]]</f>
        <v>49.99</v>
      </c>
      <c r="R323" s="2">
        <f>Ventas[[#This Row],[Total bruto (antes de descuento)]]-Ventas[[#This Row],[total_venta]]</f>
        <v>5</v>
      </c>
    </row>
    <row r="324" spans="1:18" x14ac:dyDescent="0.25">
      <c r="A324" t="s">
        <v>417</v>
      </c>
      <c r="B324" s="1">
        <v>45110</v>
      </c>
      <c r="C324" t="s">
        <v>17</v>
      </c>
      <c r="D324" t="s">
        <v>18</v>
      </c>
      <c r="E324">
        <v>1</v>
      </c>
      <c r="F324" s="2">
        <v>45.99</v>
      </c>
      <c r="G324">
        <v>10</v>
      </c>
      <c r="H324" s="2">
        <v>41.39</v>
      </c>
      <c r="I324" s="2">
        <v>41.39</v>
      </c>
      <c r="J324" t="s">
        <v>19</v>
      </c>
      <c r="K324" t="s">
        <v>44</v>
      </c>
      <c r="L324" t="s">
        <v>21</v>
      </c>
      <c r="M324" t="s">
        <v>22</v>
      </c>
      <c r="N324" t="s">
        <v>23</v>
      </c>
      <c r="O324" t="s">
        <v>24</v>
      </c>
      <c r="P324">
        <v>3</v>
      </c>
      <c r="Q324" s="2">
        <f>Ventas[[#This Row],[precio_base]]*Ventas[[#This Row],[cantidad]]</f>
        <v>45.99</v>
      </c>
      <c r="R324" s="2">
        <f>Ventas[[#This Row],[Total bruto (antes de descuento)]]-Ventas[[#This Row],[total_venta]]</f>
        <v>4.6000000000000014</v>
      </c>
    </row>
    <row r="325" spans="1:18" x14ac:dyDescent="0.25">
      <c r="A325" t="s">
        <v>418</v>
      </c>
      <c r="B325" s="1">
        <v>45200</v>
      </c>
      <c r="C325" t="s">
        <v>70</v>
      </c>
      <c r="D325" t="s">
        <v>31</v>
      </c>
      <c r="E325">
        <v>4</v>
      </c>
      <c r="F325" s="2">
        <v>59.99</v>
      </c>
      <c r="G325">
        <v>0</v>
      </c>
      <c r="H325" s="2">
        <v>59.99</v>
      </c>
      <c r="I325" s="2">
        <v>239.96</v>
      </c>
      <c r="J325" t="s">
        <v>19</v>
      </c>
      <c r="K325" t="s">
        <v>44</v>
      </c>
      <c r="L325" t="s">
        <v>21</v>
      </c>
      <c r="M325" t="s">
        <v>120</v>
      </c>
      <c r="N325" t="s">
        <v>23</v>
      </c>
      <c r="O325" t="s">
        <v>24</v>
      </c>
      <c r="P325">
        <v>2</v>
      </c>
      <c r="Q325" s="2">
        <f>Ventas[[#This Row],[precio_base]]*Ventas[[#This Row],[cantidad]]</f>
        <v>239.96</v>
      </c>
      <c r="R325" s="2">
        <f>Ventas[[#This Row],[Total bruto (antes de descuento)]]-Ventas[[#This Row],[total_venta]]</f>
        <v>0</v>
      </c>
    </row>
    <row r="326" spans="1:18" x14ac:dyDescent="0.25">
      <c r="A326" t="s">
        <v>419</v>
      </c>
      <c r="B326" s="1">
        <v>45234</v>
      </c>
      <c r="C326" t="s">
        <v>81</v>
      </c>
      <c r="D326" t="s">
        <v>31</v>
      </c>
      <c r="E326">
        <v>1</v>
      </c>
      <c r="F326" s="2">
        <v>189.99</v>
      </c>
      <c r="G326">
        <v>15</v>
      </c>
      <c r="H326" s="2">
        <v>161.49</v>
      </c>
      <c r="I326" s="2">
        <v>161.49</v>
      </c>
      <c r="J326" t="s">
        <v>116</v>
      </c>
      <c r="K326" t="s">
        <v>52</v>
      </c>
      <c r="L326" t="s">
        <v>21</v>
      </c>
      <c r="M326" t="s">
        <v>73</v>
      </c>
      <c r="N326" t="s">
        <v>74</v>
      </c>
      <c r="O326" t="s">
        <v>35</v>
      </c>
      <c r="Q326" s="2">
        <f>Ventas[[#This Row],[precio_base]]*Ventas[[#This Row],[cantidad]]</f>
        <v>189.99</v>
      </c>
      <c r="R326" s="2">
        <f>Ventas[[#This Row],[Total bruto (antes de descuento)]]-Ventas[[#This Row],[total_venta]]</f>
        <v>28.5</v>
      </c>
    </row>
    <row r="327" spans="1:18" x14ac:dyDescent="0.25">
      <c r="A327" t="s">
        <v>420</v>
      </c>
      <c r="B327" s="1">
        <v>45315</v>
      </c>
      <c r="C327" t="s">
        <v>109</v>
      </c>
      <c r="D327" t="s">
        <v>38</v>
      </c>
      <c r="E327">
        <v>5</v>
      </c>
      <c r="F327" s="2">
        <v>39.99</v>
      </c>
      <c r="G327">
        <v>5</v>
      </c>
      <c r="H327" s="2">
        <v>37.99</v>
      </c>
      <c r="I327" s="2">
        <v>189.95</v>
      </c>
      <c r="J327" t="s">
        <v>19</v>
      </c>
      <c r="K327" t="s">
        <v>44</v>
      </c>
      <c r="L327" t="s">
        <v>21</v>
      </c>
      <c r="M327" t="s">
        <v>46</v>
      </c>
      <c r="N327" t="s">
        <v>47</v>
      </c>
      <c r="O327" t="s">
        <v>48</v>
      </c>
      <c r="P327">
        <v>4</v>
      </c>
      <c r="Q327" s="2">
        <f>Ventas[[#This Row],[precio_base]]*Ventas[[#This Row],[cantidad]]</f>
        <v>199.95000000000002</v>
      </c>
      <c r="R327" s="2">
        <f>Ventas[[#This Row],[Total bruto (antes de descuento)]]-Ventas[[#This Row],[total_venta]]</f>
        <v>10.000000000000028</v>
      </c>
    </row>
    <row r="328" spans="1:18" x14ac:dyDescent="0.25">
      <c r="A328" t="s">
        <v>421</v>
      </c>
      <c r="B328" s="1">
        <v>45587</v>
      </c>
      <c r="C328" t="s">
        <v>70</v>
      </c>
      <c r="D328" t="s">
        <v>31</v>
      </c>
      <c r="E328">
        <v>3</v>
      </c>
      <c r="F328" s="2">
        <v>59.99</v>
      </c>
      <c r="G328">
        <v>10</v>
      </c>
      <c r="H328" s="2">
        <v>53.99</v>
      </c>
      <c r="I328" s="2">
        <v>161.97</v>
      </c>
      <c r="J328" t="s">
        <v>116</v>
      </c>
      <c r="K328" t="s">
        <v>52</v>
      </c>
      <c r="L328" t="s">
        <v>152</v>
      </c>
      <c r="M328" t="s">
        <v>95</v>
      </c>
      <c r="N328" t="s">
        <v>96</v>
      </c>
      <c r="O328" t="s">
        <v>48</v>
      </c>
      <c r="Q328" s="2">
        <f>Ventas[[#This Row],[precio_base]]*Ventas[[#This Row],[cantidad]]</f>
        <v>179.97</v>
      </c>
      <c r="R328" s="2">
        <f>Ventas[[#This Row],[Total bruto (antes de descuento)]]-Ventas[[#This Row],[total_venta]]</f>
        <v>18</v>
      </c>
    </row>
    <row r="329" spans="1:18" x14ac:dyDescent="0.25">
      <c r="A329" t="s">
        <v>422</v>
      </c>
      <c r="B329" s="1">
        <v>45162</v>
      </c>
      <c r="C329" t="s">
        <v>115</v>
      </c>
      <c r="D329" t="s">
        <v>18</v>
      </c>
      <c r="E329">
        <v>5</v>
      </c>
      <c r="F329" s="2">
        <v>799.99</v>
      </c>
      <c r="G329">
        <v>5</v>
      </c>
      <c r="H329" s="2">
        <v>759.99</v>
      </c>
      <c r="I329" s="2">
        <v>3799.95</v>
      </c>
      <c r="J329" t="s">
        <v>19</v>
      </c>
      <c r="K329" t="s">
        <v>20</v>
      </c>
      <c r="L329" t="s">
        <v>152</v>
      </c>
      <c r="M329" t="s">
        <v>53</v>
      </c>
      <c r="N329" t="s">
        <v>54</v>
      </c>
      <c r="O329" t="s">
        <v>35</v>
      </c>
      <c r="P329">
        <v>5</v>
      </c>
      <c r="Q329" s="2">
        <f>Ventas[[#This Row],[precio_base]]*Ventas[[#This Row],[cantidad]]</f>
        <v>3999.95</v>
      </c>
      <c r="R329" s="2">
        <f>Ventas[[#This Row],[Total bruto (antes de descuento)]]-Ventas[[#This Row],[total_venta]]</f>
        <v>200</v>
      </c>
    </row>
    <row r="330" spans="1:18" x14ac:dyDescent="0.25">
      <c r="A330" t="s">
        <v>423</v>
      </c>
      <c r="B330" s="1">
        <v>45504</v>
      </c>
      <c r="C330" t="s">
        <v>81</v>
      </c>
      <c r="D330" t="s">
        <v>31</v>
      </c>
      <c r="E330">
        <v>1</v>
      </c>
      <c r="F330" s="2">
        <v>189.99</v>
      </c>
      <c r="G330">
        <v>0</v>
      </c>
      <c r="H330" s="2">
        <v>189.99</v>
      </c>
      <c r="I330" s="2">
        <v>189.99</v>
      </c>
      <c r="J330" t="s">
        <v>90</v>
      </c>
      <c r="K330" t="s">
        <v>20</v>
      </c>
      <c r="L330" t="s">
        <v>21</v>
      </c>
      <c r="M330" t="s">
        <v>123</v>
      </c>
      <c r="N330" t="s">
        <v>124</v>
      </c>
      <c r="O330" t="s">
        <v>24</v>
      </c>
      <c r="Q330" s="2">
        <f>Ventas[[#This Row],[precio_base]]*Ventas[[#This Row],[cantidad]]</f>
        <v>189.99</v>
      </c>
      <c r="R330" s="2">
        <f>Ventas[[#This Row],[Total bruto (antes de descuento)]]-Ventas[[#This Row],[total_venta]]</f>
        <v>0</v>
      </c>
    </row>
    <row r="331" spans="1:18" x14ac:dyDescent="0.25">
      <c r="A331" t="s">
        <v>424</v>
      </c>
      <c r="B331" s="1">
        <v>45074</v>
      </c>
      <c r="C331" t="s">
        <v>98</v>
      </c>
      <c r="D331" t="s">
        <v>31</v>
      </c>
      <c r="E331">
        <v>4</v>
      </c>
      <c r="F331" s="2">
        <v>99.99</v>
      </c>
      <c r="G331">
        <v>0</v>
      </c>
      <c r="H331" s="2">
        <v>99.99</v>
      </c>
      <c r="I331" s="2">
        <v>399.96</v>
      </c>
      <c r="J331" t="s">
        <v>19</v>
      </c>
      <c r="K331" t="s">
        <v>20</v>
      </c>
      <c r="L331" t="s">
        <v>32</v>
      </c>
      <c r="M331" t="s">
        <v>33</v>
      </c>
      <c r="N331" t="s">
        <v>34</v>
      </c>
      <c r="O331" t="s">
        <v>35</v>
      </c>
      <c r="P331">
        <v>4</v>
      </c>
      <c r="Q331" s="2">
        <f>Ventas[[#This Row],[precio_base]]*Ventas[[#This Row],[cantidad]]</f>
        <v>399.96</v>
      </c>
      <c r="R331" s="2">
        <f>Ventas[[#This Row],[Total bruto (antes de descuento)]]-Ventas[[#This Row],[total_venta]]</f>
        <v>0</v>
      </c>
    </row>
    <row r="332" spans="1:18" x14ac:dyDescent="0.25">
      <c r="A332" t="s">
        <v>425</v>
      </c>
      <c r="B332" s="1">
        <v>45620</v>
      </c>
      <c r="C332" t="s">
        <v>130</v>
      </c>
      <c r="D332" t="s">
        <v>43</v>
      </c>
      <c r="E332">
        <v>5</v>
      </c>
      <c r="F332" s="2">
        <v>24.99</v>
      </c>
      <c r="G332">
        <v>0</v>
      </c>
      <c r="H332" s="2">
        <v>24.99</v>
      </c>
      <c r="I332" s="2">
        <v>124.95</v>
      </c>
      <c r="J332" t="s">
        <v>19</v>
      </c>
      <c r="K332" t="s">
        <v>20</v>
      </c>
      <c r="L332" t="s">
        <v>152</v>
      </c>
      <c r="M332" t="s">
        <v>84</v>
      </c>
      <c r="N332" t="s">
        <v>85</v>
      </c>
      <c r="O332" t="s">
        <v>35</v>
      </c>
      <c r="P332">
        <v>1</v>
      </c>
      <c r="Q332" s="2">
        <f>Ventas[[#This Row],[precio_base]]*Ventas[[#This Row],[cantidad]]</f>
        <v>124.94999999999999</v>
      </c>
      <c r="R332" s="2">
        <f>Ventas[[#This Row],[Total bruto (antes de descuento)]]-Ventas[[#This Row],[total_venta]]</f>
        <v>0</v>
      </c>
    </row>
    <row r="333" spans="1:18" x14ac:dyDescent="0.25">
      <c r="A333" t="s">
        <v>426</v>
      </c>
      <c r="B333" s="1">
        <v>45439</v>
      </c>
      <c r="C333" t="s">
        <v>76</v>
      </c>
      <c r="D333" t="s">
        <v>31</v>
      </c>
      <c r="E333">
        <v>3</v>
      </c>
      <c r="F333" s="2">
        <v>69.989999999999995</v>
      </c>
      <c r="G333">
        <v>0</v>
      </c>
      <c r="H333" s="2">
        <v>69.989999999999995</v>
      </c>
      <c r="I333" s="2">
        <v>209.97</v>
      </c>
      <c r="J333" t="s">
        <v>19</v>
      </c>
      <c r="K333" t="s">
        <v>52</v>
      </c>
      <c r="L333" t="s">
        <v>21</v>
      </c>
      <c r="M333" t="s">
        <v>22</v>
      </c>
      <c r="N333" t="s">
        <v>23</v>
      </c>
      <c r="O333" t="s">
        <v>24</v>
      </c>
      <c r="P333">
        <v>5</v>
      </c>
      <c r="Q333" s="2">
        <f>Ventas[[#This Row],[precio_base]]*Ventas[[#This Row],[cantidad]]</f>
        <v>209.96999999999997</v>
      </c>
      <c r="R333" s="2">
        <f>Ventas[[#This Row],[Total bruto (antes de descuento)]]-Ventas[[#This Row],[total_venta]]</f>
        <v>0</v>
      </c>
    </row>
    <row r="334" spans="1:18" x14ac:dyDescent="0.25">
      <c r="A334" t="s">
        <v>427</v>
      </c>
      <c r="B334" s="1">
        <v>45536</v>
      </c>
      <c r="C334" t="s">
        <v>109</v>
      </c>
      <c r="D334" t="s">
        <v>38</v>
      </c>
      <c r="E334">
        <v>3</v>
      </c>
      <c r="F334" s="2">
        <v>39.99</v>
      </c>
      <c r="G334">
        <v>0</v>
      </c>
      <c r="H334" s="2">
        <v>39.99</v>
      </c>
      <c r="I334" s="2">
        <v>119.97</v>
      </c>
      <c r="J334" t="s">
        <v>51</v>
      </c>
      <c r="K334" t="s">
        <v>57</v>
      </c>
      <c r="L334" t="s">
        <v>45</v>
      </c>
      <c r="M334" t="s">
        <v>39</v>
      </c>
      <c r="N334" t="s">
        <v>40</v>
      </c>
      <c r="O334" t="s">
        <v>35</v>
      </c>
      <c r="Q334" s="2">
        <f>Ventas[[#This Row],[precio_base]]*Ventas[[#This Row],[cantidad]]</f>
        <v>119.97</v>
      </c>
      <c r="R334" s="2">
        <f>Ventas[[#This Row],[Total bruto (antes de descuento)]]-Ventas[[#This Row],[total_venta]]</f>
        <v>0</v>
      </c>
    </row>
    <row r="335" spans="1:18" x14ac:dyDescent="0.25">
      <c r="A335" t="s">
        <v>428</v>
      </c>
      <c r="B335" s="1">
        <v>45291</v>
      </c>
      <c r="C335" t="s">
        <v>50</v>
      </c>
      <c r="D335" t="s">
        <v>27</v>
      </c>
      <c r="E335">
        <v>4</v>
      </c>
      <c r="F335" s="2">
        <v>149.99</v>
      </c>
      <c r="G335">
        <v>5</v>
      </c>
      <c r="H335" s="2">
        <v>142.49</v>
      </c>
      <c r="I335" s="2">
        <v>569.96</v>
      </c>
      <c r="J335" t="s">
        <v>19</v>
      </c>
      <c r="K335" t="s">
        <v>44</v>
      </c>
      <c r="L335" t="s">
        <v>21</v>
      </c>
      <c r="M335" t="s">
        <v>33</v>
      </c>
      <c r="N335" t="s">
        <v>34</v>
      </c>
      <c r="O335" t="s">
        <v>35</v>
      </c>
      <c r="P335">
        <v>5</v>
      </c>
      <c r="Q335" s="2">
        <f>Ventas[[#This Row],[precio_base]]*Ventas[[#This Row],[cantidad]]</f>
        <v>599.96</v>
      </c>
      <c r="R335" s="2">
        <f>Ventas[[#This Row],[Total bruto (antes de descuento)]]-Ventas[[#This Row],[total_venta]]</f>
        <v>30</v>
      </c>
    </row>
    <row r="336" spans="1:18" x14ac:dyDescent="0.25">
      <c r="A336" t="s">
        <v>429</v>
      </c>
      <c r="B336" s="1">
        <v>45229</v>
      </c>
      <c r="C336" t="s">
        <v>70</v>
      </c>
      <c r="D336" t="s">
        <v>31</v>
      </c>
      <c r="E336">
        <v>2</v>
      </c>
      <c r="F336" s="2">
        <v>59.99</v>
      </c>
      <c r="G336">
        <v>15</v>
      </c>
      <c r="H336" s="2">
        <v>50.99</v>
      </c>
      <c r="I336" s="2">
        <v>101.98</v>
      </c>
      <c r="J336" t="s">
        <v>19</v>
      </c>
      <c r="K336" t="s">
        <v>20</v>
      </c>
      <c r="L336" t="s">
        <v>28</v>
      </c>
      <c r="M336" t="s">
        <v>58</v>
      </c>
      <c r="N336" t="s">
        <v>59</v>
      </c>
      <c r="O336" t="s">
        <v>24</v>
      </c>
      <c r="P336">
        <v>2</v>
      </c>
      <c r="Q336" s="2">
        <f>Ventas[[#This Row],[precio_base]]*Ventas[[#This Row],[cantidad]]</f>
        <v>119.98</v>
      </c>
      <c r="R336" s="2">
        <f>Ventas[[#This Row],[Total bruto (antes de descuento)]]-Ventas[[#This Row],[total_venta]]</f>
        <v>18</v>
      </c>
    </row>
    <row r="337" spans="1:18" x14ac:dyDescent="0.25">
      <c r="A337" t="s">
        <v>430</v>
      </c>
      <c r="B337" s="1">
        <v>45325</v>
      </c>
      <c r="C337" t="s">
        <v>141</v>
      </c>
      <c r="D337" t="s">
        <v>38</v>
      </c>
      <c r="E337">
        <v>3</v>
      </c>
      <c r="F337" s="2">
        <v>89.99</v>
      </c>
      <c r="G337">
        <v>0</v>
      </c>
      <c r="H337" s="2">
        <v>89.99</v>
      </c>
      <c r="I337" s="2">
        <v>269.97000000000003</v>
      </c>
      <c r="J337" t="s">
        <v>19</v>
      </c>
      <c r="K337" t="s">
        <v>20</v>
      </c>
      <c r="L337" t="s">
        <v>28</v>
      </c>
      <c r="M337" t="s">
        <v>58</v>
      </c>
      <c r="N337" t="s">
        <v>59</v>
      </c>
      <c r="O337" t="s">
        <v>24</v>
      </c>
      <c r="P337">
        <v>1</v>
      </c>
      <c r="Q337" s="2">
        <f>Ventas[[#This Row],[precio_base]]*Ventas[[#This Row],[cantidad]]</f>
        <v>269.96999999999997</v>
      </c>
      <c r="R337" s="2">
        <f>Ventas[[#This Row],[Total bruto (antes de descuento)]]-Ventas[[#This Row],[total_venta]]</f>
        <v>0</v>
      </c>
    </row>
    <row r="338" spans="1:18" x14ac:dyDescent="0.25">
      <c r="A338" t="s">
        <v>431</v>
      </c>
      <c r="B338" s="1">
        <v>45062</v>
      </c>
      <c r="C338" t="s">
        <v>56</v>
      </c>
      <c r="D338" t="s">
        <v>18</v>
      </c>
      <c r="E338">
        <v>2</v>
      </c>
      <c r="F338" s="2">
        <v>89.99</v>
      </c>
      <c r="G338">
        <v>5</v>
      </c>
      <c r="H338" s="2">
        <v>85.49</v>
      </c>
      <c r="I338" s="2">
        <v>170.98</v>
      </c>
      <c r="J338" t="s">
        <v>19</v>
      </c>
      <c r="K338" t="s">
        <v>44</v>
      </c>
      <c r="L338" t="s">
        <v>21</v>
      </c>
      <c r="M338" t="s">
        <v>65</v>
      </c>
      <c r="N338" t="s">
        <v>54</v>
      </c>
      <c r="O338" t="s">
        <v>35</v>
      </c>
      <c r="P338">
        <v>1</v>
      </c>
      <c r="Q338" s="2">
        <f>Ventas[[#This Row],[precio_base]]*Ventas[[#This Row],[cantidad]]</f>
        <v>179.98</v>
      </c>
      <c r="R338" s="2">
        <f>Ventas[[#This Row],[Total bruto (antes de descuento)]]-Ventas[[#This Row],[total_venta]]</f>
        <v>9</v>
      </c>
    </row>
    <row r="339" spans="1:18" x14ac:dyDescent="0.25">
      <c r="A339" t="s">
        <v>432</v>
      </c>
      <c r="B339" s="1">
        <v>45289</v>
      </c>
      <c r="C339" t="s">
        <v>50</v>
      </c>
      <c r="D339" t="s">
        <v>27</v>
      </c>
      <c r="E339">
        <v>1</v>
      </c>
      <c r="F339" s="2">
        <v>149.99</v>
      </c>
      <c r="G339">
        <v>10</v>
      </c>
      <c r="H339" s="2">
        <v>134.99</v>
      </c>
      <c r="I339" s="2">
        <v>134.99</v>
      </c>
      <c r="J339" t="s">
        <v>19</v>
      </c>
      <c r="K339" t="s">
        <v>52</v>
      </c>
      <c r="L339" t="s">
        <v>21</v>
      </c>
      <c r="M339" t="s">
        <v>123</v>
      </c>
      <c r="N339" t="s">
        <v>124</v>
      </c>
      <c r="O339" t="s">
        <v>24</v>
      </c>
      <c r="P339">
        <v>4</v>
      </c>
      <c r="Q339" s="2">
        <f>Ventas[[#This Row],[precio_base]]*Ventas[[#This Row],[cantidad]]</f>
        <v>149.99</v>
      </c>
      <c r="R339" s="2">
        <f>Ventas[[#This Row],[Total bruto (antes de descuento)]]-Ventas[[#This Row],[total_venta]]</f>
        <v>15</v>
      </c>
    </row>
    <row r="340" spans="1:18" x14ac:dyDescent="0.25">
      <c r="A340" t="s">
        <v>433</v>
      </c>
      <c r="B340" s="1">
        <v>45324</v>
      </c>
      <c r="C340" t="s">
        <v>98</v>
      </c>
      <c r="D340" t="s">
        <v>31</v>
      </c>
      <c r="E340">
        <v>1</v>
      </c>
      <c r="F340" s="2">
        <v>99.99</v>
      </c>
      <c r="G340">
        <v>15</v>
      </c>
      <c r="H340" s="2">
        <v>84.99</v>
      </c>
      <c r="I340" s="2">
        <v>84.99</v>
      </c>
      <c r="J340" t="s">
        <v>90</v>
      </c>
      <c r="K340" t="s">
        <v>57</v>
      </c>
      <c r="L340" t="s">
        <v>21</v>
      </c>
      <c r="M340" t="s">
        <v>53</v>
      </c>
      <c r="N340" t="s">
        <v>54</v>
      </c>
      <c r="O340" t="s">
        <v>35</v>
      </c>
      <c r="Q340" s="2">
        <f>Ventas[[#This Row],[precio_base]]*Ventas[[#This Row],[cantidad]]</f>
        <v>99.99</v>
      </c>
      <c r="R340" s="2">
        <f>Ventas[[#This Row],[Total bruto (antes de descuento)]]-Ventas[[#This Row],[total_venta]]</f>
        <v>15</v>
      </c>
    </row>
    <row r="341" spans="1:18" x14ac:dyDescent="0.25">
      <c r="A341" t="s">
        <v>434</v>
      </c>
      <c r="B341" s="1">
        <v>45460</v>
      </c>
      <c r="C341" t="s">
        <v>205</v>
      </c>
      <c r="D341" t="s">
        <v>18</v>
      </c>
      <c r="E341">
        <v>4</v>
      </c>
      <c r="F341" s="2">
        <v>129.99</v>
      </c>
      <c r="G341">
        <v>0</v>
      </c>
      <c r="H341" s="2">
        <v>129.99</v>
      </c>
      <c r="I341" s="2">
        <v>519.96</v>
      </c>
      <c r="J341" t="s">
        <v>19</v>
      </c>
      <c r="K341" t="s">
        <v>20</v>
      </c>
      <c r="L341" t="s">
        <v>21</v>
      </c>
      <c r="M341" t="s">
        <v>58</v>
      </c>
      <c r="N341" t="s">
        <v>59</v>
      </c>
      <c r="O341" t="s">
        <v>24</v>
      </c>
      <c r="P341">
        <v>2</v>
      </c>
      <c r="Q341" s="2">
        <f>Ventas[[#This Row],[precio_base]]*Ventas[[#This Row],[cantidad]]</f>
        <v>519.96</v>
      </c>
      <c r="R341" s="2">
        <f>Ventas[[#This Row],[Total bruto (antes de descuento)]]-Ventas[[#This Row],[total_venta]]</f>
        <v>0</v>
      </c>
    </row>
    <row r="342" spans="1:18" x14ac:dyDescent="0.25">
      <c r="A342" t="s">
        <v>435</v>
      </c>
      <c r="B342" s="1">
        <v>45372</v>
      </c>
      <c r="C342" t="s">
        <v>61</v>
      </c>
      <c r="D342" t="s">
        <v>38</v>
      </c>
      <c r="E342">
        <v>4</v>
      </c>
      <c r="F342" s="2">
        <v>19.989999999999998</v>
      </c>
      <c r="G342">
        <v>0</v>
      </c>
      <c r="H342" s="2">
        <v>19.989999999999998</v>
      </c>
      <c r="I342" s="2">
        <v>79.959999999999994</v>
      </c>
      <c r="J342" t="s">
        <v>19</v>
      </c>
      <c r="K342" t="s">
        <v>20</v>
      </c>
      <c r="L342" t="s">
        <v>152</v>
      </c>
      <c r="M342" t="s">
        <v>95</v>
      </c>
      <c r="N342" t="s">
        <v>96</v>
      </c>
      <c r="O342" t="s">
        <v>48</v>
      </c>
      <c r="P342">
        <v>4</v>
      </c>
      <c r="Q342" s="2">
        <f>Ventas[[#This Row],[precio_base]]*Ventas[[#This Row],[cantidad]]</f>
        <v>79.959999999999994</v>
      </c>
      <c r="R342" s="2">
        <f>Ventas[[#This Row],[Total bruto (antes de descuento)]]-Ventas[[#This Row],[total_venta]]</f>
        <v>0</v>
      </c>
    </row>
    <row r="343" spans="1:18" x14ac:dyDescent="0.25">
      <c r="A343" t="s">
        <v>436</v>
      </c>
      <c r="B343" s="1">
        <v>45535</v>
      </c>
      <c r="C343" t="s">
        <v>156</v>
      </c>
      <c r="D343" t="s">
        <v>27</v>
      </c>
      <c r="E343">
        <v>2</v>
      </c>
      <c r="F343" s="2">
        <v>49.99</v>
      </c>
      <c r="G343">
        <v>5</v>
      </c>
      <c r="H343" s="2">
        <v>47.49</v>
      </c>
      <c r="I343" s="2">
        <v>94.98</v>
      </c>
      <c r="J343" t="s">
        <v>19</v>
      </c>
      <c r="K343" t="s">
        <v>20</v>
      </c>
      <c r="L343" t="s">
        <v>45</v>
      </c>
      <c r="M343" t="s">
        <v>58</v>
      </c>
      <c r="N343" t="s">
        <v>59</v>
      </c>
      <c r="O343" t="s">
        <v>24</v>
      </c>
      <c r="P343">
        <v>5</v>
      </c>
      <c r="Q343" s="2">
        <f>Ventas[[#This Row],[precio_base]]*Ventas[[#This Row],[cantidad]]</f>
        <v>99.98</v>
      </c>
      <c r="R343" s="2">
        <f>Ventas[[#This Row],[Total bruto (antes de descuento)]]-Ventas[[#This Row],[total_venta]]</f>
        <v>5</v>
      </c>
    </row>
    <row r="344" spans="1:18" x14ac:dyDescent="0.25">
      <c r="A344" t="s">
        <v>437</v>
      </c>
      <c r="B344" s="1">
        <v>45316</v>
      </c>
      <c r="C344" t="s">
        <v>70</v>
      </c>
      <c r="D344" t="s">
        <v>31</v>
      </c>
      <c r="E344">
        <v>3</v>
      </c>
      <c r="F344" s="2">
        <v>59.99</v>
      </c>
      <c r="G344">
        <v>5</v>
      </c>
      <c r="H344" s="2">
        <v>56.99</v>
      </c>
      <c r="I344" s="2">
        <v>170.97</v>
      </c>
      <c r="J344" t="s">
        <v>19</v>
      </c>
      <c r="K344" t="s">
        <v>52</v>
      </c>
      <c r="L344" t="s">
        <v>28</v>
      </c>
      <c r="M344" t="s">
        <v>67</v>
      </c>
      <c r="N344" t="s">
        <v>68</v>
      </c>
      <c r="O344" t="s">
        <v>35</v>
      </c>
      <c r="P344">
        <v>5</v>
      </c>
      <c r="Q344" s="2">
        <f>Ventas[[#This Row],[precio_base]]*Ventas[[#This Row],[cantidad]]</f>
        <v>179.97</v>
      </c>
      <c r="R344" s="2">
        <f>Ventas[[#This Row],[Total bruto (antes de descuento)]]-Ventas[[#This Row],[total_venta]]</f>
        <v>9</v>
      </c>
    </row>
    <row r="345" spans="1:18" x14ac:dyDescent="0.25">
      <c r="A345" t="s">
        <v>438</v>
      </c>
      <c r="B345" s="1">
        <v>45066</v>
      </c>
      <c r="C345" t="s">
        <v>83</v>
      </c>
      <c r="D345" t="s">
        <v>38</v>
      </c>
      <c r="E345">
        <v>3</v>
      </c>
      <c r="F345" s="2">
        <v>49.99</v>
      </c>
      <c r="G345">
        <v>10</v>
      </c>
      <c r="H345" s="2">
        <v>44.99</v>
      </c>
      <c r="I345" s="2">
        <v>134.97</v>
      </c>
      <c r="J345" t="s">
        <v>90</v>
      </c>
      <c r="K345" t="s">
        <v>44</v>
      </c>
      <c r="L345" t="s">
        <v>21</v>
      </c>
      <c r="M345" t="s">
        <v>22</v>
      </c>
      <c r="N345" t="s">
        <v>23</v>
      </c>
      <c r="O345" t="s">
        <v>24</v>
      </c>
      <c r="Q345" s="2">
        <f>Ventas[[#This Row],[precio_base]]*Ventas[[#This Row],[cantidad]]</f>
        <v>149.97</v>
      </c>
      <c r="R345" s="2">
        <f>Ventas[[#This Row],[Total bruto (antes de descuento)]]-Ventas[[#This Row],[total_venta]]</f>
        <v>15</v>
      </c>
    </row>
    <row r="346" spans="1:18" x14ac:dyDescent="0.25">
      <c r="A346" t="s">
        <v>439</v>
      </c>
      <c r="B346" s="1">
        <v>45334</v>
      </c>
      <c r="C346" t="s">
        <v>141</v>
      </c>
      <c r="D346" t="s">
        <v>38</v>
      </c>
      <c r="E346">
        <v>3</v>
      </c>
      <c r="F346" s="2">
        <v>89.99</v>
      </c>
      <c r="G346">
        <v>15</v>
      </c>
      <c r="H346" s="2">
        <v>76.489999999999995</v>
      </c>
      <c r="I346" s="2">
        <v>229.47</v>
      </c>
      <c r="J346" t="s">
        <v>51</v>
      </c>
      <c r="K346" t="s">
        <v>57</v>
      </c>
      <c r="L346" t="s">
        <v>28</v>
      </c>
      <c r="M346" t="s">
        <v>101</v>
      </c>
      <c r="N346" t="s">
        <v>102</v>
      </c>
      <c r="O346" t="s">
        <v>35</v>
      </c>
      <c r="Q346" s="2">
        <f>Ventas[[#This Row],[precio_base]]*Ventas[[#This Row],[cantidad]]</f>
        <v>269.96999999999997</v>
      </c>
      <c r="R346" s="2">
        <f>Ventas[[#This Row],[Total bruto (antes de descuento)]]-Ventas[[#This Row],[total_venta]]</f>
        <v>40.499999999999972</v>
      </c>
    </row>
    <row r="347" spans="1:18" x14ac:dyDescent="0.25">
      <c r="A347" t="s">
        <v>440</v>
      </c>
      <c r="B347" s="1">
        <v>45260</v>
      </c>
      <c r="C347" t="s">
        <v>109</v>
      </c>
      <c r="D347" t="s">
        <v>38</v>
      </c>
      <c r="E347">
        <v>3</v>
      </c>
      <c r="F347" s="2">
        <v>39.99</v>
      </c>
      <c r="G347">
        <v>20</v>
      </c>
      <c r="H347" s="2">
        <v>31.99</v>
      </c>
      <c r="I347" s="2">
        <v>95.97</v>
      </c>
      <c r="J347" t="s">
        <v>51</v>
      </c>
      <c r="K347" t="s">
        <v>20</v>
      </c>
      <c r="L347" t="s">
        <v>45</v>
      </c>
      <c r="M347" t="s">
        <v>123</v>
      </c>
      <c r="N347" t="s">
        <v>124</v>
      </c>
      <c r="O347" t="s">
        <v>24</v>
      </c>
      <c r="Q347" s="2">
        <f>Ventas[[#This Row],[precio_base]]*Ventas[[#This Row],[cantidad]]</f>
        <v>119.97</v>
      </c>
      <c r="R347" s="2">
        <f>Ventas[[#This Row],[Total bruto (antes de descuento)]]-Ventas[[#This Row],[total_venta]]</f>
        <v>24</v>
      </c>
    </row>
    <row r="348" spans="1:18" x14ac:dyDescent="0.25">
      <c r="A348" t="s">
        <v>441</v>
      </c>
      <c r="B348" s="1">
        <v>45533</v>
      </c>
      <c r="C348" t="s">
        <v>50</v>
      </c>
      <c r="D348" t="s">
        <v>27</v>
      </c>
      <c r="E348">
        <v>2</v>
      </c>
      <c r="F348" s="2">
        <v>149.99</v>
      </c>
      <c r="G348">
        <v>15</v>
      </c>
      <c r="H348" s="2">
        <v>127.49</v>
      </c>
      <c r="I348" s="2">
        <v>254.98</v>
      </c>
      <c r="J348" t="s">
        <v>51</v>
      </c>
      <c r="K348" t="s">
        <v>57</v>
      </c>
      <c r="L348" t="s">
        <v>45</v>
      </c>
      <c r="M348" t="s">
        <v>46</v>
      </c>
      <c r="N348" t="s">
        <v>47</v>
      </c>
      <c r="O348" t="s">
        <v>48</v>
      </c>
      <c r="Q348" s="2">
        <f>Ventas[[#This Row],[precio_base]]*Ventas[[#This Row],[cantidad]]</f>
        <v>299.98</v>
      </c>
      <c r="R348" s="2">
        <f>Ventas[[#This Row],[Total bruto (antes de descuento)]]-Ventas[[#This Row],[total_venta]]</f>
        <v>45.000000000000028</v>
      </c>
    </row>
    <row r="349" spans="1:18" x14ac:dyDescent="0.25">
      <c r="A349" t="s">
        <v>442</v>
      </c>
      <c r="B349" s="1">
        <v>45652</v>
      </c>
      <c r="C349" t="s">
        <v>115</v>
      </c>
      <c r="D349" t="s">
        <v>18</v>
      </c>
      <c r="E349">
        <v>4</v>
      </c>
      <c r="F349" s="2">
        <v>799.99</v>
      </c>
      <c r="G349">
        <v>20</v>
      </c>
      <c r="H349" s="2">
        <v>639.99</v>
      </c>
      <c r="I349" s="2">
        <v>2559.96</v>
      </c>
      <c r="J349" t="s">
        <v>19</v>
      </c>
      <c r="K349" t="s">
        <v>20</v>
      </c>
      <c r="L349" t="s">
        <v>32</v>
      </c>
      <c r="M349" t="s">
        <v>84</v>
      </c>
      <c r="N349" t="s">
        <v>85</v>
      </c>
      <c r="O349" t="s">
        <v>35</v>
      </c>
      <c r="P349">
        <v>4</v>
      </c>
      <c r="Q349" s="2">
        <f>Ventas[[#This Row],[precio_base]]*Ventas[[#This Row],[cantidad]]</f>
        <v>3199.96</v>
      </c>
      <c r="R349" s="2">
        <f>Ventas[[#This Row],[Total bruto (antes de descuento)]]-Ventas[[#This Row],[total_venta]]</f>
        <v>640</v>
      </c>
    </row>
    <row r="350" spans="1:18" x14ac:dyDescent="0.25">
      <c r="A350" t="s">
        <v>443</v>
      </c>
      <c r="B350" s="1">
        <v>45616</v>
      </c>
      <c r="C350" t="s">
        <v>92</v>
      </c>
      <c r="D350" t="s">
        <v>27</v>
      </c>
      <c r="E350">
        <v>2</v>
      </c>
      <c r="F350" s="2">
        <v>79.989999999999995</v>
      </c>
      <c r="G350">
        <v>15</v>
      </c>
      <c r="H350" s="2">
        <v>67.989999999999995</v>
      </c>
      <c r="I350" s="2">
        <v>135.97999999999999</v>
      </c>
      <c r="J350" t="s">
        <v>19</v>
      </c>
      <c r="K350" t="s">
        <v>44</v>
      </c>
      <c r="L350" t="s">
        <v>28</v>
      </c>
      <c r="M350" t="s">
        <v>58</v>
      </c>
      <c r="N350" t="s">
        <v>59</v>
      </c>
      <c r="O350" t="s">
        <v>24</v>
      </c>
      <c r="P350">
        <v>4</v>
      </c>
      <c r="Q350" s="2">
        <f>Ventas[[#This Row],[precio_base]]*Ventas[[#This Row],[cantidad]]</f>
        <v>159.97999999999999</v>
      </c>
      <c r="R350" s="2">
        <f>Ventas[[#This Row],[Total bruto (antes de descuento)]]-Ventas[[#This Row],[total_venta]]</f>
        <v>24</v>
      </c>
    </row>
    <row r="351" spans="1:18" x14ac:dyDescent="0.25">
      <c r="A351" t="s">
        <v>444</v>
      </c>
      <c r="B351" s="1">
        <v>45002</v>
      </c>
      <c r="C351" t="s">
        <v>151</v>
      </c>
      <c r="D351" t="s">
        <v>27</v>
      </c>
      <c r="E351">
        <v>5</v>
      </c>
      <c r="F351" s="2">
        <v>599.99</v>
      </c>
      <c r="G351">
        <v>5</v>
      </c>
      <c r="H351" s="2">
        <v>569.99</v>
      </c>
      <c r="I351" s="2">
        <v>2849.95</v>
      </c>
      <c r="J351" t="s">
        <v>19</v>
      </c>
      <c r="K351" t="s">
        <v>44</v>
      </c>
      <c r="L351" t="s">
        <v>152</v>
      </c>
      <c r="M351" t="s">
        <v>65</v>
      </c>
      <c r="N351" t="s">
        <v>54</v>
      </c>
      <c r="O351" t="s">
        <v>35</v>
      </c>
      <c r="P351">
        <v>4</v>
      </c>
      <c r="Q351" s="2">
        <f>Ventas[[#This Row],[precio_base]]*Ventas[[#This Row],[cantidad]]</f>
        <v>2999.95</v>
      </c>
      <c r="R351" s="2">
        <f>Ventas[[#This Row],[Total bruto (antes de descuento)]]-Ventas[[#This Row],[total_venta]]</f>
        <v>150</v>
      </c>
    </row>
    <row r="352" spans="1:18" x14ac:dyDescent="0.25">
      <c r="A352" t="s">
        <v>445</v>
      </c>
      <c r="B352" s="1">
        <v>45483</v>
      </c>
      <c r="C352" t="s">
        <v>94</v>
      </c>
      <c r="D352" t="s">
        <v>18</v>
      </c>
      <c r="E352">
        <v>3</v>
      </c>
      <c r="F352" s="2">
        <v>899.99</v>
      </c>
      <c r="G352">
        <v>15</v>
      </c>
      <c r="H352" s="2">
        <v>764.99</v>
      </c>
      <c r="I352" s="2">
        <v>2294.9699999999998</v>
      </c>
      <c r="J352" t="s">
        <v>62</v>
      </c>
      <c r="K352" t="s">
        <v>44</v>
      </c>
      <c r="L352" t="s">
        <v>152</v>
      </c>
      <c r="M352" t="s">
        <v>65</v>
      </c>
      <c r="N352" t="s">
        <v>54</v>
      </c>
      <c r="O352" t="s">
        <v>35</v>
      </c>
      <c r="Q352" s="2">
        <f>Ventas[[#This Row],[precio_base]]*Ventas[[#This Row],[cantidad]]</f>
        <v>2699.9700000000003</v>
      </c>
      <c r="R352" s="2">
        <f>Ventas[[#This Row],[Total bruto (antes de descuento)]]-Ventas[[#This Row],[total_venta]]</f>
        <v>405.00000000000045</v>
      </c>
    </row>
    <row r="353" spans="1:18" x14ac:dyDescent="0.25">
      <c r="A353" t="s">
        <v>446</v>
      </c>
      <c r="B353" s="1">
        <v>45038</v>
      </c>
      <c r="C353" t="s">
        <v>98</v>
      </c>
      <c r="D353" t="s">
        <v>31</v>
      </c>
      <c r="E353">
        <v>2</v>
      </c>
      <c r="F353" s="2">
        <v>99.99</v>
      </c>
      <c r="G353">
        <v>15</v>
      </c>
      <c r="H353" s="2">
        <v>84.99</v>
      </c>
      <c r="I353" s="2">
        <v>169.98</v>
      </c>
      <c r="J353" t="s">
        <v>51</v>
      </c>
      <c r="K353" t="s">
        <v>44</v>
      </c>
      <c r="L353" t="s">
        <v>21</v>
      </c>
      <c r="M353" t="s">
        <v>63</v>
      </c>
      <c r="N353" t="s">
        <v>34</v>
      </c>
      <c r="O353" t="s">
        <v>24</v>
      </c>
      <c r="Q353" s="2">
        <f>Ventas[[#This Row],[precio_base]]*Ventas[[#This Row],[cantidad]]</f>
        <v>199.98</v>
      </c>
      <c r="R353" s="2">
        <f>Ventas[[#This Row],[Total bruto (antes de descuento)]]-Ventas[[#This Row],[total_venta]]</f>
        <v>30</v>
      </c>
    </row>
    <row r="354" spans="1:18" x14ac:dyDescent="0.25">
      <c r="A354" t="s">
        <v>447</v>
      </c>
      <c r="B354" s="1">
        <v>45587</v>
      </c>
      <c r="C354" t="s">
        <v>81</v>
      </c>
      <c r="D354" t="s">
        <v>31</v>
      </c>
      <c r="E354">
        <v>4</v>
      </c>
      <c r="F354" s="2">
        <v>189.99</v>
      </c>
      <c r="G354">
        <v>20</v>
      </c>
      <c r="H354" s="2">
        <v>151.99</v>
      </c>
      <c r="I354" s="2">
        <v>607.96</v>
      </c>
      <c r="J354" t="s">
        <v>19</v>
      </c>
      <c r="K354" t="s">
        <v>20</v>
      </c>
      <c r="L354" t="s">
        <v>21</v>
      </c>
      <c r="M354" t="s">
        <v>39</v>
      </c>
      <c r="N354" t="s">
        <v>40</v>
      </c>
      <c r="O354" t="s">
        <v>35</v>
      </c>
      <c r="P354">
        <v>3</v>
      </c>
      <c r="Q354" s="2">
        <f>Ventas[[#This Row],[precio_base]]*Ventas[[#This Row],[cantidad]]</f>
        <v>759.96</v>
      </c>
      <c r="R354" s="2">
        <f>Ventas[[#This Row],[Total bruto (antes de descuento)]]-Ventas[[#This Row],[total_venta]]</f>
        <v>152</v>
      </c>
    </row>
    <row r="355" spans="1:18" x14ac:dyDescent="0.25">
      <c r="A355" t="s">
        <v>448</v>
      </c>
      <c r="B355" s="1">
        <v>45154</v>
      </c>
      <c r="C355" t="s">
        <v>87</v>
      </c>
      <c r="D355" t="s">
        <v>27</v>
      </c>
      <c r="E355">
        <v>5</v>
      </c>
      <c r="F355" s="2">
        <v>249.99</v>
      </c>
      <c r="G355">
        <v>10</v>
      </c>
      <c r="H355" s="2">
        <v>224.99</v>
      </c>
      <c r="I355" s="2">
        <v>1124.95</v>
      </c>
      <c r="J355" t="s">
        <v>19</v>
      </c>
      <c r="K355" t="s">
        <v>20</v>
      </c>
      <c r="L355" t="s">
        <v>45</v>
      </c>
      <c r="M355" t="s">
        <v>33</v>
      </c>
      <c r="N355" t="s">
        <v>34</v>
      </c>
      <c r="O355" t="s">
        <v>35</v>
      </c>
      <c r="P355">
        <v>4</v>
      </c>
      <c r="Q355" s="2">
        <f>Ventas[[#This Row],[precio_base]]*Ventas[[#This Row],[cantidad]]</f>
        <v>1249.95</v>
      </c>
      <c r="R355" s="2">
        <f>Ventas[[#This Row],[Total bruto (antes de descuento)]]-Ventas[[#This Row],[total_venta]]</f>
        <v>125</v>
      </c>
    </row>
    <row r="356" spans="1:18" x14ac:dyDescent="0.25">
      <c r="A356" t="s">
        <v>449</v>
      </c>
      <c r="B356" s="1">
        <v>45622</v>
      </c>
      <c r="C356" t="s">
        <v>26</v>
      </c>
      <c r="D356" t="s">
        <v>27</v>
      </c>
      <c r="E356">
        <v>5</v>
      </c>
      <c r="F356" s="2">
        <v>399.99</v>
      </c>
      <c r="G356">
        <v>0</v>
      </c>
      <c r="H356" s="2">
        <v>399.99</v>
      </c>
      <c r="I356" s="2">
        <v>1999.95</v>
      </c>
      <c r="J356" t="s">
        <v>19</v>
      </c>
      <c r="K356" t="s">
        <v>44</v>
      </c>
      <c r="L356" t="s">
        <v>21</v>
      </c>
      <c r="M356" t="s">
        <v>46</v>
      </c>
      <c r="N356" t="s">
        <v>47</v>
      </c>
      <c r="O356" t="s">
        <v>48</v>
      </c>
      <c r="P356">
        <v>1</v>
      </c>
      <c r="Q356" s="2">
        <f>Ventas[[#This Row],[precio_base]]*Ventas[[#This Row],[cantidad]]</f>
        <v>1999.95</v>
      </c>
      <c r="R356" s="2">
        <f>Ventas[[#This Row],[Total bruto (antes de descuento)]]-Ventas[[#This Row],[total_venta]]</f>
        <v>0</v>
      </c>
    </row>
    <row r="357" spans="1:18" x14ac:dyDescent="0.25">
      <c r="A357" t="s">
        <v>450</v>
      </c>
      <c r="B357" s="1">
        <v>45045</v>
      </c>
      <c r="C357" t="s">
        <v>143</v>
      </c>
      <c r="D357" t="s">
        <v>43</v>
      </c>
      <c r="E357">
        <v>2</v>
      </c>
      <c r="F357" s="2">
        <v>34.99</v>
      </c>
      <c r="G357">
        <v>0</v>
      </c>
      <c r="H357" s="2">
        <v>34.99</v>
      </c>
      <c r="I357" s="2">
        <v>69.98</v>
      </c>
      <c r="J357" t="s">
        <v>19</v>
      </c>
      <c r="K357" t="s">
        <v>52</v>
      </c>
      <c r="L357" t="s">
        <v>45</v>
      </c>
      <c r="M357" t="s">
        <v>101</v>
      </c>
      <c r="N357" t="s">
        <v>102</v>
      </c>
      <c r="O357" t="s">
        <v>35</v>
      </c>
      <c r="P357">
        <v>3</v>
      </c>
      <c r="Q357" s="2">
        <f>Ventas[[#This Row],[precio_base]]*Ventas[[#This Row],[cantidad]]</f>
        <v>69.98</v>
      </c>
      <c r="R357" s="2">
        <f>Ventas[[#This Row],[Total bruto (antes de descuento)]]-Ventas[[#This Row],[total_venta]]</f>
        <v>0</v>
      </c>
    </row>
    <row r="358" spans="1:18" x14ac:dyDescent="0.25">
      <c r="A358" t="s">
        <v>451</v>
      </c>
      <c r="B358" s="1">
        <v>45414</v>
      </c>
      <c r="C358" t="s">
        <v>17</v>
      </c>
      <c r="D358" t="s">
        <v>18</v>
      </c>
      <c r="E358">
        <v>4</v>
      </c>
      <c r="F358" s="2">
        <v>45.99</v>
      </c>
      <c r="G358">
        <v>15</v>
      </c>
      <c r="H358" s="2">
        <v>39.090000000000003</v>
      </c>
      <c r="I358" s="2">
        <v>156.36000000000001</v>
      </c>
      <c r="J358" t="s">
        <v>51</v>
      </c>
      <c r="K358" t="s">
        <v>20</v>
      </c>
      <c r="L358" t="s">
        <v>21</v>
      </c>
      <c r="M358" t="s">
        <v>123</v>
      </c>
      <c r="N358" t="s">
        <v>124</v>
      </c>
      <c r="O358" t="s">
        <v>24</v>
      </c>
      <c r="Q358" s="2">
        <f>Ventas[[#This Row],[precio_base]]*Ventas[[#This Row],[cantidad]]</f>
        <v>183.96</v>
      </c>
      <c r="R358" s="2">
        <f>Ventas[[#This Row],[Total bruto (antes de descuento)]]-Ventas[[#This Row],[total_venta]]</f>
        <v>27.599999999999994</v>
      </c>
    </row>
    <row r="359" spans="1:18" x14ac:dyDescent="0.25">
      <c r="A359" t="s">
        <v>452</v>
      </c>
      <c r="B359" s="1">
        <v>45654</v>
      </c>
      <c r="C359" t="s">
        <v>17</v>
      </c>
      <c r="D359" t="s">
        <v>18</v>
      </c>
      <c r="E359">
        <v>1</v>
      </c>
      <c r="F359" s="2">
        <v>45.99</v>
      </c>
      <c r="G359">
        <v>20</v>
      </c>
      <c r="H359" s="2">
        <v>36.79</v>
      </c>
      <c r="I359" s="2">
        <v>36.79</v>
      </c>
      <c r="J359" t="s">
        <v>19</v>
      </c>
      <c r="K359" t="s">
        <v>44</v>
      </c>
      <c r="L359" t="s">
        <v>21</v>
      </c>
      <c r="M359" t="s">
        <v>95</v>
      </c>
      <c r="N359" t="s">
        <v>96</v>
      </c>
      <c r="O359" t="s">
        <v>48</v>
      </c>
      <c r="P359">
        <v>2</v>
      </c>
      <c r="Q359" s="2">
        <f>Ventas[[#This Row],[precio_base]]*Ventas[[#This Row],[cantidad]]</f>
        <v>45.99</v>
      </c>
      <c r="R359" s="2">
        <f>Ventas[[#This Row],[Total bruto (antes de descuento)]]-Ventas[[#This Row],[total_venta]]</f>
        <v>9.2000000000000028</v>
      </c>
    </row>
    <row r="360" spans="1:18" x14ac:dyDescent="0.25">
      <c r="A360" t="s">
        <v>453</v>
      </c>
      <c r="B360" s="1">
        <v>45455</v>
      </c>
      <c r="C360" t="s">
        <v>205</v>
      </c>
      <c r="D360" t="s">
        <v>18</v>
      </c>
      <c r="E360">
        <v>5</v>
      </c>
      <c r="F360" s="2">
        <v>129.99</v>
      </c>
      <c r="G360">
        <v>0</v>
      </c>
      <c r="H360" s="2">
        <v>129.99</v>
      </c>
      <c r="I360" s="2">
        <v>649.95000000000005</v>
      </c>
      <c r="J360" t="s">
        <v>19</v>
      </c>
      <c r="K360" t="s">
        <v>57</v>
      </c>
      <c r="L360" t="s">
        <v>21</v>
      </c>
      <c r="M360" t="s">
        <v>120</v>
      </c>
      <c r="N360" t="s">
        <v>23</v>
      </c>
      <c r="O360" t="s">
        <v>24</v>
      </c>
      <c r="P360">
        <v>4</v>
      </c>
      <c r="Q360" s="2">
        <f>Ventas[[#This Row],[precio_base]]*Ventas[[#This Row],[cantidad]]</f>
        <v>649.95000000000005</v>
      </c>
      <c r="R360" s="2">
        <f>Ventas[[#This Row],[Total bruto (antes de descuento)]]-Ventas[[#This Row],[total_venta]]</f>
        <v>0</v>
      </c>
    </row>
    <row r="361" spans="1:18" x14ac:dyDescent="0.25">
      <c r="A361" t="s">
        <v>454</v>
      </c>
      <c r="B361" s="1">
        <v>45571</v>
      </c>
      <c r="C361" t="s">
        <v>205</v>
      </c>
      <c r="D361" t="s">
        <v>18</v>
      </c>
      <c r="E361">
        <v>2</v>
      </c>
      <c r="F361" s="2">
        <v>129.99</v>
      </c>
      <c r="G361">
        <v>15</v>
      </c>
      <c r="H361" s="2">
        <v>110.49</v>
      </c>
      <c r="I361" s="2">
        <v>220.98</v>
      </c>
      <c r="J361" t="s">
        <v>51</v>
      </c>
      <c r="K361" t="s">
        <v>20</v>
      </c>
      <c r="L361" t="s">
        <v>28</v>
      </c>
      <c r="M361" t="s">
        <v>120</v>
      </c>
      <c r="N361" t="s">
        <v>23</v>
      </c>
      <c r="O361" t="s">
        <v>24</v>
      </c>
      <c r="Q361" s="2">
        <f>Ventas[[#This Row],[precio_base]]*Ventas[[#This Row],[cantidad]]</f>
        <v>259.98</v>
      </c>
      <c r="R361" s="2">
        <f>Ventas[[#This Row],[Total bruto (antes de descuento)]]-Ventas[[#This Row],[total_venta]]</f>
        <v>39.000000000000028</v>
      </c>
    </row>
    <row r="362" spans="1:18" x14ac:dyDescent="0.25">
      <c r="A362" t="s">
        <v>455</v>
      </c>
      <c r="B362" s="1">
        <v>45129</v>
      </c>
      <c r="C362" t="s">
        <v>151</v>
      </c>
      <c r="D362" t="s">
        <v>27</v>
      </c>
      <c r="E362">
        <v>5</v>
      </c>
      <c r="F362" s="2">
        <v>599.99</v>
      </c>
      <c r="G362">
        <v>5</v>
      </c>
      <c r="H362" s="2">
        <v>569.99</v>
      </c>
      <c r="I362" s="2">
        <v>2849.95</v>
      </c>
      <c r="J362" t="s">
        <v>19</v>
      </c>
      <c r="K362" t="s">
        <v>20</v>
      </c>
      <c r="L362" t="s">
        <v>21</v>
      </c>
      <c r="M362" t="s">
        <v>84</v>
      </c>
      <c r="N362" t="s">
        <v>85</v>
      </c>
      <c r="O362" t="s">
        <v>35</v>
      </c>
      <c r="P362">
        <v>1</v>
      </c>
      <c r="Q362" s="2">
        <f>Ventas[[#This Row],[precio_base]]*Ventas[[#This Row],[cantidad]]</f>
        <v>2999.95</v>
      </c>
      <c r="R362" s="2">
        <f>Ventas[[#This Row],[Total bruto (antes de descuento)]]-Ventas[[#This Row],[total_venta]]</f>
        <v>150</v>
      </c>
    </row>
    <row r="363" spans="1:18" x14ac:dyDescent="0.25">
      <c r="A363" t="s">
        <v>456</v>
      </c>
      <c r="B363" s="1">
        <v>45518</v>
      </c>
      <c r="C363" t="s">
        <v>17</v>
      </c>
      <c r="D363" t="s">
        <v>18</v>
      </c>
      <c r="E363">
        <v>5</v>
      </c>
      <c r="F363" s="2">
        <v>45.99</v>
      </c>
      <c r="G363">
        <v>0</v>
      </c>
      <c r="H363" s="2">
        <v>45.99</v>
      </c>
      <c r="I363" s="2">
        <v>229.95</v>
      </c>
      <c r="J363" t="s">
        <v>19</v>
      </c>
      <c r="K363" t="s">
        <v>44</v>
      </c>
      <c r="L363" t="s">
        <v>21</v>
      </c>
      <c r="M363" t="s">
        <v>22</v>
      </c>
      <c r="N363" t="s">
        <v>23</v>
      </c>
      <c r="O363" t="s">
        <v>24</v>
      </c>
      <c r="P363">
        <v>4</v>
      </c>
      <c r="Q363" s="2">
        <f>Ventas[[#This Row],[precio_base]]*Ventas[[#This Row],[cantidad]]</f>
        <v>229.95000000000002</v>
      </c>
      <c r="R363" s="2">
        <f>Ventas[[#This Row],[Total bruto (antes de descuento)]]-Ventas[[#This Row],[total_venta]]</f>
        <v>0</v>
      </c>
    </row>
    <row r="364" spans="1:18" x14ac:dyDescent="0.25">
      <c r="A364" t="s">
        <v>457</v>
      </c>
      <c r="B364" s="1">
        <v>45467</v>
      </c>
      <c r="C364" t="s">
        <v>72</v>
      </c>
      <c r="D364" t="s">
        <v>31</v>
      </c>
      <c r="E364">
        <v>3</v>
      </c>
      <c r="F364" s="2">
        <v>29.99</v>
      </c>
      <c r="G364">
        <v>10</v>
      </c>
      <c r="H364" s="2">
        <v>26.99</v>
      </c>
      <c r="I364" s="2">
        <v>80.97</v>
      </c>
      <c r="J364" t="s">
        <v>19</v>
      </c>
      <c r="K364" t="s">
        <v>44</v>
      </c>
      <c r="L364" t="s">
        <v>21</v>
      </c>
      <c r="M364" t="s">
        <v>120</v>
      </c>
      <c r="N364" t="s">
        <v>23</v>
      </c>
      <c r="O364" t="s">
        <v>24</v>
      </c>
      <c r="P364">
        <v>4</v>
      </c>
      <c r="Q364" s="2">
        <f>Ventas[[#This Row],[precio_base]]*Ventas[[#This Row],[cantidad]]</f>
        <v>89.97</v>
      </c>
      <c r="R364" s="2">
        <f>Ventas[[#This Row],[Total bruto (antes de descuento)]]-Ventas[[#This Row],[total_venta]]</f>
        <v>9</v>
      </c>
    </row>
    <row r="365" spans="1:18" x14ac:dyDescent="0.25">
      <c r="A365" t="s">
        <v>458</v>
      </c>
      <c r="B365" s="1">
        <v>45559</v>
      </c>
      <c r="C365" t="s">
        <v>205</v>
      </c>
      <c r="D365" t="s">
        <v>18</v>
      </c>
      <c r="E365">
        <v>3</v>
      </c>
      <c r="F365" s="2">
        <v>129.99</v>
      </c>
      <c r="G365">
        <v>10</v>
      </c>
      <c r="H365" s="2">
        <v>116.99</v>
      </c>
      <c r="I365" s="2">
        <v>350.97</v>
      </c>
      <c r="J365" t="s">
        <v>19</v>
      </c>
      <c r="K365" t="s">
        <v>20</v>
      </c>
      <c r="L365" t="s">
        <v>21</v>
      </c>
      <c r="M365" t="s">
        <v>73</v>
      </c>
      <c r="N365" t="s">
        <v>74</v>
      </c>
      <c r="O365" t="s">
        <v>35</v>
      </c>
      <c r="P365">
        <v>3</v>
      </c>
      <c r="Q365" s="2">
        <f>Ventas[[#This Row],[precio_base]]*Ventas[[#This Row],[cantidad]]</f>
        <v>389.97</v>
      </c>
      <c r="R365" s="2">
        <f>Ventas[[#This Row],[Total bruto (antes de descuento)]]-Ventas[[#This Row],[total_venta]]</f>
        <v>39</v>
      </c>
    </row>
    <row r="366" spans="1:18" x14ac:dyDescent="0.25">
      <c r="A366" t="s">
        <v>459</v>
      </c>
      <c r="B366" s="1">
        <v>45046</v>
      </c>
      <c r="C366" t="s">
        <v>205</v>
      </c>
      <c r="D366" t="s">
        <v>18</v>
      </c>
      <c r="E366">
        <v>3</v>
      </c>
      <c r="F366" s="2">
        <v>129.99</v>
      </c>
      <c r="G366">
        <v>15</v>
      </c>
      <c r="H366" s="2">
        <v>110.49</v>
      </c>
      <c r="I366" s="2">
        <v>331.47</v>
      </c>
      <c r="J366" t="s">
        <v>19</v>
      </c>
      <c r="K366" t="s">
        <v>20</v>
      </c>
      <c r="L366" t="s">
        <v>21</v>
      </c>
      <c r="M366" t="s">
        <v>120</v>
      </c>
      <c r="N366" t="s">
        <v>23</v>
      </c>
      <c r="O366" t="s">
        <v>24</v>
      </c>
      <c r="P366">
        <v>4</v>
      </c>
      <c r="Q366" s="2">
        <f>Ventas[[#This Row],[precio_base]]*Ventas[[#This Row],[cantidad]]</f>
        <v>389.97</v>
      </c>
      <c r="R366" s="2">
        <f>Ventas[[#This Row],[Total bruto (antes de descuento)]]-Ventas[[#This Row],[total_venta]]</f>
        <v>58.5</v>
      </c>
    </row>
    <row r="367" spans="1:18" x14ac:dyDescent="0.25">
      <c r="A367" t="s">
        <v>460</v>
      </c>
      <c r="B367" s="1">
        <v>45360</v>
      </c>
      <c r="C367" t="s">
        <v>205</v>
      </c>
      <c r="D367" t="s">
        <v>18</v>
      </c>
      <c r="E367">
        <v>4</v>
      </c>
      <c r="F367" s="2">
        <v>129.99</v>
      </c>
      <c r="G367">
        <v>15</v>
      </c>
      <c r="H367" s="2">
        <v>110.49</v>
      </c>
      <c r="I367" s="2">
        <v>441.96</v>
      </c>
      <c r="J367" t="s">
        <v>19</v>
      </c>
      <c r="K367" t="s">
        <v>44</v>
      </c>
      <c r="L367" t="s">
        <v>152</v>
      </c>
      <c r="M367" t="s">
        <v>53</v>
      </c>
      <c r="N367" t="s">
        <v>54</v>
      </c>
      <c r="O367" t="s">
        <v>35</v>
      </c>
      <c r="P367">
        <v>5</v>
      </c>
      <c r="Q367" s="2">
        <f>Ventas[[#This Row],[precio_base]]*Ventas[[#This Row],[cantidad]]</f>
        <v>519.96</v>
      </c>
      <c r="R367" s="2">
        <f>Ventas[[#This Row],[Total bruto (antes de descuento)]]-Ventas[[#This Row],[total_venta]]</f>
        <v>78.000000000000057</v>
      </c>
    </row>
    <row r="368" spans="1:18" x14ac:dyDescent="0.25">
      <c r="A368" t="s">
        <v>461</v>
      </c>
      <c r="B368" s="1">
        <v>45097</v>
      </c>
      <c r="C368" t="s">
        <v>92</v>
      </c>
      <c r="D368" t="s">
        <v>27</v>
      </c>
      <c r="E368">
        <v>3</v>
      </c>
      <c r="F368" s="2">
        <v>79.989999999999995</v>
      </c>
      <c r="G368">
        <v>0</v>
      </c>
      <c r="H368" s="2">
        <v>79.989999999999995</v>
      </c>
      <c r="I368" s="2">
        <v>239.97</v>
      </c>
      <c r="J368" t="s">
        <v>19</v>
      </c>
      <c r="K368" t="s">
        <v>44</v>
      </c>
      <c r="L368" t="s">
        <v>21</v>
      </c>
      <c r="M368" t="s">
        <v>67</v>
      </c>
      <c r="N368" t="s">
        <v>68</v>
      </c>
      <c r="O368" t="s">
        <v>35</v>
      </c>
      <c r="P368">
        <v>3</v>
      </c>
      <c r="Q368" s="2">
        <f>Ventas[[#This Row],[precio_base]]*Ventas[[#This Row],[cantidad]]</f>
        <v>239.96999999999997</v>
      </c>
      <c r="R368" s="2">
        <f>Ventas[[#This Row],[Total bruto (antes de descuento)]]-Ventas[[#This Row],[total_venta]]</f>
        <v>0</v>
      </c>
    </row>
    <row r="369" spans="1:18" x14ac:dyDescent="0.25">
      <c r="A369" t="s">
        <v>462</v>
      </c>
      <c r="B369" s="1">
        <v>44936</v>
      </c>
      <c r="C369" t="s">
        <v>92</v>
      </c>
      <c r="D369" t="s">
        <v>27</v>
      </c>
      <c r="E369">
        <v>2</v>
      </c>
      <c r="F369" s="2">
        <v>79.989999999999995</v>
      </c>
      <c r="G369">
        <v>0</v>
      </c>
      <c r="H369" s="2">
        <v>79.989999999999995</v>
      </c>
      <c r="I369" s="2">
        <v>159.97999999999999</v>
      </c>
      <c r="J369" t="s">
        <v>62</v>
      </c>
      <c r="K369" t="s">
        <v>44</v>
      </c>
      <c r="L369" t="s">
        <v>45</v>
      </c>
      <c r="M369" t="s">
        <v>65</v>
      </c>
      <c r="N369" t="s">
        <v>54</v>
      </c>
      <c r="O369" t="s">
        <v>35</v>
      </c>
      <c r="Q369" s="2">
        <f>Ventas[[#This Row],[precio_base]]*Ventas[[#This Row],[cantidad]]</f>
        <v>159.97999999999999</v>
      </c>
      <c r="R369" s="2">
        <f>Ventas[[#This Row],[Total bruto (antes de descuento)]]-Ventas[[#This Row],[total_venta]]</f>
        <v>0</v>
      </c>
    </row>
    <row r="370" spans="1:18" x14ac:dyDescent="0.25">
      <c r="A370" t="s">
        <v>463</v>
      </c>
      <c r="B370" s="1">
        <v>45628</v>
      </c>
      <c r="C370" t="s">
        <v>92</v>
      </c>
      <c r="D370" t="s">
        <v>27</v>
      </c>
      <c r="E370">
        <v>4</v>
      </c>
      <c r="F370" s="2">
        <v>79.989999999999995</v>
      </c>
      <c r="G370">
        <v>15</v>
      </c>
      <c r="H370" s="2">
        <v>67.989999999999995</v>
      </c>
      <c r="I370" s="2">
        <v>271.95999999999998</v>
      </c>
      <c r="J370" t="s">
        <v>62</v>
      </c>
      <c r="K370" t="s">
        <v>20</v>
      </c>
      <c r="L370" t="s">
        <v>45</v>
      </c>
      <c r="M370" t="s">
        <v>101</v>
      </c>
      <c r="N370" t="s">
        <v>102</v>
      </c>
      <c r="O370" t="s">
        <v>35</v>
      </c>
      <c r="Q370" s="2">
        <f>Ventas[[#This Row],[precio_base]]*Ventas[[#This Row],[cantidad]]</f>
        <v>319.95999999999998</v>
      </c>
      <c r="R370" s="2">
        <f>Ventas[[#This Row],[Total bruto (antes de descuento)]]-Ventas[[#This Row],[total_venta]]</f>
        <v>48</v>
      </c>
    </row>
    <row r="371" spans="1:18" x14ac:dyDescent="0.25">
      <c r="A371" t="s">
        <v>464</v>
      </c>
      <c r="B371" s="1">
        <v>45152</v>
      </c>
      <c r="C371" t="s">
        <v>83</v>
      </c>
      <c r="D371" t="s">
        <v>38</v>
      </c>
      <c r="E371">
        <v>1</v>
      </c>
      <c r="F371" s="2">
        <v>49.99</v>
      </c>
      <c r="G371">
        <v>0</v>
      </c>
      <c r="H371" s="2">
        <v>49.99</v>
      </c>
      <c r="I371" s="2">
        <v>49.99</v>
      </c>
      <c r="J371" t="s">
        <v>19</v>
      </c>
      <c r="K371" t="s">
        <v>20</v>
      </c>
      <c r="L371" t="s">
        <v>45</v>
      </c>
      <c r="M371" t="s">
        <v>58</v>
      </c>
      <c r="N371" t="s">
        <v>59</v>
      </c>
      <c r="O371" t="s">
        <v>24</v>
      </c>
      <c r="P371">
        <v>4</v>
      </c>
      <c r="Q371" s="2">
        <f>Ventas[[#This Row],[precio_base]]*Ventas[[#This Row],[cantidad]]</f>
        <v>49.99</v>
      </c>
      <c r="R371" s="2">
        <f>Ventas[[#This Row],[Total bruto (antes de descuento)]]-Ventas[[#This Row],[total_venta]]</f>
        <v>0</v>
      </c>
    </row>
    <row r="372" spans="1:18" x14ac:dyDescent="0.25">
      <c r="A372" t="s">
        <v>465</v>
      </c>
      <c r="B372" s="1">
        <v>45489</v>
      </c>
      <c r="C372" t="s">
        <v>87</v>
      </c>
      <c r="D372" t="s">
        <v>27</v>
      </c>
      <c r="E372">
        <v>1</v>
      </c>
      <c r="F372" s="2">
        <v>249.99</v>
      </c>
      <c r="G372">
        <v>10</v>
      </c>
      <c r="H372" s="2">
        <v>224.99</v>
      </c>
      <c r="I372" s="2">
        <v>224.99</v>
      </c>
      <c r="J372" t="s">
        <v>19</v>
      </c>
      <c r="K372" t="s">
        <v>44</v>
      </c>
      <c r="L372" t="s">
        <v>152</v>
      </c>
      <c r="M372" t="s">
        <v>39</v>
      </c>
      <c r="N372" t="s">
        <v>40</v>
      </c>
      <c r="O372" t="s">
        <v>35</v>
      </c>
      <c r="P372">
        <v>5</v>
      </c>
      <c r="Q372" s="2">
        <f>Ventas[[#This Row],[precio_base]]*Ventas[[#This Row],[cantidad]]</f>
        <v>249.99</v>
      </c>
      <c r="R372" s="2">
        <f>Ventas[[#This Row],[Total bruto (antes de descuento)]]-Ventas[[#This Row],[total_venta]]</f>
        <v>25</v>
      </c>
    </row>
    <row r="373" spans="1:18" x14ac:dyDescent="0.25">
      <c r="A373" t="s">
        <v>466</v>
      </c>
      <c r="B373" s="1">
        <v>44969</v>
      </c>
      <c r="C373" t="s">
        <v>98</v>
      </c>
      <c r="D373" t="s">
        <v>31</v>
      </c>
      <c r="E373">
        <v>4</v>
      </c>
      <c r="F373" s="2">
        <v>99.99</v>
      </c>
      <c r="G373">
        <v>10</v>
      </c>
      <c r="H373" s="2">
        <v>89.99</v>
      </c>
      <c r="I373" s="2">
        <v>359.96</v>
      </c>
      <c r="J373" t="s">
        <v>19</v>
      </c>
      <c r="K373" t="s">
        <v>20</v>
      </c>
      <c r="L373" t="s">
        <v>32</v>
      </c>
      <c r="M373" t="s">
        <v>120</v>
      </c>
      <c r="N373" t="s">
        <v>23</v>
      </c>
      <c r="O373" t="s">
        <v>24</v>
      </c>
      <c r="P373">
        <v>2</v>
      </c>
      <c r="Q373" s="2">
        <f>Ventas[[#This Row],[precio_base]]*Ventas[[#This Row],[cantidad]]</f>
        <v>399.96</v>
      </c>
      <c r="R373" s="2">
        <f>Ventas[[#This Row],[Total bruto (antes de descuento)]]-Ventas[[#This Row],[total_venta]]</f>
        <v>40</v>
      </c>
    </row>
    <row r="374" spans="1:18" x14ac:dyDescent="0.25">
      <c r="A374" t="s">
        <v>467</v>
      </c>
      <c r="B374" s="1">
        <v>45231</v>
      </c>
      <c r="C374" t="s">
        <v>42</v>
      </c>
      <c r="D374" t="s">
        <v>43</v>
      </c>
      <c r="E374">
        <v>1</v>
      </c>
      <c r="F374" s="2">
        <v>349.99</v>
      </c>
      <c r="G374">
        <v>5</v>
      </c>
      <c r="H374" s="2">
        <v>332.49</v>
      </c>
      <c r="I374" s="2">
        <v>332.49</v>
      </c>
      <c r="J374" t="s">
        <v>19</v>
      </c>
      <c r="K374" t="s">
        <v>52</v>
      </c>
      <c r="L374" t="s">
        <v>45</v>
      </c>
      <c r="M374" t="s">
        <v>67</v>
      </c>
      <c r="N374" t="s">
        <v>68</v>
      </c>
      <c r="O374" t="s">
        <v>35</v>
      </c>
      <c r="P374">
        <v>1</v>
      </c>
      <c r="Q374" s="2">
        <f>Ventas[[#This Row],[precio_base]]*Ventas[[#This Row],[cantidad]]</f>
        <v>349.99</v>
      </c>
      <c r="R374" s="2">
        <f>Ventas[[#This Row],[Total bruto (antes de descuento)]]-Ventas[[#This Row],[total_venta]]</f>
        <v>17.5</v>
      </c>
    </row>
    <row r="375" spans="1:18" x14ac:dyDescent="0.25">
      <c r="A375" t="s">
        <v>468</v>
      </c>
      <c r="B375" s="1">
        <v>45169</v>
      </c>
      <c r="C375" t="s">
        <v>115</v>
      </c>
      <c r="D375" t="s">
        <v>18</v>
      </c>
      <c r="E375">
        <v>5</v>
      </c>
      <c r="F375" s="2">
        <v>799.99</v>
      </c>
      <c r="G375">
        <v>15</v>
      </c>
      <c r="H375" s="2">
        <v>679.99</v>
      </c>
      <c r="I375" s="2">
        <v>3399.95</v>
      </c>
      <c r="J375" t="s">
        <v>19</v>
      </c>
      <c r="K375" t="s">
        <v>44</v>
      </c>
      <c r="L375" t="s">
        <v>45</v>
      </c>
      <c r="M375" t="s">
        <v>84</v>
      </c>
      <c r="N375" t="s">
        <v>85</v>
      </c>
      <c r="O375" t="s">
        <v>35</v>
      </c>
      <c r="P375">
        <v>5</v>
      </c>
      <c r="Q375" s="2">
        <f>Ventas[[#This Row],[precio_base]]*Ventas[[#This Row],[cantidad]]</f>
        <v>3999.95</v>
      </c>
      <c r="R375" s="2">
        <f>Ventas[[#This Row],[Total bruto (antes de descuento)]]-Ventas[[#This Row],[total_venta]]</f>
        <v>600</v>
      </c>
    </row>
    <row r="376" spans="1:18" x14ac:dyDescent="0.25">
      <c r="A376" t="s">
        <v>469</v>
      </c>
      <c r="B376" s="1">
        <v>45069</v>
      </c>
      <c r="C376" t="s">
        <v>70</v>
      </c>
      <c r="D376" t="s">
        <v>31</v>
      </c>
      <c r="E376">
        <v>2</v>
      </c>
      <c r="F376" s="2">
        <v>59.99</v>
      </c>
      <c r="G376">
        <v>20</v>
      </c>
      <c r="H376" s="2">
        <v>47.99</v>
      </c>
      <c r="I376" s="2">
        <v>95.98</v>
      </c>
      <c r="J376" t="s">
        <v>19</v>
      </c>
      <c r="K376" t="s">
        <v>44</v>
      </c>
      <c r="L376" t="s">
        <v>45</v>
      </c>
      <c r="M376" t="s">
        <v>46</v>
      </c>
      <c r="N376" t="s">
        <v>47</v>
      </c>
      <c r="O376" t="s">
        <v>48</v>
      </c>
      <c r="P376">
        <v>5</v>
      </c>
      <c r="Q376" s="2">
        <f>Ventas[[#This Row],[precio_base]]*Ventas[[#This Row],[cantidad]]</f>
        <v>119.98</v>
      </c>
      <c r="R376" s="2">
        <f>Ventas[[#This Row],[Total bruto (antes de descuento)]]-Ventas[[#This Row],[total_venta]]</f>
        <v>24</v>
      </c>
    </row>
    <row r="377" spans="1:18" x14ac:dyDescent="0.25">
      <c r="A377" t="s">
        <v>470</v>
      </c>
      <c r="B377" s="1">
        <v>45478</v>
      </c>
      <c r="C377" t="s">
        <v>205</v>
      </c>
      <c r="D377" t="s">
        <v>18</v>
      </c>
      <c r="E377">
        <v>3</v>
      </c>
      <c r="F377" s="2">
        <v>129.99</v>
      </c>
      <c r="G377">
        <v>15</v>
      </c>
      <c r="H377" s="2">
        <v>110.49</v>
      </c>
      <c r="I377" s="2">
        <v>331.47</v>
      </c>
      <c r="J377" t="s">
        <v>19</v>
      </c>
      <c r="K377" t="s">
        <v>20</v>
      </c>
      <c r="L377" t="s">
        <v>32</v>
      </c>
      <c r="M377" t="s">
        <v>33</v>
      </c>
      <c r="N377" t="s">
        <v>34</v>
      </c>
      <c r="O377" t="s">
        <v>35</v>
      </c>
      <c r="P377">
        <v>1</v>
      </c>
      <c r="Q377" s="2">
        <f>Ventas[[#This Row],[precio_base]]*Ventas[[#This Row],[cantidad]]</f>
        <v>389.97</v>
      </c>
      <c r="R377" s="2">
        <f>Ventas[[#This Row],[Total bruto (antes de descuento)]]-Ventas[[#This Row],[total_venta]]</f>
        <v>58.5</v>
      </c>
    </row>
    <row r="378" spans="1:18" x14ac:dyDescent="0.25">
      <c r="A378" t="s">
        <v>471</v>
      </c>
      <c r="B378" s="1">
        <v>45065</v>
      </c>
      <c r="C378" t="s">
        <v>98</v>
      </c>
      <c r="D378" t="s">
        <v>31</v>
      </c>
      <c r="E378">
        <v>4</v>
      </c>
      <c r="F378" s="2">
        <v>99.99</v>
      </c>
      <c r="G378">
        <v>0</v>
      </c>
      <c r="H378" s="2">
        <v>99.99</v>
      </c>
      <c r="I378" s="2">
        <v>399.96</v>
      </c>
      <c r="J378" t="s">
        <v>116</v>
      </c>
      <c r="K378" t="s">
        <v>44</v>
      </c>
      <c r="L378" t="s">
        <v>28</v>
      </c>
      <c r="M378" t="s">
        <v>67</v>
      </c>
      <c r="N378" t="s">
        <v>68</v>
      </c>
      <c r="O378" t="s">
        <v>35</v>
      </c>
      <c r="Q378" s="2">
        <f>Ventas[[#This Row],[precio_base]]*Ventas[[#This Row],[cantidad]]</f>
        <v>399.96</v>
      </c>
      <c r="R378" s="2">
        <f>Ventas[[#This Row],[Total bruto (antes de descuento)]]-Ventas[[#This Row],[total_venta]]</f>
        <v>0</v>
      </c>
    </row>
    <row r="379" spans="1:18" x14ac:dyDescent="0.25">
      <c r="A379" t="s">
        <v>472</v>
      </c>
      <c r="B379" s="1">
        <v>45062</v>
      </c>
      <c r="C379" t="s">
        <v>163</v>
      </c>
      <c r="D379" t="s">
        <v>18</v>
      </c>
      <c r="E379">
        <v>2</v>
      </c>
      <c r="F379" s="2">
        <v>499.99</v>
      </c>
      <c r="G379">
        <v>15</v>
      </c>
      <c r="H379" s="2">
        <v>424.99</v>
      </c>
      <c r="I379" s="2">
        <v>849.98</v>
      </c>
      <c r="J379" t="s">
        <v>19</v>
      </c>
      <c r="K379" t="s">
        <v>52</v>
      </c>
      <c r="L379" t="s">
        <v>28</v>
      </c>
      <c r="M379" t="s">
        <v>22</v>
      </c>
      <c r="N379" t="s">
        <v>23</v>
      </c>
      <c r="O379" t="s">
        <v>24</v>
      </c>
      <c r="P379">
        <v>4</v>
      </c>
      <c r="Q379" s="2">
        <f>Ventas[[#This Row],[precio_base]]*Ventas[[#This Row],[cantidad]]</f>
        <v>999.98</v>
      </c>
      <c r="R379" s="2">
        <f>Ventas[[#This Row],[Total bruto (antes de descuento)]]-Ventas[[#This Row],[total_venta]]</f>
        <v>150</v>
      </c>
    </row>
    <row r="380" spans="1:18" x14ac:dyDescent="0.25">
      <c r="A380" t="s">
        <v>473</v>
      </c>
      <c r="B380" s="1">
        <v>45072</v>
      </c>
      <c r="C380" t="s">
        <v>26</v>
      </c>
      <c r="D380" t="s">
        <v>27</v>
      </c>
      <c r="E380">
        <v>3</v>
      </c>
      <c r="F380" s="2">
        <v>399.99</v>
      </c>
      <c r="G380">
        <v>15</v>
      </c>
      <c r="H380" s="2">
        <v>339.99</v>
      </c>
      <c r="I380" s="2">
        <v>1019.97</v>
      </c>
      <c r="J380" t="s">
        <v>19</v>
      </c>
      <c r="K380" t="s">
        <v>20</v>
      </c>
      <c r="L380" t="s">
        <v>28</v>
      </c>
      <c r="M380" t="s">
        <v>101</v>
      </c>
      <c r="N380" t="s">
        <v>102</v>
      </c>
      <c r="O380" t="s">
        <v>35</v>
      </c>
      <c r="P380">
        <v>1</v>
      </c>
      <c r="Q380" s="2">
        <f>Ventas[[#This Row],[precio_base]]*Ventas[[#This Row],[cantidad]]</f>
        <v>1199.97</v>
      </c>
      <c r="R380" s="2">
        <f>Ventas[[#This Row],[Total bruto (antes de descuento)]]-Ventas[[#This Row],[total_venta]]</f>
        <v>180</v>
      </c>
    </row>
    <row r="381" spans="1:18" x14ac:dyDescent="0.25">
      <c r="A381" t="s">
        <v>474</v>
      </c>
      <c r="B381" s="1">
        <v>45339</v>
      </c>
      <c r="C381" t="s">
        <v>87</v>
      </c>
      <c r="D381" t="s">
        <v>27</v>
      </c>
      <c r="E381">
        <v>3</v>
      </c>
      <c r="F381" s="2">
        <v>249.99</v>
      </c>
      <c r="G381">
        <v>15</v>
      </c>
      <c r="H381" s="2">
        <v>212.49</v>
      </c>
      <c r="I381" s="2">
        <v>637.47</v>
      </c>
      <c r="J381" t="s">
        <v>90</v>
      </c>
      <c r="K381" t="s">
        <v>44</v>
      </c>
      <c r="L381" t="s">
        <v>45</v>
      </c>
      <c r="M381" t="s">
        <v>123</v>
      </c>
      <c r="N381" t="s">
        <v>124</v>
      </c>
      <c r="O381" t="s">
        <v>24</v>
      </c>
      <c r="Q381" s="2">
        <f>Ventas[[#This Row],[precio_base]]*Ventas[[#This Row],[cantidad]]</f>
        <v>749.97</v>
      </c>
      <c r="R381" s="2">
        <f>Ventas[[#This Row],[Total bruto (antes de descuento)]]-Ventas[[#This Row],[total_venta]]</f>
        <v>112.5</v>
      </c>
    </row>
    <row r="382" spans="1:18" x14ac:dyDescent="0.25">
      <c r="A382" t="s">
        <v>475</v>
      </c>
      <c r="B382" s="1">
        <v>45522</v>
      </c>
      <c r="C382" t="s">
        <v>104</v>
      </c>
      <c r="D382" t="s">
        <v>18</v>
      </c>
      <c r="E382">
        <v>1</v>
      </c>
      <c r="F382" s="2">
        <v>1199.99</v>
      </c>
      <c r="G382">
        <v>15</v>
      </c>
      <c r="H382" s="2">
        <v>1019.99</v>
      </c>
      <c r="I382" s="2">
        <v>1019.99</v>
      </c>
      <c r="J382" t="s">
        <v>116</v>
      </c>
      <c r="K382" t="s">
        <v>44</v>
      </c>
      <c r="L382" t="s">
        <v>45</v>
      </c>
      <c r="M382" t="s">
        <v>73</v>
      </c>
      <c r="N382" t="s">
        <v>74</v>
      </c>
      <c r="O382" t="s">
        <v>35</v>
      </c>
      <c r="Q382" s="2">
        <f>Ventas[[#This Row],[precio_base]]*Ventas[[#This Row],[cantidad]]</f>
        <v>1199.99</v>
      </c>
      <c r="R382" s="2">
        <f>Ventas[[#This Row],[Total bruto (antes de descuento)]]-Ventas[[#This Row],[total_venta]]</f>
        <v>180</v>
      </c>
    </row>
    <row r="383" spans="1:18" x14ac:dyDescent="0.25">
      <c r="A383" t="s">
        <v>476</v>
      </c>
      <c r="B383" s="1">
        <v>44991</v>
      </c>
      <c r="C383" t="s">
        <v>70</v>
      </c>
      <c r="D383" t="s">
        <v>31</v>
      </c>
      <c r="E383">
        <v>5</v>
      </c>
      <c r="F383" s="2">
        <v>59.99</v>
      </c>
      <c r="G383">
        <v>5</v>
      </c>
      <c r="H383" s="2">
        <v>56.99</v>
      </c>
      <c r="I383" s="2">
        <v>284.95</v>
      </c>
      <c r="J383" t="s">
        <v>19</v>
      </c>
      <c r="K383" t="s">
        <v>52</v>
      </c>
      <c r="L383" t="s">
        <v>45</v>
      </c>
      <c r="M383" t="s">
        <v>120</v>
      </c>
      <c r="N383" t="s">
        <v>23</v>
      </c>
      <c r="O383" t="s">
        <v>24</v>
      </c>
      <c r="P383">
        <v>3</v>
      </c>
      <c r="Q383" s="2">
        <f>Ventas[[#This Row],[precio_base]]*Ventas[[#This Row],[cantidad]]</f>
        <v>299.95</v>
      </c>
      <c r="R383" s="2">
        <f>Ventas[[#This Row],[Total bruto (antes de descuento)]]-Ventas[[#This Row],[total_venta]]</f>
        <v>15</v>
      </c>
    </row>
    <row r="384" spans="1:18" x14ac:dyDescent="0.25">
      <c r="A384" t="s">
        <v>477</v>
      </c>
      <c r="B384" s="1">
        <v>45217</v>
      </c>
      <c r="C384" t="s">
        <v>141</v>
      </c>
      <c r="D384" t="s">
        <v>38</v>
      </c>
      <c r="E384">
        <v>5</v>
      </c>
      <c r="F384" s="2">
        <v>89.99</v>
      </c>
      <c r="G384">
        <v>10</v>
      </c>
      <c r="H384" s="2">
        <v>80.989999999999995</v>
      </c>
      <c r="I384" s="2">
        <v>404.95</v>
      </c>
      <c r="J384" t="s">
        <v>19</v>
      </c>
      <c r="K384" t="s">
        <v>44</v>
      </c>
      <c r="L384" t="s">
        <v>21</v>
      </c>
      <c r="M384" t="s">
        <v>67</v>
      </c>
      <c r="N384" t="s">
        <v>68</v>
      </c>
      <c r="O384" t="s">
        <v>35</v>
      </c>
      <c r="P384">
        <v>1</v>
      </c>
      <c r="Q384" s="2">
        <f>Ventas[[#This Row],[precio_base]]*Ventas[[#This Row],[cantidad]]</f>
        <v>449.95</v>
      </c>
      <c r="R384" s="2">
        <f>Ventas[[#This Row],[Total bruto (antes de descuento)]]-Ventas[[#This Row],[total_venta]]</f>
        <v>45</v>
      </c>
    </row>
    <row r="385" spans="1:18" x14ac:dyDescent="0.25">
      <c r="A385" t="s">
        <v>478</v>
      </c>
      <c r="B385" s="1">
        <v>44974</v>
      </c>
      <c r="C385" t="s">
        <v>17</v>
      </c>
      <c r="D385" t="s">
        <v>18</v>
      </c>
      <c r="E385">
        <v>4</v>
      </c>
      <c r="F385" s="2">
        <v>45.99</v>
      </c>
      <c r="G385">
        <v>0</v>
      </c>
      <c r="H385" s="2">
        <v>45.99</v>
      </c>
      <c r="I385" s="2">
        <v>183.96</v>
      </c>
      <c r="J385" t="s">
        <v>19</v>
      </c>
      <c r="K385" t="s">
        <v>20</v>
      </c>
      <c r="L385" t="s">
        <v>45</v>
      </c>
      <c r="M385" t="s">
        <v>67</v>
      </c>
      <c r="N385" t="s">
        <v>68</v>
      </c>
      <c r="O385" t="s">
        <v>35</v>
      </c>
      <c r="P385">
        <v>4</v>
      </c>
      <c r="Q385" s="2">
        <f>Ventas[[#This Row],[precio_base]]*Ventas[[#This Row],[cantidad]]</f>
        <v>183.96</v>
      </c>
      <c r="R385" s="2">
        <f>Ventas[[#This Row],[Total bruto (antes de descuento)]]-Ventas[[#This Row],[total_venta]]</f>
        <v>0</v>
      </c>
    </row>
    <row r="386" spans="1:18" x14ac:dyDescent="0.25">
      <c r="A386" t="s">
        <v>479</v>
      </c>
      <c r="B386" s="1">
        <v>45134</v>
      </c>
      <c r="C386" t="s">
        <v>30</v>
      </c>
      <c r="D386" t="s">
        <v>31</v>
      </c>
      <c r="E386">
        <v>2</v>
      </c>
      <c r="F386" s="2">
        <v>299.99</v>
      </c>
      <c r="G386">
        <v>15</v>
      </c>
      <c r="H386" s="2">
        <v>254.99</v>
      </c>
      <c r="I386" s="2">
        <v>509.98</v>
      </c>
      <c r="J386" t="s">
        <v>19</v>
      </c>
      <c r="K386" t="s">
        <v>52</v>
      </c>
      <c r="L386" t="s">
        <v>21</v>
      </c>
      <c r="M386" t="s">
        <v>67</v>
      </c>
      <c r="N386" t="s">
        <v>68</v>
      </c>
      <c r="O386" t="s">
        <v>35</v>
      </c>
      <c r="P386">
        <v>3</v>
      </c>
      <c r="Q386" s="2">
        <f>Ventas[[#This Row],[precio_base]]*Ventas[[#This Row],[cantidad]]</f>
        <v>599.98</v>
      </c>
      <c r="R386" s="2">
        <f>Ventas[[#This Row],[Total bruto (antes de descuento)]]-Ventas[[#This Row],[total_venta]]</f>
        <v>90</v>
      </c>
    </row>
    <row r="387" spans="1:18" x14ac:dyDescent="0.25">
      <c r="A387" t="s">
        <v>480</v>
      </c>
      <c r="B387" s="1">
        <v>45183</v>
      </c>
      <c r="C387" t="s">
        <v>56</v>
      </c>
      <c r="D387" t="s">
        <v>18</v>
      </c>
      <c r="E387">
        <v>3</v>
      </c>
      <c r="F387" s="2">
        <v>89.99</v>
      </c>
      <c r="G387">
        <v>15</v>
      </c>
      <c r="H387" s="2">
        <v>76.489999999999995</v>
      </c>
      <c r="I387" s="2">
        <v>229.47</v>
      </c>
      <c r="J387" t="s">
        <v>90</v>
      </c>
      <c r="K387" t="s">
        <v>20</v>
      </c>
      <c r="L387" t="s">
        <v>28</v>
      </c>
      <c r="M387" t="s">
        <v>63</v>
      </c>
      <c r="N387" t="s">
        <v>34</v>
      </c>
      <c r="O387" t="s">
        <v>24</v>
      </c>
      <c r="Q387" s="2">
        <f>Ventas[[#This Row],[precio_base]]*Ventas[[#This Row],[cantidad]]</f>
        <v>269.96999999999997</v>
      </c>
      <c r="R387" s="2">
        <f>Ventas[[#This Row],[Total bruto (antes de descuento)]]-Ventas[[#This Row],[total_venta]]</f>
        <v>40.499999999999972</v>
      </c>
    </row>
    <row r="388" spans="1:18" x14ac:dyDescent="0.25">
      <c r="A388" t="s">
        <v>481</v>
      </c>
      <c r="B388" s="1">
        <v>45643</v>
      </c>
      <c r="C388" t="s">
        <v>98</v>
      </c>
      <c r="D388" t="s">
        <v>31</v>
      </c>
      <c r="E388">
        <v>2</v>
      </c>
      <c r="F388" s="2">
        <v>99.99</v>
      </c>
      <c r="G388">
        <v>5</v>
      </c>
      <c r="H388" s="2">
        <v>94.99</v>
      </c>
      <c r="I388" s="2">
        <v>189.98</v>
      </c>
      <c r="J388" t="s">
        <v>51</v>
      </c>
      <c r="K388" t="s">
        <v>20</v>
      </c>
      <c r="L388" t="s">
        <v>21</v>
      </c>
      <c r="M388" t="s">
        <v>84</v>
      </c>
      <c r="N388" t="s">
        <v>85</v>
      </c>
      <c r="O388" t="s">
        <v>35</v>
      </c>
      <c r="Q388" s="2">
        <f>Ventas[[#This Row],[precio_base]]*Ventas[[#This Row],[cantidad]]</f>
        <v>199.98</v>
      </c>
      <c r="R388" s="2">
        <f>Ventas[[#This Row],[Total bruto (antes de descuento)]]-Ventas[[#This Row],[total_venta]]</f>
        <v>10</v>
      </c>
    </row>
    <row r="389" spans="1:18" x14ac:dyDescent="0.25">
      <c r="A389" t="s">
        <v>482</v>
      </c>
      <c r="B389" s="1">
        <v>45006</v>
      </c>
      <c r="C389" t="s">
        <v>78</v>
      </c>
      <c r="D389" t="s">
        <v>18</v>
      </c>
      <c r="E389">
        <v>5</v>
      </c>
      <c r="F389" s="2">
        <v>349.99</v>
      </c>
      <c r="G389">
        <v>0</v>
      </c>
      <c r="H389" s="2">
        <v>349.99</v>
      </c>
      <c r="I389" s="2">
        <v>1749.95</v>
      </c>
      <c r="J389" t="s">
        <v>19</v>
      </c>
      <c r="K389" t="s">
        <v>20</v>
      </c>
      <c r="L389" t="s">
        <v>28</v>
      </c>
      <c r="M389" t="s">
        <v>101</v>
      </c>
      <c r="N389" t="s">
        <v>102</v>
      </c>
      <c r="O389" t="s">
        <v>35</v>
      </c>
      <c r="P389">
        <v>1</v>
      </c>
      <c r="Q389" s="2">
        <f>Ventas[[#This Row],[precio_base]]*Ventas[[#This Row],[cantidad]]</f>
        <v>1749.95</v>
      </c>
      <c r="R389" s="2">
        <f>Ventas[[#This Row],[Total bruto (antes de descuento)]]-Ventas[[#This Row],[total_venta]]</f>
        <v>0</v>
      </c>
    </row>
    <row r="390" spans="1:18" x14ac:dyDescent="0.25">
      <c r="A390" t="s">
        <v>483</v>
      </c>
      <c r="B390" s="1">
        <v>45359</v>
      </c>
      <c r="C390" t="s">
        <v>30</v>
      </c>
      <c r="D390" t="s">
        <v>31</v>
      </c>
      <c r="E390">
        <v>2</v>
      </c>
      <c r="F390" s="2">
        <v>299.99</v>
      </c>
      <c r="G390">
        <v>5</v>
      </c>
      <c r="H390" s="2">
        <v>284.99</v>
      </c>
      <c r="I390" s="2">
        <v>569.98</v>
      </c>
      <c r="J390" t="s">
        <v>19</v>
      </c>
      <c r="K390" t="s">
        <v>20</v>
      </c>
      <c r="L390" t="s">
        <v>32</v>
      </c>
      <c r="M390" t="s">
        <v>120</v>
      </c>
      <c r="N390" t="s">
        <v>23</v>
      </c>
      <c r="O390" t="s">
        <v>24</v>
      </c>
      <c r="P390">
        <v>1</v>
      </c>
      <c r="Q390" s="2">
        <f>Ventas[[#This Row],[precio_base]]*Ventas[[#This Row],[cantidad]]</f>
        <v>599.98</v>
      </c>
      <c r="R390" s="2">
        <f>Ventas[[#This Row],[Total bruto (antes de descuento)]]-Ventas[[#This Row],[total_venta]]</f>
        <v>30</v>
      </c>
    </row>
    <row r="391" spans="1:18" x14ac:dyDescent="0.25">
      <c r="A391" t="s">
        <v>484</v>
      </c>
      <c r="B391" s="1">
        <v>45247</v>
      </c>
      <c r="C391" t="s">
        <v>89</v>
      </c>
      <c r="D391" t="s">
        <v>38</v>
      </c>
      <c r="E391">
        <v>3</v>
      </c>
      <c r="F391" s="2">
        <v>69.989999999999995</v>
      </c>
      <c r="G391">
        <v>0</v>
      </c>
      <c r="H391" s="2">
        <v>69.989999999999995</v>
      </c>
      <c r="I391" s="2">
        <v>209.97</v>
      </c>
      <c r="J391" t="s">
        <v>19</v>
      </c>
      <c r="K391" t="s">
        <v>52</v>
      </c>
      <c r="L391" t="s">
        <v>21</v>
      </c>
      <c r="M391" t="s">
        <v>67</v>
      </c>
      <c r="N391" t="s">
        <v>68</v>
      </c>
      <c r="O391" t="s">
        <v>35</v>
      </c>
      <c r="P391">
        <v>2</v>
      </c>
      <c r="Q391" s="2">
        <f>Ventas[[#This Row],[precio_base]]*Ventas[[#This Row],[cantidad]]</f>
        <v>209.96999999999997</v>
      </c>
      <c r="R391" s="2">
        <f>Ventas[[#This Row],[Total bruto (antes de descuento)]]-Ventas[[#This Row],[total_venta]]</f>
        <v>0</v>
      </c>
    </row>
    <row r="392" spans="1:18" x14ac:dyDescent="0.25">
      <c r="A392" t="s">
        <v>485</v>
      </c>
      <c r="B392" s="1">
        <v>44997</v>
      </c>
      <c r="C392" t="s">
        <v>87</v>
      </c>
      <c r="D392" t="s">
        <v>27</v>
      </c>
      <c r="E392">
        <v>5</v>
      </c>
      <c r="F392" s="2">
        <v>249.99</v>
      </c>
      <c r="G392">
        <v>0</v>
      </c>
      <c r="H392" s="2">
        <v>249.99</v>
      </c>
      <c r="I392" s="2">
        <v>1249.95</v>
      </c>
      <c r="J392" t="s">
        <v>51</v>
      </c>
      <c r="K392" t="s">
        <v>20</v>
      </c>
      <c r="L392" t="s">
        <v>28</v>
      </c>
      <c r="M392" t="s">
        <v>63</v>
      </c>
      <c r="N392" t="s">
        <v>34</v>
      </c>
      <c r="O392" t="s">
        <v>24</v>
      </c>
      <c r="Q392" s="2">
        <f>Ventas[[#This Row],[precio_base]]*Ventas[[#This Row],[cantidad]]</f>
        <v>1249.95</v>
      </c>
      <c r="R392" s="2">
        <f>Ventas[[#This Row],[Total bruto (antes de descuento)]]-Ventas[[#This Row],[total_venta]]</f>
        <v>0</v>
      </c>
    </row>
    <row r="393" spans="1:18" x14ac:dyDescent="0.25">
      <c r="A393" t="s">
        <v>486</v>
      </c>
      <c r="B393" s="1">
        <v>45570</v>
      </c>
      <c r="C393" t="s">
        <v>76</v>
      </c>
      <c r="D393" t="s">
        <v>31</v>
      </c>
      <c r="E393">
        <v>2</v>
      </c>
      <c r="F393" s="2">
        <v>69.989999999999995</v>
      </c>
      <c r="G393">
        <v>5</v>
      </c>
      <c r="H393" s="2">
        <v>66.489999999999995</v>
      </c>
      <c r="I393" s="2">
        <v>132.97999999999999</v>
      </c>
      <c r="J393" t="s">
        <v>51</v>
      </c>
      <c r="K393" t="s">
        <v>52</v>
      </c>
      <c r="L393" t="s">
        <v>21</v>
      </c>
      <c r="M393" t="s">
        <v>101</v>
      </c>
      <c r="N393" t="s">
        <v>102</v>
      </c>
      <c r="O393" t="s">
        <v>35</v>
      </c>
      <c r="Q393" s="2">
        <f>Ventas[[#This Row],[precio_base]]*Ventas[[#This Row],[cantidad]]</f>
        <v>139.97999999999999</v>
      </c>
      <c r="R393" s="2">
        <f>Ventas[[#This Row],[Total bruto (antes de descuento)]]-Ventas[[#This Row],[total_venta]]</f>
        <v>7</v>
      </c>
    </row>
    <row r="394" spans="1:18" x14ac:dyDescent="0.25">
      <c r="A394" t="s">
        <v>487</v>
      </c>
      <c r="B394" s="1">
        <v>45029</v>
      </c>
      <c r="C394" t="s">
        <v>78</v>
      </c>
      <c r="D394" t="s">
        <v>18</v>
      </c>
      <c r="E394">
        <v>1</v>
      </c>
      <c r="F394" s="2">
        <v>349.99</v>
      </c>
      <c r="G394">
        <v>10</v>
      </c>
      <c r="H394" s="2">
        <v>314.99</v>
      </c>
      <c r="I394" s="2">
        <v>314.99</v>
      </c>
      <c r="J394" t="s">
        <v>51</v>
      </c>
      <c r="K394" t="s">
        <v>57</v>
      </c>
      <c r="L394" t="s">
        <v>21</v>
      </c>
      <c r="M394" t="s">
        <v>123</v>
      </c>
      <c r="N394" t="s">
        <v>124</v>
      </c>
      <c r="O394" t="s">
        <v>24</v>
      </c>
      <c r="Q394" s="2">
        <f>Ventas[[#This Row],[precio_base]]*Ventas[[#This Row],[cantidad]]</f>
        <v>349.99</v>
      </c>
      <c r="R394" s="2">
        <f>Ventas[[#This Row],[Total bruto (antes de descuento)]]-Ventas[[#This Row],[total_venta]]</f>
        <v>35</v>
      </c>
    </row>
    <row r="395" spans="1:18" x14ac:dyDescent="0.25">
      <c r="A395" t="s">
        <v>488</v>
      </c>
      <c r="B395" s="1">
        <v>45070</v>
      </c>
      <c r="C395" t="s">
        <v>163</v>
      </c>
      <c r="D395" t="s">
        <v>18</v>
      </c>
      <c r="E395">
        <v>3</v>
      </c>
      <c r="F395" s="2">
        <v>499.99</v>
      </c>
      <c r="G395">
        <v>15</v>
      </c>
      <c r="H395" s="2">
        <v>424.99</v>
      </c>
      <c r="I395" s="2">
        <v>1274.97</v>
      </c>
      <c r="J395" t="s">
        <v>19</v>
      </c>
      <c r="K395" t="s">
        <v>44</v>
      </c>
      <c r="L395" t="s">
        <v>28</v>
      </c>
      <c r="M395" t="s">
        <v>65</v>
      </c>
      <c r="N395" t="s">
        <v>54</v>
      </c>
      <c r="O395" t="s">
        <v>35</v>
      </c>
      <c r="P395">
        <v>3</v>
      </c>
      <c r="Q395" s="2">
        <f>Ventas[[#This Row],[precio_base]]*Ventas[[#This Row],[cantidad]]</f>
        <v>1499.97</v>
      </c>
      <c r="R395" s="2">
        <f>Ventas[[#This Row],[Total bruto (antes de descuento)]]-Ventas[[#This Row],[total_venta]]</f>
        <v>225</v>
      </c>
    </row>
    <row r="396" spans="1:18" x14ac:dyDescent="0.25">
      <c r="A396" t="s">
        <v>489</v>
      </c>
      <c r="B396" s="1">
        <v>45634</v>
      </c>
      <c r="C396" t="s">
        <v>104</v>
      </c>
      <c r="D396" t="s">
        <v>18</v>
      </c>
      <c r="E396">
        <v>3</v>
      </c>
      <c r="F396" s="2">
        <v>1199.99</v>
      </c>
      <c r="G396">
        <v>0</v>
      </c>
      <c r="H396" s="2">
        <v>1199.99</v>
      </c>
      <c r="I396" s="2">
        <v>3599.97</v>
      </c>
      <c r="J396" t="s">
        <v>19</v>
      </c>
      <c r="K396" t="s">
        <v>20</v>
      </c>
      <c r="L396" t="s">
        <v>45</v>
      </c>
      <c r="M396" t="s">
        <v>65</v>
      </c>
      <c r="N396" t="s">
        <v>54</v>
      </c>
      <c r="O396" t="s">
        <v>35</v>
      </c>
      <c r="P396">
        <v>1</v>
      </c>
      <c r="Q396" s="2">
        <f>Ventas[[#This Row],[precio_base]]*Ventas[[#This Row],[cantidad]]</f>
        <v>3599.9700000000003</v>
      </c>
      <c r="R396" s="2">
        <f>Ventas[[#This Row],[Total bruto (antes de descuento)]]-Ventas[[#This Row],[total_venta]]</f>
        <v>0</v>
      </c>
    </row>
    <row r="397" spans="1:18" x14ac:dyDescent="0.25">
      <c r="A397" t="s">
        <v>490</v>
      </c>
      <c r="B397" s="1">
        <v>45172</v>
      </c>
      <c r="C397" t="s">
        <v>92</v>
      </c>
      <c r="D397" t="s">
        <v>27</v>
      </c>
      <c r="E397">
        <v>4</v>
      </c>
      <c r="F397" s="2">
        <v>79.989999999999995</v>
      </c>
      <c r="G397">
        <v>0</v>
      </c>
      <c r="H397" s="2">
        <v>79.989999999999995</v>
      </c>
      <c r="I397" s="2">
        <v>319.95999999999998</v>
      </c>
      <c r="J397" t="s">
        <v>19</v>
      </c>
      <c r="K397" t="s">
        <v>44</v>
      </c>
      <c r="L397" t="s">
        <v>45</v>
      </c>
      <c r="M397" t="s">
        <v>73</v>
      </c>
      <c r="N397" t="s">
        <v>74</v>
      </c>
      <c r="O397" t="s">
        <v>35</v>
      </c>
      <c r="P397">
        <v>1</v>
      </c>
      <c r="Q397" s="2">
        <f>Ventas[[#This Row],[precio_base]]*Ventas[[#This Row],[cantidad]]</f>
        <v>319.95999999999998</v>
      </c>
      <c r="R397" s="2">
        <f>Ventas[[#This Row],[Total bruto (antes de descuento)]]-Ventas[[#This Row],[total_venta]]</f>
        <v>0</v>
      </c>
    </row>
    <row r="398" spans="1:18" x14ac:dyDescent="0.25">
      <c r="A398" t="s">
        <v>491</v>
      </c>
      <c r="B398" s="1">
        <v>45296</v>
      </c>
      <c r="C398" t="s">
        <v>122</v>
      </c>
      <c r="D398" t="s">
        <v>43</v>
      </c>
      <c r="E398">
        <v>3</v>
      </c>
      <c r="F398" s="2">
        <v>44.99</v>
      </c>
      <c r="G398">
        <v>0</v>
      </c>
      <c r="H398" s="2">
        <v>44.99</v>
      </c>
      <c r="I398" s="2">
        <v>134.97</v>
      </c>
      <c r="J398" t="s">
        <v>19</v>
      </c>
      <c r="K398" t="s">
        <v>44</v>
      </c>
      <c r="L398" t="s">
        <v>45</v>
      </c>
      <c r="M398" t="s">
        <v>67</v>
      </c>
      <c r="N398" t="s">
        <v>68</v>
      </c>
      <c r="O398" t="s">
        <v>35</v>
      </c>
      <c r="P398">
        <v>2</v>
      </c>
      <c r="Q398" s="2">
        <f>Ventas[[#This Row],[precio_base]]*Ventas[[#This Row],[cantidad]]</f>
        <v>134.97</v>
      </c>
      <c r="R398" s="2">
        <f>Ventas[[#This Row],[Total bruto (antes de descuento)]]-Ventas[[#This Row],[total_venta]]</f>
        <v>0</v>
      </c>
    </row>
    <row r="399" spans="1:18" x14ac:dyDescent="0.25">
      <c r="A399" t="s">
        <v>492</v>
      </c>
      <c r="B399" s="1">
        <v>45409</v>
      </c>
      <c r="C399" t="s">
        <v>98</v>
      </c>
      <c r="D399" t="s">
        <v>31</v>
      </c>
      <c r="E399">
        <v>1</v>
      </c>
      <c r="F399" s="2">
        <v>99.99</v>
      </c>
      <c r="G399">
        <v>0</v>
      </c>
      <c r="H399" s="2">
        <v>99.99</v>
      </c>
      <c r="I399" s="2">
        <v>99.99</v>
      </c>
      <c r="J399" t="s">
        <v>19</v>
      </c>
      <c r="K399" t="s">
        <v>20</v>
      </c>
      <c r="L399" t="s">
        <v>21</v>
      </c>
      <c r="M399" t="s">
        <v>46</v>
      </c>
      <c r="N399" t="s">
        <v>47</v>
      </c>
      <c r="O399" t="s">
        <v>48</v>
      </c>
      <c r="P399">
        <v>1</v>
      </c>
      <c r="Q399" s="2">
        <f>Ventas[[#This Row],[precio_base]]*Ventas[[#This Row],[cantidad]]</f>
        <v>99.99</v>
      </c>
      <c r="R399" s="2">
        <f>Ventas[[#This Row],[Total bruto (antes de descuento)]]-Ventas[[#This Row],[total_venta]]</f>
        <v>0</v>
      </c>
    </row>
    <row r="400" spans="1:18" x14ac:dyDescent="0.25">
      <c r="A400" t="s">
        <v>493</v>
      </c>
      <c r="B400" s="1">
        <v>45334</v>
      </c>
      <c r="C400" t="s">
        <v>87</v>
      </c>
      <c r="D400" t="s">
        <v>27</v>
      </c>
      <c r="E400">
        <v>3</v>
      </c>
      <c r="F400" s="2">
        <v>249.99</v>
      </c>
      <c r="G400">
        <v>15</v>
      </c>
      <c r="H400" s="2">
        <v>212.49</v>
      </c>
      <c r="I400" s="2">
        <v>637.47</v>
      </c>
      <c r="J400" t="s">
        <v>51</v>
      </c>
      <c r="K400" t="s">
        <v>20</v>
      </c>
      <c r="L400" t="s">
        <v>28</v>
      </c>
      <c r="M400" t="s">
        <v>39</v>
      </c>
      <c r="N400" t="s">
        <v>40</v>
      </c>
      <c r="O400" t="s">
        <v>35</v>
      </c>
      <c r="Q400" s="2">
        <f>Ventas[[#This Row],[precio_base]]*Ventas[[#This Row],[cantidad]]</f>
        <v>749.97</v>
      </c>
      <c r="R400" s="2">
        <f>Ventas[[#This Row],[Total bruto (antes de descuento)]]-Ventas[[#This Row],[total_venta]]</f>
        <v>112.5</v>
      </c>
    </row>
    <row r="401" spans="1:18" x14ac:dyDescent="0.25">
      <c r="A401" t="s">
        <v>494</v>
      </c>
      <c r="B401" s="1">
        <v>45011</v>
      </c>
      <c r="C401" t="s">
        <v>72</v>
      </c>
      <c r="D401" t="s">
        <v>31</v>
      </c>
      <c r="E401">
        <v>5</v>
      </c>
      <c r="F401" s="2">
        <v>29.99</v>
      </c>
      <c r="G401">
        <v>10</v>
      </c>
      <c r="H401" s="2">
        <v>26.99</v>
      </c>
      <c r="I401" s="2">
        <v>134.94999999999999</v>
      </c>
      <c r="J401" t="s">
        <v>51</v>
      </c>
      <c r="K401" t="s">
        <v>20</v>
      </c>
      <c r="L401" t="s">
        <v>21</v>
      </c>
      <c r="M401" t="s">
        <v>58</v>
      </c>
      <c r="N401" t="s">
        <v>59</v>
      </c>
      <c r="O401" t="s">
        <v>24</v>
      </c>
      <c r="Q401" s="2">
        <f>Ventas[[#This Row],[precio_base]]*Ventas[[#This Row],[cantidad]]</f>
        <v>149.94999999999999</v>
      </c>
      <c r="R401" s="2">
        <f>Ventas[[#This Row],[Total bruto (antes de descuento)]]-Ventas[[#This Row],[total_venta]]</f>
        <v>15</v>
      </c>
    </row>
    <row r="402" spans="1:18" x14ac:dyDescent="0.25">
      <c r="A402" t="s">
        <v>495</v>
      </c>
      <c r="B402" s="1">
        <v>45135</v>
      </c>
      <c r="C402" t="s">
        <v>70</v>
      </c>
      <c r="D402" t="s">
        <v>31</v>
      </c>
      <c r="E402">
        <v>2</v>
      </c>
      <c r="F402" s="2">
        <v>59.99</v>
      </c>
      <c r="G402">
        <v>10</v>
      </c>
      <c r="H402" s="2">
        <v>53.99</v>
      </c>
      <c r="I402" s="2">
        <v>107.98</v>
      </c>
      <c r="J402" t="s">
        <v>19</v>
      </c>
      <c r="K402" t="s">
        <v>44</v>
      </c>
      <c r="L402" t="s">
        <v>32</v>
      </c>
      <c r="M402" t="s">
        <v>33</v>
      </c>
      <c r="N402" t="s">
        <v>34</v>
      </c>
      <c r="O402" t="s">
        <v>35</v>
      </c>
      <c r="P402">
        <v>1</v>
      </c>
      <c r="Q402" s="2">
        <f>Ventas[[#This Row],[precio_base]]*Ventas[[#This Row],[cantidad]]</f>
        <v>119.98</v>
      </c>
      <c r="R402" s="2">
        <f>Ventas[[#This Row],[Total bruto (antes de descuento)]]-Ventas[[#This Row],[total_venta]]</f>
        <v>12</v>
      </c>
    </row>
    <row r="403" spans="1:18" x14ac:dyDescent="0.25">
      <c r="A403" t="s">
        <v>496</v>
      </c>
      <c r="B403" s="1">
        <v>45244</v>
      </c>
      <c r="C403" t="s">
        <v>30</v>
      </c>
      <c r="D403" t="s">
        <v>31</v>
      </c>
      <c r="E403">
        <v>4</v>
      </c>
      <c r="F403" s="2">
        <v>299.99</v>
      </c>
      <c r="G403">
        <v>15</v>
      </c>
      <c r="H403" s="2">
        <v>254.99</v>
      </c>
      <c r="I403" s="2">
        <v>1019.96</v>
      </c>
      <c r="J403" t="s">
        <v>90</v>
      </c>
      <c r="K403" t="s">
        <v>20</v>
      </c>
      <c r="L403" t="s">
        <v>21</v>
      </c>
      <c r="M403" t="s">
        <v>22</v>
      </c>
      <c r="N403" t="s">
        <v>23</v>
      </c>
      <c r="O403" t="s">
        <v>24</v>
      </c>
      <c r="Q403" s="2">
        <f>Ventas[[#This Row],[precio_base]]*Ventas[[#This Row],[cantidad]]</f>
        <v>1199.96</v>
      </c>
      <c r="R403" s="2">
        <f>Ventas[[#This Row],[Total bruto (antes de descuento)]]-Ventas[[#This Row],[total_venta]]</f>
        <v>180</v>
      </c>
    </row>
    <row r="404" spans="1:18" x14ac:dyDescent="0.25">
      <c r="A404" t="s">
        <v>497</v>
      </c>
      <c r="B404" s="1">
        <v>45371</v>
      </c>
      <c r="C404" t="s">
        <v>17</v>
      </c>
      <c r="D404" t="s">
        <v>18</v>
      </c>
      <c r="E404">
        <v>4</v>
      </c>
      <c r="F404" s="2">
        <v>45.99</v>
      </c>
      <c r="G404">
        <v>10</v>
      </c>
      <c r="H404" s="2">
        <v>41.39</v>
      </c>
      <c r="I404" s="2">
        <v>165.56</v>
      </c>
      <c r="J404" t="s">
        <v>51</v>
      </c>
      <c r="K404" t="s">
        <v>44</v>
      </c>
      <c r="L404" t="s">
        <v>28</v>
      </c>
      <c r="M404" t="s">
        <v>58</v>
      </c>
      <c r="N404" t="s">
        <v>59</v>
      </c>
      <c r="O404" t="s">
        <v>24</v>
      </c>
      <c r="Q404" s="2">
        <f>Ventas[[#This Row],[precio_base]]*Ventas[[#This Row],[cantidad]]</f>
        <v>183.96</v>
      </c>
      <c r="R404" s="2">
        <f>Ventas[[#This Row],[Total bruto (antes de descuento)]]-Ventas[[#This Row],[total_venta]]</f>
        <v>18.400000000000006</v>
      </c>
    </row>
    <row r="405" spans="1:18" x14ac:dyDescent="0.25">
      <c r="A405" t="s">
        <v>498</v>
      </c>
      <c r="B405" s="1">
        <v>45106</v>
      </c>
      <c r="C405" t="s">
        <v>17</v>
      </c>
      <c r="D405" t="s">
        <v>18</v>
      </c>
      <c r="E405">
        <v>1</v>
      </c>
      <c r="F405" s="2">
        <v>45.99</v>
      </c>
      <c r="G405">
        <v>15</v>
      </c>
      <c r="H405" s="2">
        <v>39.090000000000003</v>
      </c>
      <c r="I405" s="2">
        <v>39.090000000000003</v>
      </c>
      <c r="J405" t="s">
        <v>19</v>
      </c>
      <c r="K405" t="s">
        <v>20</v>
      </c>
      <c r="L405" t="s">
        <v>152</v>
      </c>
      <c r="M405" t="s">
        <v>46</v>
      </c>
      <c r="N405" t="s">
        <v>47</v>
      </c>
      <c r="O405" t="s">
        <v>48</v>
      </c>
      <c r="P405">
        <v>5</v>
      </c>
      <c r="Q405" s="2">
        <f>Ventas[[#This Row],[precio_base]]*Ventas[[#This Row],[cantidad]]</f>
        <v>45.99</v>
      </c>
      <c r="R405" s="2">
        <f>Ventas[[#This Row],[Total bruto (antes de descuento)]]-Ventas[[#This Row],[total_venta]]</f>
        <v>6.8999999999999986</v>
      </c>
    </row>
    <row r="406" spans="1:18" x14ac:dyDescent="0.25">
      <c r="A406" t="s">
        <v>499</v>
      </c>
      <c r="B406" s="1">
        <v>45456</v>
      </c>
      <c r="C406" t="s">
        <v>70</v>
      </c>
      <c r="D406" t="s">
        <v>31</v>
      </c>
      <c r="E406">
        <v>3</v>
      </c>
      <c r="F406" s="2">
        <v>59.99</v>
      </c>
      <c r="G406">
        <v>0</v>
      </c>
      <c r="H406" s="2">
        <v>59.99</v>
      </c>
      <c r="I406" s="2">
        <v>179.97</v>
      </c>
      <c r="J406" t="s">
        <v>19</v>
      </c>
      <c r="K406" t="s">
        <v>52</v>
      </c>
      <c r="L406" t="s">
        <v>21</v>
      </c>
      <c r="M406" t="s">
        <v>84</v>
      </c>
      <c r="N406" t="s">
        <v>85</v>
      </c>
      <c r="O406" t="s">
        <v>35</v>
      </c>
      <c r="P406">
        <v>1</v>
      </c>
      <c r="Q406" s="2">
        <f>Ventas[[#This Row],[precio_base]]*Ventas[[#This Row],[cantidad]]</f>
        <v>179.97</v>
      </c>
      <c r="R406" s="2">
        <f>Ventas[[#This Row],[Total bruto (antes de descuento)]]-Ventas[[#This Row],[total_venta]]</f>
        <v>0</v>
      </c>
    </row>
    <row r="407" spans="1:18" x14ac:dyDescent="0.25">
      <c r="A407" t="s">
        <v>500</v>
      </c>
      <c r="B407" s="1">
        <v>44957</v>
      </c>
      <c r="C407" t="s">
        <v>141</v>
      </c>
      <c r="D407" t="s">
        <v>38</v>
      </c>
      <c r="E407">
        <v>4</v>
      </c>
      <c r="F407" s="2">
        <v>89.99</v>
      </c>
      <c r="G407">
        <v>0</v>
      </c>
      <c r="H407" s="2">
        <v>89.99</v>
      </c>
      <c r="I407" s="2">
        <v>359.96</v>
      </c>
      <c r="J407" t="s">
        <v>19</v>
      </c>
      <c r="K407" t="s">
        <v>44</v>
      </c>
      <c r="L407" t="s">
        <v>45</v>
      </c>
      <c r="M407" t="s">
        <v>58</v>
      </c>
      <c r="N407" t="s">
        <v>59</v>
      </c>
      <c r="O407" t="s">
        <v>24</v>
      </c>
      <c r="P407">
        <v>1</v>
      </c>
      <c r="Q407" s="2">
        <f>Ventas[[#This Row],[precio_base]]*Ventas[[#This Row],[cantidad]]</f>
        <v>359.96</v>
      </c>
      <c r="R407" s="2">
        <f>Ventas[[#This Row],[Total bruto (antes de descuento)]]-Ventas[[#This Row],[total_venta]]</f>
        <v>0</v>
      </c>
    </row>
    <row r="408" spans="1:18" x14ac:dyDescent="0.25">
      <c r="A408" t="s">
        <v>501</v>
      </c>
      <c r="B408" s="1">
        <v>45435</v>
      </c>
      <c r="C408" t="s">
        <v>151</v>
      </c>
      <c r="D408" t="s">
        <v>27</v>
      </c>
      <c r="E408">
        <v>5</v>
      </c>
      <c r="F408" s="2">
        <v>599.99</v>
      </c>
      <c r="G408">
        <v>0</v>
      </c>
      <c r="H408" s="2">
        <v>599.99</v>
      </c>
      <c r="I408" s="2">
        <v>2999.95</v>
      </c>
      <c r="J408" t="s">
        <v>19</v>
      </c>
      <c r="K408" t="s">
        <v>44</v>
      </c>
      <c r="L408" t="s">
        <v>45</v>
      </c>
      <c r="M408" t="s">
        <v>67</v>
      </c>
      <c r="N408" t="s">
        <v>68</v>
      </c>
      <c r="O408" t="s">
        <v>35</v>
      </c>
      <c r="P408">
        <v>3</v>
      </c>
      <c r="Q408" s="2">
        <f>Ventas[[#This Row],[precio_base]]*Ventas[[#This Row],[cantidad]]</f>
        <v>2999.95</v>
      </c>
      <c r="R408" s="2">
        <f>Ventas[[#This Row],[Total bruto (antes de descuento)]]-Ventas[[#This Row],[total_venta]]</f>
        <v>0</v>
      </c>
    </row>
    <row r="409" spans="1:18" x14ac:dyDescent="0.25">
      <c r="A409" t="s">
        <v>502</v>
      </c>
      <c r="B409" s="1">
        <v>45032</v>
      </c>
      <c r="C409" t="s">
        <v>130</v>
      </c>
      <c r="D409" t="s">
        <v>43</v>
      </c>
      <c r="E409">
        <v>5</v>
      </c>
      <c r="F409" s="2">
        <v>24.99</v>
      </c>
      <c r="G409">
        <v>15</v>
      </c>
      <c r="H409" s="2">
        <v>21.24</v>
      </c>
      <c r="I409" s="2">
        <v>106.2</v>
      </c>
      <c r="J409" t="s">
        <v>51</v>
      </c>
      <c r="K409" t="s">
        <v>44</v>
      </c>
      <c r="L409" t="s">
        <v>21</v>
      </c>
      <c r="M409" t="s">
        <v>22</v>
      </c>
      <c r="N409" t="s">
        <v>23</v>
      </c>
      <c r="O409" t="s">
        <v>24</v>
      </c>
      <c r="Q409" s="2">
        <f>Ventas[[#This Row],[precio_base]]*Ventas[[#This Row],[cantidad]]</f>
        <v>124.94999999999999</v>
      </c>
      <c r="R409" s="2">
        <f>Ventas[[#This Row],[Total bruto (antes de descuento)]]-Ventas[[#This Row],[total_venta]]</f>
        <v>18.749999999999986</v>
      </c>
    </row>
    <row r="410" spans="1:18" x14ac:dyDescent="0.25">
      <c r="A410" t="s">
        <v>503</v>
      </c>
      <c r="B410" s="1">
        <v>44939</v>
      </c>
      <c r="C410" t="s">
        <v>163</v>
      </c>
      <c r="D410" t="s">
        <v>18</v>
      </c>
      <c r="E410">
        <v>1</v>
      </c>
      <c r="F410" s="2">
        <v>499.99</v>
      </c>
      <c r="G410">
        <v>5</v>
      </c>
      <c r="H410" s="2">
        <v>474.99</v>
      </c>
      <c r="I410" s="2">
        <v>474.99</v>
      </c>
      <c r="J410" t="s">
        <v>19</v>
      </c>
      <c r="K410" t="s">
        <v>20</v>
      </c>
      <c r="L410" t="s">
        <v>152</v>
      </c>
      <c r="M410" t="s">
        <v>53</v>
      </c>
      <c r="N410" t="s">
        <v>54</v>
      </c>
      <c r="O410" t="s">
        <v>35</v>
      </c>
      <c r="P410">
        <v>1</v>
      </c>
      <c r="Q410" s="2">
        <f>Ventas[[#This Row],[precio_base]]*Ventas[[#This Row],[cantidad]]</f>
        <v>499.99</v>
      </c>
      <c r="R410" s="2">
        <f>Ventas[[#This Row],[Total bruto (antes de descuento)]]-Ventas[[#This Row],[total_venta]]</f>
        <v>25</v>
      </c>
    </row>
    <row r="411" spans="1:18" x14ac:dyDescent="0.25">
      <c r="A411" t="s">
        <v>504</v>
      </c>
      <c r="B411" s="1">
        <v>45493</v>
      </c>
      <c r="C411" t="s">
        <v>70</v>
      </c>
      <c r="D411" t="s">
        <v>31</v>
      </c>
      <c r="E411">
        <v>4</v>
      </c>
      <c r="F411" s="2">
        <v>59.99</v>
      </c>
      <c r="G411">
        <v>0</v>
      </c>
      <c r="H411" s="2">
        <v>59.99</v>
      </c>
      <c r="I411" s="2">
        <v>239.96</v>
      </c>
      <c r="J411" t="s">
        <v>19</v>
      </c>
      <c r="K411" t="s">
        <v>52</v>
      </c>
      <c r="L411" t="s">
        <v>21</v>
      </c>
      <c r="M411" t="s">
        <v>120</v>
      </c>
      <c r="N411" t="s">
        <v>23</v>
      </c>
      <c r="O411" t="s">
        <v>24</v>
      </c>
      <c r="P411">
        <v>1</v>
      </c>
      <c r="Q411" s="2">
        <f>Ventas[[#This Row],[precio_base]]*Ventas[[#This Row],[cantidad]]</f>
        <v>239.96</v>
      </c>
      <c r="R411" s="2">
        <f>Ventas[[#This Row],[Total bruto (antes de descuento)]]-Ventas[[#This Row],[total_venta]]</f>
        <v>0</v>
      </c>
    </row>
    <row r="412" spans="1:18" x14ac:dyDescent="0.25">
      <c r="A412" t="s">
        <v>505</v>
      </c>
      <c r="B412" s="1">
        <v>45512</v>
      </c>
      <c r="C412" t="s">
        <v>89</v>
      </c>
      <c r="D412" t="s">
        <v>38</v>
      </c>
      <c r="E412">
        <v>1</v>
      </c>
      <c r="F412" s="2">
        <v>69.989999999999995</v>
      </c>
      <c r="G412">
        <v>10</v>
      </c>
      <c r="H412" s="2">
        <v>62.99</v>
      </c>
      <c r="I412" s="2">
        <v>62.99</v>
      </c>
      <c r="J412" t="s">
        <v>51</v>
      </c>
      <c r="K412" t="s">
        <v>20</v>
      </c>
      <c r="L412" t="s">
        <v>32</v>
      </c>
      <c r="M412" t="s">
        <v>46</v>
      </c>
      <c r="N412" t="s">
        <v>47</v>
      </c>
      <c r="O412" t="s">
        <v>48</v>
      </c>
      <c r="Q412" s="2">
        <f>Ventas[[#This Row],[precio_base]]*Ventas[[#This Row],[cantidad]]</f>
        <v>69.989999999999995</v>
      </c>
      <c r="R412" s="2">
        <f>Ventas[[#This Row],[Total bruto (antes de descuento)]]-Ventas[[#This Row],[total_venta]]</f>
        <v>6.9999999999999929</v>
      </c>
    </row>
    <row r="413" spans="1:18" x14ac:dyDescent="0.25">
      <c r="A413" t="s">
        <v>506</v>
      </c>
      <c r="B413" s="1">
        <v>44974</v>
      </c>
      <c r="C413" t="s">
        <v>109</v>
      </c>
      <c r="D413" t="s">
        <v>38</v>
      </c>
      <c r="E413">
        <v>1</v>
      </c>
      <c r="F413" s="2">
        <v>39.99</v>
      </c>
      <c r="G413">
        <v>5</v>
      </c>
      <c r="H413" s="2">
        <v>37.99</v>
      </c>
      <c r="I413" s="2">
        <v>37.99</v>
      </c>
      <c r="J413" t="s">
        <v>62</v>
      </c>
      <c r="K413" t="s">
        <v>52</v>
      </c>
      <c r="L413" t="s">
        <v>21</v>
      </c>
      <c r="M413" t="s">
        <v>39</v>
      </c>
      <c r="N413" t="s">
        <v>40</v>
      </c>
      <c r="O413" t="s">
        <v>35</v>
      </c>
      <c r="Q413" s="2">
        <f>Ventas[[#This Row],[precio_base]]*Ventas[[#This Row],[cantidad]]</f>
        <v>39.99</v>
      </c>
      <c r="R413" s="2">
        <f>Ventas[[#This Row],[Total bruto (antes de descuento)]]-Ventas[[#This Row],[total_venta]]</f>
        <v>2</v>
      </c>
    </row>
    <row r="414" spans="1:18" x14ac:dyDescent="0.25">
      <c r="A414" t="s">
        <v>507</v>
      </c>
      <c r="B414" s="1">
        <v>45493</v>
      </c>
      <c r="C414" t="s">
        <v>151</v>
      </c>
      <c r="D414" t="s">
        <v>27</v>
      </c>
      <c r="E414">
        <v>1</v>
      </c>
      <c r="F414" s="2">
        <v>599.99</v>
      </c>
      <c r="G414">
        <v>0</v>
      </c>
      <c r="H414" s="2">
        <v>599.99</v>
      </c>
      <c r="I414" s="2">
        <v>599.99</v>
      </c>
      <c r="J414" t="s">
        <v>19</v>
      </c>
      <c r="K414" t="s">
        <v>52</v>
      </c>
      <c r="L414" t="s">
        <v>28</v>
      </c>
      <c r="M414" t="s">
        <v>33</v>
      </c>
      <c r="N414" t="s">
        <v>34</v>
      </c>
      <c r="O414" t="s">
        <v>35</v>
      </c>
      <c r="P414">
        <v>2</v>
      </c>
      <c r="Q414" s="2">
        <f>Ventas[[#This Row],[precio_base]]*Ventas[[#This Row],[cantidad]]</f>
        <v>599.99</v>
      </c>
      <c r="R414" s="2">
        <f>Ventas[[#This Row],[Total bruto (antes de descuento)]]-Ventas[[#This Row],[total_venta]]</f>
        <v>0</v>
      </c>
    </row>
    <row r="415" spans="1:18" x14ac:dyDescent="0.25">
      <c r="A415" t="s">
        <v>508</v>
      </c>
      <c r="B415" s="1">
        <v>45402</v>
      </c>
      <c r="C415" t="s">
        <v>89</v>
      </c>
      <c r="D415" t="s">
        <v>38</v>
      </c>
      <c r="E415">
        <v>5</v>
      </c>
      <c r="F415" s="2">
        <v>69.989999999999995</v>
      </c>
      <c r="G415">
        <v>5</v>
      </c>
      <c r="H415" s="2">
        <v>66.489999999999995</v>
      </c>
      <c r="I415" s="2">
        <v>332.45</v>
      </c>
      <c r="J415" t="s">
        <v>116</v>
      </c>
      <c r="K415" t="s">
        <v>20</v>
      </c>
      <c r="L415" t="s">
        <v>152</v>
      </c>
      <c r="M415" t="s">
        <v>39</v>
      </c>
      <c r="N415" t="s">
        <v>40</v>
      </c>
      <c r="O415" t="s">
        <v>35</v>
      </c>
      <c r="Q415" s="2">
        <f>Ventas[[#This Row],[precio_base]]*Ventas[[#This Row],[cantidad]]</f>
        <v>349.95</v>
      </c>
      <c r="R415" s="2">
        <f>Ventas[[#This Row],[Total bruto (antes de descuento)]]-Ventas[[#This Row],[total_venta]]</f>
        <v>17.5</v>
      </c>
    </row>
    <row r="416" spans="1:18" x14ac:dyDescent="0.25">
      <c r="A416" t="s">
        <v>509</v>
      </c>
      <c r="B416" s="1">
        <v>45178</v>
      </c>
      <c r="C416" t="s">
        <v>78</v>
      </c>
      <c r="D416" t="s">
        <v>18</v>
      </c>
      <c r="E416">
        <v>1</v>
      </c>
      <c r="F416" s="2">
        <v>349.99</v>
      </c>
      <c r="G416">
        <v>5</v>
      </c>
      <c r="H416" s="2">
        <v>332.49</v>
      </c>
      <c r="I416" s="2">
        <v>332.49</v>
      </c>
      <c r="J416" t="s">
        <v>19</v>
      </c>
      <c r="K416" t="s">
        <v>20</v>
      </c>
      <c r="L416" t="s">
        <v>32</v>
      </c>
      <c r="M416" t="s">
        <v>65</v>
      </c>
      <c r="N416" t="s">
        <v>54</v>
      </c>
      <c r="O416" t="s">
        <v>35</v>
      </c>
      <c r="P416">
        <v>1</v>
      </c>
      <c r="Q416" s="2">
        <f>Ventas[[#This Row],[precio_base]]*Ventas[[#This Row],[cantidad]]</f>
        <v>349.99</v>
      </c>
      <c r="R416" s="2">
        <f>Ventas[[#This Row],[Total bruto (antes de descuento)]]-Ventas[[#This Row],[total_venta]]</f>
        <v>17.5</v>
      </c>
    </row>
    <row r="417" spans="1:18" x14ac:dyDescent="0.25">
      <c r="A417" t="s">
        <v>510</v>
      </c>
      <c r="B417" s="1">
        <v>45270</v>
      </c>
      <c r="C417" t="s">
        <v>104</v>
      </c>
      <c r="D417" t="s">
        <v>18</v>
      </c>
      <c r="E417">
        <v>4</v>
      </c>
      <c r="F417" s="2">
        <v>1199.99</v>
      </c>
      <c r="G417">
        <v>20</v>
      </c>
      <c r="H417" s="2">
        <v>959.99</v>
      </c>
      <c r="I417" s="2">
        <v>3839.96</v>
      </c>
      <c r="J417" t="s">
        <v>51</v>
      </c>
      <c r="K417" t="s">
        <v>20</v>
      </c>
      <c r="L417" t="s">
        <v>45</v>
      </c>
      <c r="M417" t="s">
        <v>58</v>
      </c>
      <c r="N417" t="s">
        <v>59</v>
      </c>
      <c r="O417" t="s">
        <v>24</v>
      </c>
      <c r="Q417" s="2">
        <f>Ventas[[#This Row],[precio_base]]*Ventas[[#This Row],[cantidad]]</f>
        <v>4799.96</v>
      </c>
      <c r="R417" s="2">
        <f>Ventas[[#This Row],[Total bruto (antes de descuento)]]-Ventas[[#This Row],[total_venta]]</f>
        <v>960</v>
      </c>
    </row>
    <row r="418" spans="1:18" x14ac:dyDescent="0.25">
      <c r="A418" t="s">
        <v>511</v>
      </c>
      <c r="B418" s="1">
        <v>45170</v>
      </c>
      <c r="C418" t="s">
        <v>37</v>
      </c>
      <c r="D418" t="s">
        <v>38</v>
      </c>
      <c r="E418">
        <v>4</v>
      </c>
      <c r="F418" s="2">
        <v>34.99</v>
      </c>
      <c r="G418">
        <v>0</v>
      </c>
      <c r="H418" s="2">
        <v>34.99</v>
      </c>
      <c r="I418" s="2">
        <v>139.96</v>
      </c>
      <c r="J418" t="s">
        <v>116</v>
      </c>
      <c r="K418" t="s">
        <v>44</v>
      </c>
      <c r="L418" t="s">
        <v>21</v>
      </c>
      <c r="M418" t="s">
        <v>63</v>
      </c>
      <c r="N418" t="s">
        <v>34</v>
      </c>
      <c r="O418" t="s">
        <v>24</v>
      </c>
      <c r="Q418" s="2">
        <f>Ventas[[#This Row],[precio_base]]*Ventas[[#This Row],[cantidad]]</f>
        <v>139.96</v>
      </c>
      <c r="R418" s="2">
        <f>Ventas[[#This Row],[Total bruto (antes de descuento)]]-Ventas[[#This Row],[total_venta]]</f>
        <v>0</v>
      </c>
    </row>
    <row r="419" spans="1:18" x14ac:dyDescent="0.25">
      <c r="A419" t="s">
        <v>512</v>
      </c>
      <c r="B419" s="1">
        <v>45164</v>
      </c>
      <c r="C419" t="s">
        <v>130</v>
      </c>
      <c r="D419" t="s">
        <v>43</v>
      </c>
      <c r="E419">
        <v>5</v>
      </c>
      <c r="F419" s="2">
        <v>24.99</v>
      </c>
      <c r="G419">
        <v>5</v>
      </c>
      <c r="H419" s="2">
        <v>23.74</v>
      </c>
      <c r="I419" s="2">
        <v>118.7</v>
      </c>
      <c r="J419" t="s">
        <v>51</v>
      </c>
      <c r="K419" t="s">
        <v>44</v>
      </c>
      <c r="L419" t="s">
        <v>28</v>
      </c>
      <c r="M419" t="s">
        <v>123</v>
      </c>
      <c r="N419" t="s">
        <v>124</v>
      </c>
      <c r="O419" t="s">
        <v>24</v>
      </c>
      <c r="Q419" s="2">
        <f>Ventas[[#This Row],[precio_base]]*Ventas[[#This Row],[cantidad]]</f>
        <v>124.94999999999999</v>
      </c>
      <c r="R419" s="2">
        <f>Ventas[[#This Row],[Total bruto (antes de descuento)]]-Ventas[[#This Row],[total_venta]]</f>
        <v>6.2499999999999858</v>
      </c>
    </row>
    <row r="420" spans="1:18" x14ac:dyDescent="0.25">
      <c r="A420" t="s">
        <v>513</v>
      </c>
      <c r="B420" s="1">
        <v>45521</v>
      </c>
      <c r="C420" t="s">
        <v>17</v>
      </c>
      <c r="D420" t="s">
        <v>18</v>
      </c>
      <c r="E420">
        <v>5</v>
      </c>
      <c r="F420" s="2">
        <v>45.99</v>
      </c>
      <c r="G420">
        <v>0</v>
      </c>
      <c r="H420" s="2">
        <v>45.99</v>
      </c>
      <c r="I420" s="2">
        <v>229.95</v>
      </c>
      <c r="J420" t="s">
        <v>51</v>
      </c>
      <c r="K420" t="s">
        <v>20</v>
      </c>
      <c r="L420" t="s">
        <v>45</v>
      </c>
      <c r="M420" t="s">
        <v>120</v>
      </c>
      <c r="N420" t="s">
        <v>23</v>
      </c>
      <c r="O420" t="s">
        <v>24</v>
      </c>
      <c r="Q420" s="2">
        <f>Ventas[[#This Row],[precio_base]]*Ventas[[#This Row],[cantidad]]</f>
        <v>229.95000000000002</v>
      </c>
      <c r="R420" s="2">
        <f>Ventas[[#This Row],[Total bruto (antes de descuento)]]-Ventas[[#This Row],[total_venta]]</f>
        <v>0</v>
      </c>
    </row>
    <row r="421" spans="1:18" x14ac:dyDescent="0.25">
      <c r="A421" t="s">
        <v>514</v>
      </c>
      <c r="B421" s="1">
        <v>45372</v>
      </c>
      <c r="C421" t="s">
        <v>81</v>
      </c>
      <c r="D421" t="s">
        <v>31</v>
      </c>
      <c r="E421">
        <v>2</v>
      </c>
      <c r="F421" s="2">
        <v>189.99</v>
      </c>
      <c r="G421">
        <v>0</v>
      </c>
      <c r="H421" s="2">
        <v>189.99</v>
      </c>
      <c r="I421" s="2">
        <v>379.98</v>
      </c>
      <c r="J421" t="s">
        <v>19</v>
      </c>
      <c r="K421" t="s">
        <v>20</v>
      </c>
      <c r="L421" t="s">
        <v>32</v>
      </c>
      <c r="M421" t="s">
        <v>67</v>
      </c>
      <c r="N421" t="s">
        <v>68</v>
      </c>
      <c r="O421" t="s">
        <v>35</v>
      </c>
      <c r="P421">
        <v>3</v>
      </c>
      <c r="Q421" s="2">
        <f>Ventas[[#This Row],[precio_base]]*Ventas[[#This Row],[cantidad]]</f>
        <v>379.98</v>
      </c>
      <c r="R421" s="2">
        <f>Ventas[[#This Row],[Total bruto (antes de descuento)]]-Ventas[[#This Row],[total_venta]]</f>
        <v>0</v>
      </c>
    </row>
    <row r="422" spans="1:18" x14ac:dyDescent="0.25">
      <c r="A422" t="s">
        <v>515</v>
      </c>
      <c r="B422" s="1">
        <v>45252</v>
      </c>
      <c r="C422" t="s">
        <v>151</v>
      </c>
      <c r="D422" t="s">
        <v>27</v>
      </c>
      <c r="E422">
        <v>3</v>
      </c>
      <c r="F422" s="2">
        <v>599.99</v>
      </c>
      <c r="G422">
        <v>0</v>
      </c>
      <c r="H422" s="2">
        <v>599.99</v>
      </c>
      <c r="I422" s="2">
        <v>1799.97</v>
      </c>
      <c r="J422" t="s">
        <v>19</v>
      </c>
      <c r="K422" t="s">
        <v>20</v>
      </c>
      <c r="L422" t="s">
        <v>28</v>
      </c>
      <c r="M422" t="s">
        <v>22</v>
      </c>
      <c r="N422" t="s">
        <v>23</v>
      </c>
      <c r="O422" t="s">
        <v>24</v>
      </c>
      <c r="P422">
        <v>1</v>
      </c>
      <c r="Q422" s="2">
        <f>Ventas[[#This Row],[precio_base]]*Ventas[[#This Row],[cantidad]]</f>
        <v>1799.97</v>
      </c>
      <c r="R422" s="2">
        <f>Ventas[[#This Row],[Total bruto (antes de descuento)]]-Ventas[[#This Row],[total_venta]]</f>
        <v>0</v>
      </c>
    </row>
    <row r="423" spans="1:18" x14ac:dyDescent="0.25">
      <c r="A423" t="s">
        <v>516</v>
      </c>
      <c r="B423" s="1">
        <v>45086</v>
      </c>
      <c r="C423" t="s">
        <v>17</v>
      </c>
      <c r="D423" t="s">
        <v>18</v>
      </c>
      <c r="E423">
        <v>2</v>
      </c>
      <c r="F423" s="2">
        <v>45.99</v>
      </c>
      <c r="G423">
        <v>5</v>
      </c>
      <c r="H423" s="2">
        <v>43.69</v>
      </c>
      <c r="I423" s="2">
        <v>87.38</v>
      </c>
      <c r="J423" t="s">
        <v>19</v>
      </c>
      <c r="K423" t="s">
        <v>20</v>
      </c>
      <c r="L423" t="s">
        <v>45</v>
      </c>
      <c r="M423" t="s">
        <v>120</v>
      </c>
      <c r="N423" t="s">
        <v>23</v>
      </c>
      <c r="O423" t="s">
        <v>24</v>
      </c>
      <c r="P423">
        <v>2</v>
      </c>
      <c r="Q423" s="2">
        <f>Ventas[[#This Row],[precio_base]]*Ventas[[#This Row],[cantidad]]</f>
        <v>91.98</v>
      </c>
      <c r="R423" s="2">
        <f>Ventas[[#This Row],[Total bruto (antes de descuento)]]-Ventas[[#This Row],[total_venta]]</f>
        <v>4.6000000000000085</v>
      </c>
    </row>
    <row r="424" spans="1:18" x14ac:dyDescent="0.25">
      <c r="A424" t="s">
        <v>517</v>
      </c>
      <c r="B424" s="1">
        <v>45389</v>
      </c>
      <c r="C424" t="s">
        <v>83</v>
      </c>
      <c r="D424" t="s">
        <v>38</v>
      </c>
      <c r="E424">
        <v>4</v>
      </c>
      <c r="F424" s="2">
        <v>49.99</v>
      </c>
      <c r="G424">
        <v>0</v>
      </c>
      <c r="H424" s="2">
        <v>49.99</v>
      </c>
      <c r="I424" s="2">
        <v>199.96</v>
      </c>
      <c r="J424" t="s">
        <v>62</v>
      </c>
      <c r="K424" t="s">
        <v>20</v>
      </c>
      <c r="L424" t="s">
        <v>28</v>
      </c>
      <c r="M424" t="s">
        <v>95</v>
      </c>
      <c r="N424" t="s">
        <v>96</v>
      </c>
      <c r="O424" t="s">
        <v>48</v>
      </c>
      <c r="Q424" s="2">
        <f>Ventas[[#This Row],[precio_base]]*Ventas[[#This Row],[cantidad]]</f>
        <v>199.96</v>
      </c>
      <c r="R424" s="2">
        <f>Ventas[[#This Row],[Total bruto (antes de descuento)]]-Ventas[[#This Row],[total_venta]]</f>
        <v>0</v>
      </c>
    </row>
    <row r="425" spans="1:18" x14ac:dyDescent="0.25">
      <c r="A425" t="s">
        <v>518</v>
      </c>
      <c r="B425" s="1">
        <v>45648</v>
      </c>
      <c r="C425" t="s">
        <v>30</v>
      </c>
      <c r="D425" t="s">
        <v>31</v>
      </c>
      <c r="E425">
        <v>5</v>
      </c>
      <c r="F425" s="2">
        <v>299.99</v>
      </c>
      <c r="G425">
        <v>0</v>
      </c>
      <c r="H425" s="2">
        <v>299.99</v>
      </c>
      <c r="I425" s="2">
        <v>1499.95</v>
      </c>
      <c r="J425" t="s">
        <v>19</v>
      </c>
      <c r="K425" t="s">
        <v>20</v>
      </c>
      <c r="L425" t="s">
        <v>21</v>
      </c>
      <c r="M425" t="s">
        <v>67</v>
      </c>
      <c r="N425" t="s">
        <v>68</v>
      </c>
      <c r="O425" t="s">
        <v>35</v>
      </c>
      <c r="P425">
        <v>2</v>
      </c>
      <c r="Q425" s="2">
        <f>Ventas[[#This Row],[precio_base]]*Ventas[[#This Row],[cantidad]]</f>
        <v>1499.95</v>
      </c>
      <c r="R425" s="2">
        <f>Ventas[[#This Row],[Total bruto (antes de descuento)]]-Ventas[[#This Row],[total_venta]]</f>
        <v>0</v>
      </c>
    </row>
    <row r="426" spans="1:18" x14ac:dyDescent="0.25">
      <c r="A426" t="s">
        <v>519</v>
      </c>
      <c r="B426" s="1">
        <v>45291</v>
      </c>
      <c r="C426" t="s">
        <v>109</v>
      </c>
      <c r="D426" t="s">
        <v>38</v>
      </c>
      <c r="E426">
        <v>5</v>
      </c>
      <c r="F426" s="2">
        <v>39.99</v>
      </c>
      <c r="G426">
        <v>0</v>
      </c>
      <c r="H426" s="2">
        <v>39.99</v>
      </c>
      <c r="I426" s="2">
        <v>199.95</v>
      </c>
      <c r="J426" t="s">
        <v>51</v>
      </c>
      <c r="K426" t="s">
        <v>52</v>
      </c>
      <c r="L426" t="s">
        <v>21</v>
      </c>
      <c r="M426" t="s">
        <v>58</v>
      </c>
      <c r="N426" t="s">
        <v>59</v>
      </c>
      <c r="O426" t="s">
        <v>24</v>
      </c>
      <c r="Q426" s="2">
        <f>Ventas[[#This Row],[precio_base]]*Ventas[[#This Row],[cantidad]]</f>
        <v>199.95000000000002</v>
      </c>
      <c r="R426" s="2">
        <f>Ventas[[#This Row],[Total bruto (antes de descuento)]]-Ventas[[#This Row],[total_venta]]</f>
        <v>0</v>
      </c>
    </row>
    <row r="427" spans="1:18" x14ac:dyDescent="0.25">
      <c r="A427" t="s">
        <v>520</v>
      </c>
      <c r="B427" s="1">
        <v>45341</v>
      </c>
      <c r="C427" t="s">
        <v>42</v>
      </c>
      <c r="D427" t="s">
        <v>43</v>
      </c>
      <c r="E427">
        <v>4</v>
      </c>
      <c r="F427" s="2">
        <v>349.99</v>
      </c>
      <c r="G427">
        <v>10</v>
      </c>
      <c r="H427" s="2">
        <v>314.99</v>
      </c>
      <c r="I427" s="2">
        <v>1259.96</v>
      </c>
      <c r="J427" t="s">
        <v>51</v>
      </c>
      <c r="K427" t="s">
        <v>20</v>
      </c>
      <c r="L427" t="s">
        <v>21</v>
      </c>
      <c r="M427" t="s">
        <v>22</v>
      </c>
      <c r="N427" t="s">
        <v>23</v>
      </c>
      <c r="O427" t="s">
        <v>24</v>
      </c>
      <c r="Q427" s="2">
        <f>Ventas[[#This Row],[precio_base]]*Ventas[[#This Row],[cantidad]]</f>
        <v>1399.96</v>
      </c>
      <c r="R427" s="2">
        <f>Ventas[[#This Row],[Total bruto (antes de descuento)]]-Ventas[[#This Row],[total_venta]]</f>
        <v>140</v>
      </c>
    </row>
    <row r="428" spans="1:18" x14ac:dyDescent="0.25">
      <c r="A428" t="s">
        <v>521</v>
      </c>
      <c r="B428" s="1">
        <v>45070</v>
      </c>
      <c r="C428" t="s">
        <v>17</v>
      </c>
      <c r="D428" t="s">
        <v>18</v>
      </c>
      <c r="E428">
        <v>1</v>
      </c>
      <c r="F428" s="2">
        <v>45.99</v>
      </c>
      <c r="G428">
        <v>0</v>
      </c>
      <c r="H428" s="2">
        <v>45.99</v>
      </c>
      <c r="I428" s="2">
        <v>45.99</v>
      </c>
      <c r="J428" t="s">
        <v>62</v>
      </c>
      <c r="K428" t="s">
        <v>20</v>
      </c>
      <c r="L428" t="s">
        <v>32</v>
      </c>
      <c r="M428" t="s">
        <v>22</v>
      </c>
      <c r="N428" t="s">
        <v>23</v>
      </c>
      <c r="O428" t="s">
        <v>24</v>
      </c>
      <c r="Q428" s="2">
        <f>Ventas[[#This Row],[precio_base]]*Ventas[[#This Row],[cantidad]]</f>
        <v>45.99</v>
      </c>
      <c r="R428" s="2">
        <f>Ventas[[#This Row],[Total bruto (antes de descuento)]]-Ventas[[#This Row],[total_venta]]</f>
        <v>0</v>
      </c>
    </row>
    <row r="429" spans="1:18" x14ac:dyDescent="0.25">
      <c r="A429" t="s">
        <v>522</v>
      </c>
      <c r="B429" s="1">
        <v>45308</v>
      </c>
      <c r="C429" t="s">
        <v>81</v>
      </c>
      <c r="D429" t="s">
        <v>31</v>
      </c>
      <c r="E429">
        <v>1</v>
      </c>
      <c r="F429" s="2">
        <v>189.99</v>
      </c>
      <c r="G429">
        <v>10</v>
      </c>
      <c r="H429" s="2">
        <v>170.99</v>
      </c>
      <c r="I429" s="2">
        <v>170.99</v>
      </c>
      <c r="J429" t="s">
        <v>19</v>
      </c>
      <c r="K429" t="s">
        <v>52</v>
      </c>
      <c r="L429" t="s">
        <v>21</v>
      </c>
      <c r="M429" t="s">
        <v>53</v>
      </c>
      <c r="N429" t="s">
        <v>54</v>
      </c>
      <c r="O429" t="s">
        <v>35</v>
      </c>
      <c r="P429">
        <v>1</v>
      </c>
      <c r="Q429" s="2">
        <f>Ventas[[#This Row],[precio_base]]*Ventas[[#This Row],[cantidad]]</f>
        <v>189.99</v>
      </c>
      <c r="R429" s="2">
        <f>Ventas[[#This Row],[Total bruto (antes de descuento)]]-Ventas[[#This Row],[total_venta]]</f>
        <v>19</v>
      </c>
    </row>
    <row r="430" spans="1:18" x14ac:dyDescent="0.25">
      <c r="A430" t="s">
        <v>523</v>
      </c>
      <c r="B430" s="1">
        <v>45129</v>
      </c>
      <c r="C430" t="s">
        <v>130</v>
      </c>
      <c r="D430" t="s">
        <v>43</v>
      </c>
      <c r="E430">
        <v>4</v>
      </c>
      <c r="F430" s="2">
        <v>24.99</v>
      </c>
      <c r="G430">
        <v>20</v>
      </c>
      <c r="H430" s="2">
        <v>19.989999999999998</v>
      </c>
      <c r="I430" s="2">
        <v>79.959999999999994</v>
      </c>
      <c r="J430" t="s">
        <v>19</v>
      </c>
      <c r="K430" t="s">
        <v>52</v>
      </c>
      <c r="L430" t="s">
        <v>32</v>
      </c>
      <c r="M430" t="s">
        <v>53</v>
      </c>
      <c r="N430" t="s">
        <v>54</v>
      </c>
      <c r="O430" t="s">
        <v>35</v>
      </c>
      <c r="P430">
        <v>1</v>
      </c>
      <c r="Q430" s="2">
        <f>Ventas[[#This Row],[precio_base]]*Ventas[[#This Row],[cantidad]]</f>
        <v>99.96</v>
      </c>
      <c r="R430" s="2">
        <f>Ventas[[#This Row],[Total bruto (antes de descuento)]]-Ventas[[#This Row],[total_venta]]</f>
        <v>20</v>
      </c>
    </row>
    <row r="431" spans="1:18" x14ac:dyDescent="0.25">
      <c r="A431" t="s">
        <v>524</v>
      </c>
      <c r="B431" s="1">
        <v>44970</v>
      </c>
      <c r="C431" t="s">
        <v>151</v>
      </c>
      <c r="D431" t="s">
        <v>27</v>
      </c>
      <c r="E431">
        <v>1</v>
      </c>
      <c r="F431" s="2">
        <v>599.99</v>
      </c>
      <c r="G431">
        <v>0</v>
      </c>
      <c r="H431" s="2">
        <v>599.99</v>
      </c>
      <c r="I431" s="2">
        <v>599.99</v>
      </c>
      <c r="J431" t="s">
        <v>90</v>
      </c>
      <c r="K431" t="s">
        <v>52</v>
      </c>
      <c r="L431" t="s">
        <v>45</v>
      </c>
      <c r="M431" t="s">
        <v>120</v>
      </c>
      <c r="N431" t="s">
        <v>23</v>
      </c>
      <c r="O431" t="s">
        <v>24</v>
      </c>
      <c r="Q431" s="2">
        <f>Ventas[[#This Row],[precio_base]]*Ventas[[#This Row],[cantidad]]</f>
        <v>599.99</v>
      </c>
      <c r="R431" s="2">
        <f>Ventas[[#This Row],[Total bruto (antes de descuento)]]-Ventas[[#This Row],[total_venta]]</f>
        <v>0</v>
      </c>
    </row>
    <row r="432" spans="1:18" x14ac:dyDescent="0.25">
      <c r="A432" t="s">
        <v>525</v>
      </c>
      <c r="B432" s="1">
        <v>44957</v>
      </c>
      <c r="C432" t="s">
        <v>109</v>
      </c>
      <c r="D432" t="s">
        <v>38</v>
      </c>
      <c r="E432">
        <v>4</v>
      </c>
      <c r="F432" s="2">
        <v>39.99</v>
      </c>
      <c r="G432">
        <v>0</v>
      </c>
      <c r="H432" s="2">
        <v>39.99</v>
      </c>
      <c r="I432" s="2">
        <v>159.96</v>
      </c>
      <c r="J432" t="s">
        <v>19</v>
      </c>
      <c r="K432" t="s">
        <v>20</v>
      </c>
      <c r="L432" t="s">
        <v>21</v>
      </c>
      <c r="M432" t="s">
        <v>53</v>
      </c>
      <c r="N432" t="s">
        <v>54</v>
      </c>
      <c r="O432" t="s">
        <v>35</v>
      </c>
      <c r="P432">
        <v>2</v>
      </c>
      <c r="Q432" s="2">
        <f>Ventas[[#This Row],[precio_base]]*Ventas[[#This Row],[cantidad]]</f>
        <v>159.96</v>
      </c>
      <c r="R432" s="2">
        <f>Ventas[[#This Row],[Total bruto (antes de descuento)]]-Ventas[[#This Row],[total_venta]]</f>
        <v>0</v>
      </c>
    </row>
    <row r="433" spans="1:18" x14ac:dyDescent="0.25">
      <c r="A433" t="s">
        <v>526</v>
      </c>
      <c r="B433" s="1">
        <v>44962</v>
      </c>
      <c r="C433" t="s">
        <v>156</v>
      </c>
      <c r="D433" t="s">
        <v>27</v>
      </c>
      <c r="E433">
        <v>5</v>
      </c>
      <c r="F433" s="2">
        <v>49.99</v>
      </c>
      <c r="G433">
        <v>10</v>
      </c>
      <c r="H433" s="2">
        <v>44.99</v>
      </c>
      <c r="I433" s="2">
        <v>224.95</v>
      </c>
      <c r="J433" t="s">
        <v>19</v>
      </c>
      <c r="K433" t="s">
        <v>44</v>
      </c>
      <c r="L433" t="s">
        <v>32</v>
      </c>
      <c r="M433" t="s">
        <v>58</v>
      </c>
      <c r="N433" t="s">
        <v>59</v>
      </c>
      <c r="O433" t="s">
        <v>24</v>
      </c>
      <c r="P433">
        <v>4</v>
      </c>
      <c r="Q433" s="2">
        <f>Ventas[[#This Row],[precio_base]]*Ventas[[#This Row],[cantidad]]</f>
        <v>249.95000000000002</v>
      </c>
      <c r="R433" s="2">
        <f>Ventas[[#This Row],[Total bruto (antes de descuento)]]-Ventas[[#This Row],[total_venta]]</f>
        <v>25.000000000000028</v>
      </c>
    </row>
    <row r="434" spans="1:18" x14ac:dyDescent="0.25">
      <c r="A434" t="s">
        <v>527</v>
      </c>
      <c r="B434" s="1">
        <v>44989</v>
      </c>
      <c r="C434" t="s">
        <v>56</v>
      </c>
      <c r="D434" t="s">
        <v>18</v>
      </c>
      <c r="E434">
        <v>3</v>
      </c>
      <c r="F434" s="2">
        <v>89.99</v>
      </c>
      <c r="G434">
        <v>5</v>
      </c>
      <c r="H434" s="2">
        <v>85.49</v>
      </c>
      <c r="I434" s="2">
        <v>256.47000000000003</v>
      </c>
      <c r="J434" t="s">
        <v>19</v>
      </c>
      <c r="K434" t="s">
        <v>44</v>
      </c>
      <c r="L434" t="s">
        <v>28</v>
      </c>
      <c r="M434" t="s">
        <v>22</v>
      </c>
      <c r="N434" t="s">
        <v>23</v>
      </c>
      <c r="O434" t="s">
        <v>24</v>
      </c>
      <c r="P434">
        <v>2</v>
      </c>
      <c r="Q434" s="2">
        <f>Ventas[[#This Row],[precio_base]]*Ventas[[#This Row],[cantidad]]</f>
        <v>269.96999999999997</v>
      </c>
      <c r="R434" s="2">
        <f>Ventas[[#This Row],[Total bruto (antes de descuento)]]-Ventas[[#This Row],[total_venta]]</f>
        <v>13.499999999999943</v>
      </c>
    </row>
    <row r="435" spans="1:18" x14ac:dyDescent="0.25">
      <c r="A435" t="s">
        <v>528</v>
      </c>
      <c r="B435" s="1">
        <v>45572</v>
      </c>
      <c r="C435" t="s">
        <v>70</v>
      </c>
      <c r="D435" t="s">
        <v>31</v>
      </c>
      <c r="E435">
        <v>5</v>
      </c>
      <c r="F435" s="2">
        <v>59.99</v>
      </c>
      <c r="G435">
        <v>20</v>
      </c>
      <c r="H435" s="2">
        <v>47.99</v>
      </c>
      <c r="I435" s="2">
        <v>239.95</v>
      </c>
      <c r="J435" t="s">
        <v>19</v>
      </c>
      <c r="K435" t="s">
        <v>52</v>
      </c>
      <c r="L435" t="s">
        <v>45</v>
      </c>
      <c r="M435" t="s">
        <v>120</v>
      </c>
      <c r="N435" t="s">
        <v>23</v>
      </c>
      <c r="O435" t="s">
        <v>24</v>
      </c>
      <c r="P435">
        <v>5</v>
      </c>
      <c r="Q435" s="2">
        <f>Ventas[[#This Row],[precio_base]]*Ventas[[#This Row],[cantidad]]</f>
        <v>299.95</v>
      </c>
      <c r="R435" s="2">
        <f>Ventas[[#This Row],[Total bruto (antes de descuento)]]-Ventas[[#This Row],[total_venta]]</f>
        <v>60</v>
      </c>
    </row>
    <row r="436" spans="1:18" x14ac:dyDescent="0.25">
      <c r="A436" t="s">
        <v>529</v>
      </c>
      <c r="B436" s="1">
        <v>45423</v>
      </c>
      <c r="C436" t="s">
        <v>89</v>
      </c>
      <c r="D436" t="s">
        <v>38</v>
      </c>
      <c r="E436">
        <v>5</v>
      </c>
      <c r="F436" s="2">
        <v>69.989999999999995</v>
      </c>
      <c r="G436">
        <v>10</v>
      </c>
      <c r="H436" s="2">
        <v>62.99</v>
      </c>
      <c r="I436" s="2">
        <v>314.95</v>
      </c>
      <c r="J436" t="s">
        <v>19</v>
      </c>
      <c r="K436" t="s">
        <v>20</v>
      </c>
      <c r="L436" t="s">
        <v>21</v>
      </c>
      <c r="M436" t="s">
        <v>58</v>
      </c>
      <c r="N436" t="s">
        <v>59</v>
      </c>
      <c r="O436" t="s">
        <v>24</v>
      </c>
      <c r="P436">
        <v>2</v>
      </c>
      <c r="Q436" s="2">
        <f>Ventas[[#This Row],[precio_base]]*Ventas[[#This Row],[cantidad]]</f>
        <v>349.95</v>
      </c>
      <c r="R436" s="2">
        <f>Ventas[[#This Row],[Total bruto (antes de descuento)]]-Ventas[[#This Row],[total_venta]]</f>
        <v>35</v>
      </c>
    </row>
    <row r="437" spans="1:18" x14ac:dyDescent="0.25">
      <c r="A437" t="s">
        <v>530</v>
      </c>
      <c r="B437" s="1">
        <v>44957</v>
      </c>
      <c r="C437" t="s">
        <v>130</v>
      </c>
      <c r="D437" t="s">
        <v>43</v>
      </c>
      <c r="E437">
        <v>3</v>
      </c>
      <c r="F437" s="2">
        <v>24.99</v>
      </c>
      <c r="G437">
        <v>0</v>
      </c>
      <c r="H437" s="2">
        <v>24.99</v>
      </c>
      <c r="I437" s="2">
        <v>74.97</v>
      </c>
      <c r="J437" t="s">
        <v>62</v>
      </c>
      <c r="K437" t="s">
        <v>44</v>
      </c>
      <c r="L437" t="s">
        <v>28</v>
      </c>
      <c r="M437" t="s">
        <v>101</v>
      </c>
      <c r="N437" t="s">
        <v>102</v>
      </c>
      <c r="O437" t="s">
        <v>35</v>
      </c>
      <c r="Q437" s="2">
        <f>Ventas[[#This Row],[precio_base]]*Ventas[[#This Row],[cantidad]]</f>
        <v>74.97</v>
      </c>
      <c r="R437" s="2">
        <f>Ventas[[#This Row],[Total bruto (antes de descuento)]]-Ventas[[#This Row],[total_venta]]</f>
        <v>0</v>
      </c>
    </row>
    <row r="438" spans="1:18" x14ac:dyDescent="0.25">
      <c r="A438" t="s">
        <v>531</v>
      </c>
      <c r="B438" s="1">
        <v>45165</v>
      </c>
      <c r="C438" t="s">
        <v>205</v>
      </c>
      <c r="D438" t="s">
        <v>18</v>
      </c>
      <c r="E438">
        <v>1</v>
      </c>
      <c r="F438" s="2">
        <v>129.99</v>
      </c>
      <c r="G438">
        <v>0</v>
      </c>
      <c r="H438" s="2">
        <v>129.99</v>
      </c>
      <c r="I438" s="2">
        <v>129.99</v>
      </c>
      <c r="J438" t="s">
        <v>51</v>
      </c>
      <c r="K438" t="s">
        <v>44</v>
      </c>
      <c r="L438" t="s">
        <v>28</v>
      </c>
      <c r="M438" t="s">
        <v>58</v>
      </c>
      <c r="N438" t="s">
        <v>59</v>
      </c>
      <c r="O438" t="s">
        <v>24</v>
      </c>
      <c r="Q438" s="2">
        <f>Ventas[[#This Row],[precio_base]]*Ventas[[#This Row],[cantidad]]</f>
        <v>129.99</v>
      </c>
      <c r="R438" s="2">
        <f>Ventas[[#This Row],[Total bruto (antes de descuento)]]-Ventas[[#This Row],[total_venta]]</f>
        <v>0</v>
      </c>
    </row>
    <row r="439" spans="1:18" x14ac:dyDescent="0.25">
      <c r="A439" t="s">
        <v>532</v>
      </c>
      <c r="B439" s="1">
        <v>44984</v>
      </c>
      <c r="C439" t="s">
        <v>98</v>
      </c>
      <c r="D439" t="s">
        <v>31</v>
      </c>
      <c r="E439">
        <v>2</v>
      </c>
      <c r="F439" s="2">
        <v>99.99</v>
      </c>
      <c r="G439">
        <v>10</v>
      </c>
      <c r="H439" s="2">
        <v>89.99</v>
      </c>
      <c r="I439" s="2">
        <v>179.98</v>
      </c>
      <c r="J439" t="s">
        <v>62</v>
      </c>
      <c r="K439" t="s">
        <v>20</v>
      </c>
      <c r="L439" t="s">
        <v>152</v>
      </c>
      <c r="M439" t="s">
        <v>39</v>
      </c>
      <c r="N439" t="s">
        <v>40</v>
      </c>
      <c r="O439" t="s">
        <v>35</v>
      </c>
      <c r="Q439" s="2">
        <f>Ventas[[#This Row],[precio_base]]*Ventas[[#This Row],[cantidad]]</f>
        <v>199.98</v>
      </c>
      <c r="R439" s="2">
        <f>Ventas[[#This Row],[Total bruto (antes de descuento)]]-Ventas[[#This Row],[total_venta]]</f>
        <v>20</v>
      </c>
    </row>
    <row r="440" spans="1:18" x14ac:dyDescent="0.25">
      <c r="A440" t="s">
        <v>533</v>
      </c>
      <c r="B440" s="1">
        <v>45104</v>
      </c>
      <c r="C440" t="s">
        <v>205</v>
      </c>
      <c r="D440" t="s">
        <v>18</v>
      </c>
      <c r="E440">
        <v>2</v>
      </c>
      <c r="F440" s="2">
        <v>129.99</v>
      </c>
      <c r="G440">
        <v>10</v>
      </c>
      <c r="H440" s="2">
        <v>116.99</v>
      </c>
      <c r="I440" s="2">
        <v>233.98</v>
      </c>
      <c r="J440" t="s">
        <v>19</v>
      </c>
      <c r="K440" t="s">
        <v>44</v>
      </c>
      <c r="L440" t="s">
        <v>152</v>
      </c>
      <c r="M440" t="s">
        <v>84</v>
      </c>
      <c r="N440" t="s">
        <v>85</v>
      </c>
      <c r="O440" t="s">
        <v>35</v>
      </c>
      <c r="P440">
        <v>1</v>
      </c>
      <c r="Q440" s="2">
        <f>Ventas[[#This Row],[precio_base]]*Ventas[[#This Row],[cantidad]]</f>
        <v>259.98</v>
      </c>
      <c r="R440" s="2">
        <f>Ventas[[#This Row],[Total bruto (antes de descuento)]]-Ventas[[#This Row],[total_venta]]</f>
        <v>26.000000000000028</v>
      </c>
    </row>
    <row r="441" spans="1:18" x14ac:dyDescent="0.25">
      <c r="A441" t="s">
        <v>534</v>
      </c>
      <c r="B441" s="1">
        <v>45647</v>
      </c>
      <c r="C441" t="s">
        <v>30</v>
      </c>
      <c r="D441" t="s">
        <v>31</v>
      </c>
      <c r="E441">
        <v>3</v>
      </c>
      <c r="F441" s="2">
        <v>299.99</v>
      </c>
      <c r="G441">
        <v>10</v>
      </c>
      <c r="H441" s="2">
        <v>269.99</v>
      </c>
      <c r="I441" s="2">
        <v>809.97</v>
      </c>
      <c r="J441" t="s">
        <v>19</v>
      </c>
      <c r="K441" t="s">
        <v>52</v>
      </c>
      <c r="L441" t="s">
        <v>32</v>
      </c>
      <c r="M441" t="s">
        <v>33</v>
      </c>
      <c r="N441" t="s">
        <v>34</v>
      </c>
      <c r="O441" t="s">
        <v>35</v>
      </c>
      <c r="P441">
        <v>4</v>
      </c>
      <c r="Q441" s="2">
        <f>Ventas[[#This Row],[precio_base]]*Ventas[[#This Row],[cantidad]]</f>
        <v>899.97</v>
      </c>
      <c r="R441" s="2">
        <f>Ventas[[#This Row],[Total bruto (antes de descuento)]]-Ventas[[#This Row],[total_venta]]</f>
        <v>90</v>
      </c>
    </row>
    <row r="442" spans="1:18" x14ac:dyDescent="0.25">
      <c r="A442" t="s">
        <v>535</v>
      </c>
      <c r="B442" s="1">
        <v>45482</v>
      </c>
      <c r="C442" t="s">
        <v>83</v>
      </c>
      <c r="D442" t="s">
        <v>38</v>
      </c>
      <c r="E442">
        <v>2</v>
      </c>
      <c r="F442" s="2">
        <v>49.99</v>
      </c>
      <c r="G442">
        <v>5</v>
      </c>
      <c r="H442" s="2">
        <v>47.49</v>
      </c>
      <c r="I442" s="2">
        <v>94.98</v>
      </c>
      <c r="J442" t="s">
        <v>19</v>
      </c>
      <c r="K442" t="s">
        <v>20</v>
      </c>
      <c r="L442" t="s">
        <v>21</v>
      </c>
      <c r="M442" t="s">
        <v>46</v>
      </c>
      <c r="N442" t="s">
        <v>47</v>
      </c>
      <c r="O442" t="s">
        <v>48</v>
      </c>
      <c r="P442">
        <v>5</v>
      </c>
      <c r="Q442" s="2">
        <f>Ventas[[#This Row],[precio_base]]*Ventas[[#This Row],[cantidad]]</f>
        <v>99.98</v>
      </c>
      <c r="R442" s="2">
        <f>Ventas[[#This Row],[Total bruto (antes de descuento)]]-Ventas[[#This Row],[total_venta]]</f>
        <v>5</v>
      </c>
    </row>
    <row r="443" spans="1:18" x14ac:dyDescent="0.25">
      <c r="A443" t="s">
        <v>536</v>
      </c>
      <c r="B443" s="1">
        <v>45416</v>
      </c>
      <c r="C443" t="s">
        <v>104</v>
      </c>
      <c r="D443" t="s">
        <v>18</v>
      </c>
      <c r="E443">
        <v>3</v>
      </c>
      <c r="F443" s="2">
        <v>1199.99</v>
      </c>
      <c r="G443">
        <v>10</v>
      </c>
      <c r="H443" s="2">
        <v>1079.99</v>
      </c>
      <c r="I443" s="2">
        <v>3239.97</v>
      </c>
      <c r="J443" t="s">
        <v>19</v>
      </c>
      <c r="K443" t="s">
        <v>20</v>
      </c>
      <c r="L443" t="s">
        <v>21</v>
      </c>
      <c r="M443" t="s">
        <v>63</v>
      </c>
      <c r="N443" t="s">
        <v>34</v>
      </c>
      <c r="O443" t="s">
        <v>24</v>
      </c>
      <c r="P443">
        <v>3</v>
      </c>
      <c r="Q443" s="2">
        <f>Ventas[[#This Row],[precio_base]]*Ventas[[#This Row],[cantidad]]</f>
        <v>3599.9700000000003</v>
      </c>
      <c r="R443" s="2">
        <f>Ventas[[#This Row],[Total bruto (antes de descuento)]]-Ventas[[#This Row],[total_venta]]</f>
        <v>360.00000000000045</v>
      </c>
    </row>
    <row r="444" spans="1:18" x14ac:dyDescent="0.25">
      <c r="A444" t="s">
        <v>537</v>
      </c>
      <c r="B444" s="1">
        <v>44987</v>
      </c>
      <c r="C444" t="s">
        <v>104</v>
      </c>
      <c r="D444" t="s">
        <v>18</v>
      </c>
      <c r="E444">
        <v>2</v>
      </c>
      <c r="F444" s="2">
        <v>1199.99</v>
      </c>
      <c r="G444">
        <v>10</v>
      </c>
      <c r="H444" s="2">
        <v>1079.99</v>
      </c>
      <c r="I444" s="2">
        <v>2159.98</v>
      </c>
      <c r="J444" t="s">
        <v>51</v>
      </c>
      <c r="K444" t="s">
        <v>52</v>
      </c>
      <c r="L444" t="s">
        <v>32</v>
      </c>
      <c r="M444" t="s">
        <v>63</v>
      </c>
      <c r="N444" t="s">
        <v>34</v>
      </c>
      <c r="O444" t="s">
        <v>24</v>
      </c>
      <c r="Q444" s="2">
        <f>Ventas[[#This Row],[precio_base]]*Ventas[[#This Row],[cantidad]]</f>
        <v>2399.98</v>
      </c>
      <c r="R444" s="2">
        <f>Ventas[[#This Row],[Total bruto (antes de descuento)]]-Ventas[[#This Row],[total_venta]]</f>
        <v>240</v>
      </c>
    </row>
    <row r="445" spans="1:18" x14ac:dyDescent="0.25">
      <c r="A445" t="s">
        <v>538</v>
      </c>
      <c r="B445" s="1">
        <v>45300</v>
      </c>
      <c r="C445" t="s">
        <v>56</v>
      </c>
      <c r="D445" t="s">
        <v>18</v>
      </c>
      <c r="E445">
        <v>3</v>
      </c>
      <c r="F445" s="2">
        <v>89.99</v>
      </c>
      <c r="G445">
        <v>15</v>
      </c>
      <c r="H445" s="2">
        <v>76.489999999999995</v>
      </c>
      <c r="I445" s="2">
        <v>229.47</v>
      </c>
      <c r="J445" t="s">
        <v>90</v>
      </c>
      <c r="K445" t="s">
        <v>44</v>
      </c>
      <c r="L445" t="s">
        <v>21</v>
      </c>
      <c r="M445" t="s">
        <v>120</v>
      </c>
      <c r="N445" t="s">
        <v>23</v>
      </c>
      <c r="O445" t="s">
        <v>24</v>
      </c>
      <c r="Q445" s="2">
        <f>Ventas[[#This Row],[precio_base]]*Ventas[[#This Row],[cantidad]]</f>
        <v>269.96999999999997</v>
      </c>
      <c r="R445" s="2">
        <f>Ventas[[#This Row],[Total bruto (antes de descuento)]]-Ventas[[#This Row],[total_venta]]</f>
        <v>40.499999999999972</v>
      </c>
    </row>
    <row r="446" spans="1:18" x14ac:dyDescent="0.25">
      <c r="A446" t="s">
        <v>539</v>
      </c>
      <c r="B446" s="1">
        <v>45257</v>
      </c>
      <c r="C446" t="s">
        <v>78</v>
      </c>
      <c r="D446" t="s">
        <v>18</v>
      </c>
      <c r="E446">
        <v>2</v>
      </c>
      <c r="F446" s="2">
        <v>349.99</v>
      </c>
      <c r="G446">
        <v>15</v>
      </c>
      <c r="H446" s="2">
        <v>297.49</v>
      </c>
      <c r="I446" s="2">
        <v>594.98</v>
      </c>
      <c r="J446" t="s">
        <v>90</v>
      </c>
      <c r="K446" t="s">
        <v>44</v>
      </c>
      <c r="L446" t="s">
        <v>45</v>
      </c>
      <c r="M446" t="s">
        <v>39</v>
      </c>
      <c r="N446" t="s">
        <v>40</v>
      </c>
      <c r="O446" t="s">
        <v>35</v>
      </c>
      <c r="Q446" s="2">
        <f>Ventas[[#This Row],[precio_base]]*Ventas[[#This Row],[cantidad]]</f>
        <v>699.98</v>
      </c>
      <c r="R446" s="2">
        <f>Ventas[[#This Row],[Total bruto (antes de descuento)]]-Ventas[[#This Row],[total_venta]]</f>
        <v>105</v>
      </c>
    </row>
    <row r="447" spans="1:18" x14ac:dyDescent="0.25">
      <c r="A447" t="s">
        <v>540</v>
      </c>
      <c r="B447" s="1">
        <v>45251</v>
      </c>
      <c r="C447" t="s">
        <v>205</v>
      </c>
      <c r="D447" t="s">
        <v>18</v>
      </c>
      <c r="E447">
        <v>5</v>
      </c>
      <c r="F447" s="2">
        <v>129.99</v>
      </c>
      <c r="G447">
        <v>15</v>
      </c>
      <c r="H447" s="2">
        <v>110.49</v>
      </c>
      <c r="I447" s="2">
        <v>552.45000000000005</v>
      </c>
      <c r="J447" t="s">
        <v>62</v>
      </c>
      <c r="K447" t="s">
        <v>52</v>
      </c>
      <c r="L447" t="s">
        <v>21</v>
      </c>
      <c r="M447" t="s">
        <v>33</v>
      </c>
      <c r="N447" t="s">
        <v>34</v>
      </c>
      <c r="O447" t="s">
        <v>35</v>
      </c>
      <c r="Q447" s="2">
        <f>Ventas[[#This Row],[precio_base]]*Ventas[[#This Row],[cantidad]]</f>
        <v>649.95000000000005</v>
      </c>
      <c r="R447" s="2">
        <f>Ventas[[#This Row],[Total bruto (antes de descuento)]]-Ventas[[#This Row],[total_venta]]</f>
        <v>97.5</v>
      </c>
    </row>
    <row r="448" spans="1:18" x14ac:dyDescent="0.25">
      <c r="A448" t="s">
        <v>541</v>
      </c>
      <c r="B448" s="1">
        <v>45530</v>
      </c>
      <c r="C448" t="s">
        <v>143</v>
      </c>
      <c r="D448" t="s">
        <v>43</v>
      </c>
      <c r="E448">
        <v>2</v>
      </c>
      <c r="F448" s="2">
        <v>34.99</v>
      </c>
      <c r="G448">
        <v>5</v>
      </c>
      <c r="H448" s="2">
        <v>33.24</v>
      </c>
      <c r="I448" s="2">
        <v>66.48</v>
      </c>
      <c r="J448" t="s">
        <v>19</v>
      </c>
      <c r="K448" t="s">
        <v>20</v>
      </c>
      <c r="L448" t="s">
        <v>21</v>
      </c>
      <c r="M448" t="s">
        <v>84</v>
      </c>
      <c r="N448" t="s">
        <v>85</v>
      </c>
      <c r="O448" t="s">
        <v>35</v>
      </c>
      <c r="P448">
        <v>1</v>
      </c>
      <c r="Q448" s="2">
        <f>Ventas[[#This Row],[precio_base]]*Ventas[[#This Row],[cantidad]]</f>
        <v>69.98</v>
      </c>
      <c r="R448" s="2">
        <f>Ventas[[#This Row],[Total bruto (antes de descuento)]]-Ventas[[#This Row],[total_venta]]</f>
        <v>3.5</v>
      </c>
    </row>
    <row r="449" spans="1:18" x14ac:dyDescent="0.25">
      <c r="A449" t="s">
        <v>542</v>
      </c>
      <c r="B449" s="1">
        <v>45645</v>
      </c>
      <c r="C449" t="s">
        <v>26</v>
      </c>
      <c r="D449" t="s">
        <v>27</v>
      </c>
      <c r="E449">
        <v>4</v>
      </c>
      <c r="F449" s="2">
        <v>399.99</v>
      </c>
      <c r="G449">
        <v>20</v>
      </c>
      <c r="H449" s="2">
        <v>319.99</v>
      </c>
      <c r="I449" s="2">
        <v>1279.96</v>
      </c>
      <c r="J449" t="s">
        <v>116</v>
      </c>
      <c r="K449" t="s">
        <v>20</v>
      </c>
      <c r="L449" t="s">
        <v>28</v>
      </c>
      <c r="M449" t="s">
        <v>33</v>
      </c>
      <c r="N449" t="s">
        <v>34</v>
      </c>
      <c r="O449" t="s">
        <v>35</v>
      </c>
      <c r="Q449" s="2">
        <f>Ventas[[#This Row],[precio_base]]*Ventas[[#This Row],[cantidad]]</f>
        <v>1599.96</v>
      </c>
      <c r="R449" s="2">
        <f>Ventas[[#This Row],[Total bruto (antes de descuento)]]-Ventas[[#This Row],[total_venta]]</f>
        <v>320</v>
      </c>
    </row>
    <row r="450" spans="1:18" x14ac:dyDescent="0.25">
      <c r="A450" t="s">
        <v>543</v>
      </c>
      <c r="B450" s="1">
        <v>45553</v>
      </c>
      <c r="C450" t="s">
        <v>163</v>
      </c>
      <c r="D450" t="s">
        <v>18</v>
      </c>
      <c r="E450">
        <v>5</v>
      </c>
      <c r="F450" s="2">
        <v>499.99</v>
      </c>
      <c r="G450">
        <v>0</v>
      </c>
      <c r="H450" s="2">
        <v>499.99</v>
      </c>
      <c r="I450" s="2">
        <v>2499.9499999999998</v>
      </c>
      <c r="J450" t="s">
        <v>90</v>
      </c>
      <c r="K450" t="s">
        <v>20</v>
      </c>
      <c r="L450" t="s">
        <v>21</v>
      </c>
      <c r="M450" t="s">
        <v>63</v>
      </c>
      <c r="N450" t="s">
        <v>34</v>
      </c>
      <c r="O450" t="s">
        <v>24</v>
      </c>
      <c r="Q450" s="2">
        <f>Ventas[[#This Row],[precio_base]]*Ventas[[#This Row],[cantidad]]</f>
        <v>2499.9499999999998</v>
      </c>
      <c r="R450" s="2">
        <f>Ventas[[#This Row],[Total bruto (antes de descuento)]]-Ventas[[#This Row],[total_venta]]</f>
        <v>0</v>
      </c>
    </row>
    <row r="451" spans="1:18" x14ac:dyDescent="0.25">
      <c r="A451" t="s">
        <v>544</v>
      </c>
      <c r="B451" s="1">
        <v>45282</v>
      </c>
      <c r="C451" t="s">
        <v>141</v>
      </c>
      <c r="D451" t="s">
        <v>38</v>
      </c>
      <c r="E451">
        <v>2</v>
      </c>
      <c r="F451" s="2">
        <v>89.99</v>
      </c>
      <c r="G451">
        <v>15</v>
      </c>
      <c r="H451" s="2">
        <v>76.489999999999995</v>
      </c>
      <c r="I451" s="2">
        <v>152.97999999999999</v>
      </c>
      <c r="J451" t="s">
        <v>62</v>
      </c>
      <c r="K451" t="s">
        <v>52</v>
      </c>
      <c r="L451" t="s">
        <v>28</v>
      </c>
      <c r="M451" t="s">
        <v>95</v>
      </c>
      <c r="N451" t="s">
        <v>96</v>
      </c>
      <c r="O451" t="s">
        <v>48</v>
      </c>
      <c r="Q451" s="2">
        <f>Ventas[[#This Row],[precio_base]]*Ventas[[#This Row],[cantidad]]</f>
        <v>179.98</v>
      </c>
      <c r="R451" s="2">
        <f>Ventas[[#This Row],[Total bruto (antes de descuento)]]-Ventas[[#This Row],[total_venta]]</f>
        <v>27</v>
      </c>
    </row>
    <row r="452" spans="1:18" x14ac:dyDescent="0.25">
      <c r="A452" t="s">
        <v>545</v>
      </c>
      <c r="B452" s="1">
        <v>45270</v>
      </c>
      <c r="C452" t="s">
        <v>151</v>
      </c>
      <c r="D452" t="s">
        <v>27</v>
      </c>
      <c r="E452">
        <v>1</v>
      </c>
      <c r="F452" s="2">
        <v>599.99</v>
      </c>
      <c r="G452">
        <v>0</v>
      </c>
      <c r="H452" s="2">
        <v>599.99</v>
      </c>
      <c r="I452" s="2">
        <v>599.99</v>
      </c>
      <c r="J452" t="s">
        <v>19</v>
      </c>
      <c r="K452" t="s">
        <v>20</v>
      </c>
      <c r="L452" t="s">
        <v>21</v>
      </c>
      <c r="M452" t="s">
        <v>84</v>
      </c>
      <c r="N452" t="s">
        <v>85</v>
      </c>
      <c r="O452" t="s">
        <v>35</v>
      </c>
      <c r="P452">
        <v>1</v>
      </c>
      <c r="Q452" s="2">
        <f>Ventas[[#This Row],[precio_base]]*Ventas[[#This Row],[cantidad]]</f>
        <v>599.99</v>
      </c>
      <c r="R452" s="2">
        <f>Ventas[[#This Row],[Total bruto (antes de descuento)]]-Ventas[[#This Row],[total_venta]]</f>
        <v>0</v>
      </c>
    </row>
    <row r="453" spans="1:18" x14ac:dyDescent="0.25">
      <c r="A453" t="s">
        <v>546</v>
      </c>
      <c r="B453" s="1">
        <v>44928</v>
      </c>
      <c r="C453" t="s">
        <v>94</v>
      </c>
      <c r="D453" t="s">
        <v>18</v>
      </c>
      <c r="E453">
        <v>4</v>
      </c>
      <c r="F453" s="2">
        <v>899.99</v>
      </c>
      <c r="G453">
        <v>5</v>
      </c>
      <c r="H453" s="2">
        <v>854.99</v>
      </c>
      <c r="I453" s="2">
        <v>3419.96</v>
      </c>
      <c r="J453" t="s">
        <v>51</v>
      </c>
      <c r="K453" t="s">
        <v>52</v>
      </c>
      <c r="L453" t="s">
        <v>45</v>
      </c>
      <c r="M453" t="s">
        <v>63</v>
      </c>
      <c r="N453" t="s">
        <v>34</v>
      </c>
      <c r="O453" t="s">
        <v>24</v>
      </c>
      <c r="Q453" s="2">
        <f>Ventas[[#This Row],[precio_base]]*Ventas[[#This Row],[cantidad]]</f>
        <v>3599.96</v>
      </c>
      <c r="R453" s="2">
        <f>Ventas[[#This Row],[Total bruto (antes de descuento)]]-Ventas[[#This Row],[total_venta]]</f>
        <v>180</v>
      </c>
    </row>
    <row r="454" spans="1:18" x14ac:dyDescent="0.25">
      <c r="A454" t="s">
        <v>547</v>
      </c>
      <c r="B454" s="1">
        <v>45314</v>
      </c>
      <c r="C454" t="s">
        <v>89</v>
      </c>
      <c r="D454" t="s">
        <v>38</v>
      </c>
      <c r="E454">
        <v>5</v>
      </c>
      <c r="F454" s="2">
        <v>69.989999999999995</v>
      </c>
      <c r="G454">
        <v>5</v>
      </c>
      <c r="H454" s="2">
        <v>66.489999999999995</v>
      </c>
      <c r="I454" s="2">
        <v>332.45</v>
      </c>
      <c r="J454" t="s">
        <v>19</v>
      </c>
      <c r="K454" t="s">
        <v>52</v>
      </c>
      <c r="L454" t="s">
        <v>45</v>
      </c>
      <c r="M454" t="s">
        <v>101</v>
      </c>
      <c r="N454" t="s">
        <v>102</v>
      </c>
      <c r="O454" t="s">
        <v>35</v>
      </c>
      <c r="P454">
        <v>2</v>
      </c>
      <c r="Q454" s="2">
        <f>Ventas[[#This Row],[precio_base]]*Ventas[[#This Row],[cantidad]]</f>
        <v>349.95</v>
      </c>
      <c r="R454" s="2">
        <f>Ventas[[#This Row],[Total bruto (antes de descuento)]]-Ventas[[#This Row],[total_venta]]</f>
        <v>17.5</v>
      </c>
    </row>
    <row r="455" spans="1:18" x14ac:dyDescent="0.25">
      <c r="A455" t="s">
        <v>548</v>
      </c>
      <c r="B455" s="1">
        <v>45093</v>
      </c>
      <c r="C455" t="s">
        <v>151</v>
      </c>
      <c r="D455" t="s">
        <v>27</v>
      </c>
      <c r="E455">
        <v>1</v>
      </c>
      <c r="F455" s="2">
        <v>599.99</v>
      </c>
      <c r="G455">
        <v>20</v>
      </c>
      <c r="H455" s="2">
        <v>479.99</v>
      </c>
      <c r="I455" s="2">
        <v>479.99</v>
      </c>
      <c r="J455" t="s">
        <v>62</v>
      </c>
      <c r="K455" t="s">
        <v>20</v>
      </c>
      <c r="L455" t="s">
        <v>21</v>
      </c>
      <c r="M455" t="s">
        <v>58</v>
      </c>
      <c r="N455" t="s">
        <v>59</v>
      </c>
      <c r="O455" t="s">
        <v>24</v>
      </c>
      <c r="Q455" s="2">
        <f>Ventas[[#This Row],[precio_base]]*Ventas[[#This Row],[cantidad]]</f>
        <v>599.99</v>
      </c>
      <c r="R455" s="2">
        <f>Ventas[[#This Row],[Total bruto (antes de descuento)]]-Ventas[[#This Row],[total_venta]]</f>
        <v>120</v>
      </c>
    </row>
    <row r="456" spans="1:18" x14ac:dyDescent="0.25">
      <c r="A456" t="s">
        <v>549</v>
      </c>
      <c r="B456" s="1">
        <v>45034</v>
      </c>
      <c r="C456" t="s">
        <v>56</v>
      </c>
      <c r="D456" t="s">
        <v>18</v>
      </c>
      <c r="E456">
        <v>3</v>
      </c>
      <c r="F456" s="2">
        <v>89.99</v>
      </c>
      <c r="G456">
        <v>0</v>
      </c>
      <c r="H456" s="2">
        <v>89.99</v>
      </c>
      <c r="I456" s="2">
        <v>269.97000000000003</v>
      </c>
      <c r="J456" t="s">
        <v>62</v>
      </c>
      <c r="K456" t="s">
        <v>44</v>
      </c>
      <c r="L456" t="s">
        <v>45</v>
      </c>
      <c r="M456" t="s">
        <v>63</v>
      </c>
      <c r="N456" t="s">
        <v>34</v>
      </c>
      <c r="O456" t="s">
        <v>24</v>
      </c>
      <c r="Q456" s="2">
        <f>Ventas[[#This Row],[precio_base]]*Ventas[[#This Row],[cantidad]]</f>
        <v>269.96999999999997</v>
      </c>
      <c r="R456" s="2">
        <f>Ventas[[#This Row],[Total bruto (antes de descuento)]]-Ventas[[#This Row],[total_venta]]</f>
        <v>0</v>
      </c>
    </row>
    <row r="457" spans="1:18" x14ac:dyDescent="0.25">
      <c r="A457" t="s">
        <v>550</v>
      </c>
      <c r="B457" s="1">
        <v>45022</v>
      </c>
      <c r="C457" t="s">
        <v>141</v>
      </c>
      <c r="D457" t="s">
        <v>38</v>
      </c>
      <c r="E457">
        <v>5</v>
      </c>
      <c r="F457" s="2">
        <v>89.99</v>
      </c>
      <c r="G457">
        <v>10</v>
      </c>
      <c r="H457" s="2">
        <v>80.989999999999995</v>
      </c>
      <c r="I457" s="2">
        <v>404.95</v>
      </c>
      <c r="J457" t="s">
        <v>62</v>
      </c>
      <c r="K457" t="s">
        <v>20</v>
      </c>
      <c r="L457" t="s">
        <v>152</v>
      </c>
      <c r="M457" t="s">
        <v>84</v>
      </c>
      <c r="N457" t="s">
        <v>85</v>
      </c>
      <c r="O457" t="s">
        <v>35</v>
      </c>
      <c r="Q457" s="2">
        <f>Ventas[[#This Row],[precio_base]]*Ventas[[#This Row],[cantidad]]</f>
        <v>449.95</v>
      </c>
      <c r="R457" s="2">
        <f>Ventas[[#This Row],[Total bruto (antes de descuento)]]-Ventas[[#This Row],[total_venta]]</f>
        <v>45</v>
      </c>
    </row>
    <row r="458" spans="1:18" x14ac:dyDescent="0.25">
      <c r="A458" t="s">
        <v>551</v>
      </c>
      <c r="B458" s="1">
        <v>45095</v>
      </c>
      <c r="C458" t="s">
        <v>156</v>
      </c>
      <c r="D458" t="s">
        <v>27</v>
      </c>
      <c r="E458">
        <v>4</v>
      </c>
      <c r="F458" s="2">
        <v>49.99</v>
      </c>
      <c r="G458">
        <v>0</v>
      </c>
      <c r="H458" s="2">
        <v>49.99</v>
      </c>
      <c r="I458" s="2">
        <v>199.96</v>
      </c>
      <c r="J458" t="s">
        <v>19</v>
      </c>
      <c r="K458" t="s">
        <v>20</v>
      </c>
      <c r="L458" t="s">
        <v>21</v>
      </c>
      <c r="M458" t="s">
        <v>123</v>
      </c>
      <c r="N458" t="s">
        <v>124</v>
      </c>
      <c r="O458" t="s">
        <v>24</v>
      </c>
      <c r="P458">
        <v>5</v>
      </c>
      <c r="Q458" s="2">
        <f>Ventas[[#This Row],[precio_base]]*Ventas[[#This Row],[cantidad]]</f>
        <v>199.96</v>
      </c>
      <c r="R458" s="2">
        <f>Ventas[[#This Row],[Total bruto (antes de descuento)]]-Ventas[[#This Row],[total_venta]]</f>
        <v>0</v>
      </c>
    </row>
    <row r="459" spans="1:18" x14ac:dyDescent="0.25">
      <c r="A459" t="s">
        <v>552</v>
      </c>
      <c r="B459" s="1">
        <v>45480</v>
      </c>
      <c r="C459" t="s">
        <v>61</v>
      </c>
      <c r="D459" t="s">
        <v>38</v>
      </c>
      <c r="E459">
        <v>3</v>
      </c>
      <c r="F459" s="2">
        <v>19.989999999999998</v>
      </c>
      <c r="G459">
        <v>0</v>
      </c>
      <c r="H459" s="2">
        <v>19.989999999999998</v>
      </c>
      <c r="I459" s="2">
        <v>59.97</v>
      </c>
      <c r="J459" t="s">
        <v>19</v>
      </c>
      <c r="K459" t="s">
        <v>20</v>
      </c>
      <c r="L459" t="s">
        <v>45</v>
      </c>
      <c r="M459" t="s">
        <v>46</v>
      </c>
      <c r="N459" t="s">
        <v>47</v>
      </c>
      <c r="O459" t="s">
        <v>48</v>
      </c>
      <c r="P459">
        <v>4</v>
      </c>
      <c r="Q459" s="2">
        <f>Ventas[[#This Row],[precio_base]]*Ventas[[#This Row],[cantidad]]</f>
        <v>59.97</v>
      </c>
      <c r="R459" s="2">
        <f>Ventas[[#This Row],[Total bruto (antes de descuento)]]-Ventas[[#This Row],[total_venta]]</f>
        <v>0</v>
      </c>
    </row>
    <row r="460" spans="1:18" x14ac:dyDescent="0.25">
      <c r="A460" t="s">
        <v>553</v>
      </c>
      <c r="B460" s="1">
        <v>45084</v>
      </c>
      <c r="C460" t="s">
        <v>94</v>
      </c>
      <c r="D460" t="s">
        <v>18</v>
      </c>
      <c r="E460">
        <v>3</v>
      </c>
      <c r="F460" s="2">
        <v>899.99</v>
      </c>
      <c r="G460">
        <v>0</v>
      </c>
      <c r="H460" s="2">
        <v>899.99</v>
      </c>
      <c r="I460" s="2">
        <v>2699.97</v>
      </c>
      <c r="J460" t="s">
        <v>19</v>
      </c>
      <c r="K460" t="s">
        <v>52</v>
      </c>
      <c r="L460" t="s">
        <v>28</v>
      </c>
      <c r="M460" t="s">
        <v>58</v>
      </c>
      <c r="N460" t="s">
        <v>59</v>
      </c>
      <c r="O460" t="s">
        <v>24</v>
      </c>
      <c r="P460">
        <v>4</v>
      </c>
      <c r="Q460" s="2">
        <f>Ventas[[#This Row],[precio_base]]*Ventas[[#This Row],[cantidad]]</f>
        <v>2699.9700000000003</v>
      </c>
      <c r="R460" s="2">
        <f>Ventas[[#This Row],[Total bruto (antes de descuento)]]-Ventas[[#This Row],[total_venta]]</f>
        <v>0</v>
      </c>
    </row>
    <row r="461" spans="1:18" x14ac:dyDescent="0.25">
      <c r="A461" t="s">
        <v>554</v>
      </c>
      <c r="B461" s="1">
        <v>45131</v>
      </c>
      <c r="C461" t="s">
        <v>17</v>
      </c>
      <c r="D461" t="s">
        <v>18</v>
      </c>
      <c r="E461">
        <v>1</v>
      </c>
      <c r="F461" s="2">
        <v>45.99</v>
      </c>
      <c r="G461">
        <v>0</v>
      </c>
      <c r="H461" s="2">
        <v>45.99</v>
      </c>
      <c r="I461" s="2">
        <v>45.99</v>
      </c>
      <c r="J461" t="s">
        <v>19</v>
      </c>
      <c r="K461" t="s">
        <v>57</v>
      </c>
      <c r="L461" t="s">
        <v>45</v>
      </c>
      <c r="M461" t="s">
        <v>58</v>
      </c>
      <c r="N461" t="s">
        <v>59</v>
      </c>
      <c r="O461" t="s">
        <v>24</v>
      </c>
      <c r="P461">
        <v>1</v>
      </c>
      <c r="Q461" s="2">
        <f>Ventas[[#This Row],[precio_base]]*Ventas[[#This Row],[cantidad]]</f>
        <v>45.99</v>
      </c>
      <c r="R461" s="2">
        <f>Ventas[[#This Row],[Total bruto (antes de descuento)]]-Ventas[[#This Row],[total_venta]]</f>
        <v>0</v>
      </c>
    </row>
    <row r="462" spans="1:18" x14ac:dyDescent="0.25">
      <c r="A462" t="s">
        <v>555</v>
      </c>
      <c r="B462" s="1">
        <v>45242</v>
      </c>
      <c r="C462" t="s">
        <v>70</v>
      </c>
      <c r="D462" t="s">
        <v>31</v>
      </c>
      <c r="E462">
        <v>4</v>
      </c>
      <c r="F462" s="2">
        <v>59.99</v>
      </c>
      <c r="G462">
        <v>5</v>
      </c>
      <c r="H462" s="2">
        <v>56.99</v>
      </c>
      <c r="I462" s="2">
        <v>227.96</v>
      </c>
      <c r="J462" t="s">
        <v>19</v>
      </c>
      <c r="K462" t="s">
        <v>20</v>
      </c>
      <c r="L462" t="s">
        <v>28</v>
      </c>
      <c r="M462" t="s">
        <v>73</v>
      </c>
      <c r="N462" t="s">
        <v>74</v>
      </c>
      <c r="O462" t="s">
        <v>35</v>
      </c>
      <c r="P462">
        <v>4</v>
      </c>
      <c r="Q462" s="2">
        <f>Ventas[[#This Row],[precio_base]]*Ventas[[#This Row],[cantidad]]</f>
        <v>239.96</v>
      </c>
      <c r="R462" s="2">
        <f>Ventas[[#This Row],[Total bruto (antes de descuento)]]-Ventas[[#This Row],[total_venta]]</f>
        <v>12</v>
      </c>
    </row>
    <row r="463" spans="1:18" x14ac:dyDescent="0.25">
      <c r="A463" t="s">
        <v>556</v>
      </c>
      <c r="B463" s="1">
        <v>45116</v>
      </c>
      <c r="C463" t="s">
        <v>89</v>
      </c>
      <c r="D463" t="s">
        <v>38</v>
      </c>
      <c r="E463">
        <v>4</v>
      </c>
      <c r="F463" s="2">
        <v>69.989999999999995</v>
      </c>
      <c r="G463">
        <v>0</v>
      </c>
      <c r="H463" s="2">
        <v>69.989999999999995</v>
      </c>
      <c r="I463" s="2">
        <v>279.95999999999998</v>
      </c>
      <c r="J463" t="s">
        <v>19</v>
      </c>
      <c r="K463" t="s">
        <v>20</v>
      </c>
      <c r="L463" t="s">
        <v>45</v>
      </c>
      <c r="M463" t="s">
        <v>46</v>
      </c>
      <c r="N463" t="s">
        <v>47</v>
      </c>
      <c r="O463" t="s">
        <v>48</v>
      </c>
      <c r="P463">
        <v>2</v>
      </c>
      <c r="Q463" s="2">
        <f>Ventas[[#This Row],[precio_base]]*Ventas[[#This Row],[cantidad]]</f>
        <v>279.95999999999998</v>
      </c>
      <c r="R463" s="2">
        <f>Ventas[[#This Row],[Total bruto (antes de descuento)]]-Ventas[[#This Row],[total_venta]]</f>
        <v>0</v>
      </c>
    </row>
    <row r="464" spans="1:18" x14ac:dyDescent="0.25">
      <c r="A464" t="s">
        <v>557</v>
      </c>
      <c r="B464" s="1">
        <v>45202</v>
      </c>
      <c r="C464" t="s">
        <v>26</v>
      </c>
      <c r="D464" t="s">
        <v>27</v>
      </c>
      <c r="E464">
        <v>1</v>
      </c>
      <c r="F464" s="2">
        <v>399.99</v>
      </c>
      <c r="G464">
        <v>0</v>
      </c>
      <c r="H464" s="2">
        <v>399.99</v>
      </c>
      <c r="I464" s="2">
        <v>399.99</v>
      </c>
      <c r="J464" t="s">
        <v>51</v>
      </c>
      <c r="K464" t="s">
        <v>20</v>
      </c>
      <c r="L464" t="s">
        <v>28</v>
      </c>
      <c r="M464" t="s">
        <v>73</v>
      </c>
      <c r="N464" t="s">
        <v>74</v>
      </c>
      <c r="O464" t="s">
        <v>35</v>
      </c>
      <c r="Q464" s="2">
        <f>Ventas[[#This Row],[precio_base]]*Ventas[[#This Row],[cantidad]]</f>
        <v>399.99</v>
      </c>
      <c r="R464" s="2">
        <f>Ventas[[#This Row],[Total bruto (antes de descuento)]]-Ventas[[#This Row],[total_venta]]</f>
        <v>0</v>
      </c>
    </row>
    <row r="465" spans="1:18" x14ac:dyDescent="0.25">
      <c r="A465" t="s">
        <v>558</v>
      </c>
      <c r="B465" s="1">
        <v>45481</v>
      </c>
      <c r="C465" t="s">
        <v>37</v>
      </c>
      <c r="D465" t="s">
        <v>38</v>
      </c>
      <c r="E465">
        <v>5</v>
      </c>
      <c r="F465" s="2">
        <v>34.99</v>
      </c>
      <c r="G465">
        <v>0</v>
      </c>
      <c r="H465" s="2">
        <v>34.99</v>
      </c>
      <c r="I465" s="2">
        <v>174.95</v>
      </c>
      <c r="J465" t="s">
        <v>19</v>
      </c>
      <c r="K465" t="s">
        <v>20</v>
      </c>
      <c r="L465" t="s">
        <v>45</v>
      </c>
      <c r="M465" t="s">
        <v>67</v>
      </c>
      <c r="N465" t="s">
        <v>68</v>
      </c>
      <c r="O465" t="s">
        <v>35</v>
      </c>
      <c r="P465">
        <v>5</v>
      </c>
      <c r="Q465" s="2">
        <f>Ventas[[#This Row],[precio_base]]*Ventas[[#This Row],[cantidad]]</f>
        <v>174.95000000000002</v>
      </c>
      <c r="R465" s="2">
        <f>Ventas[[#This Row],[Total bruto (antes de descuento)]]-Ventas[[#This Row],[total_venta]]</f>
        <v>0</v>
      </c>
    </row>
    <row r="466" spans="1:18" x14ac:dyDescent="0.25">
      <c r="A466" t="s">
        <v>559</v>
      </c>
      <c r="B466" s="1">
        <v>45630</v>
      </c>
      <c r="C466" t="s">
        <v>42</v>
      </c>
      <c r="D466" t="s">
        <v>43</v>
      </c>
      <c r="E466">
        <v>4</v>
      </c>
      <c r="F466" s="2">
        <v>349.99</v>
      </c>
      <c r="G466">
        <v>10</v>
      </c>
      <c r="H466" s="2">
        <v>314.99</v>
      </c>
      <c r="I466" s="2">
        <v>1259.96</v>
      </c>
      <c r="J466" t="s">
        <v>62</v>
      </c>
      <c r="K466" t="s">
        <v>20</v>
      </c>
      <c r="L466" t="s">
        <v>45</v>
      </c>
      <c r="M466" t="s">
        <v>101</v>
      </c>
      <c r="N466" t="s">
        <v>102</v>
      </c>
      <c r="O466" t="s">
        <v>35</v>
      </c>
      <c r="Q466" s="2">
        <f>Ventas[[#This Row],[precio_base]]*Ventas[[#This Row],[cantidad]]</f>
        <v>1399.96</v>
      </c>
      <c r="R466" s="2">
        <f>Ventas[[#This Row],[Total bruto (antes de descuento)]]-Ventas[[#This Row],[total_venta]]</f>
        <v>140</v>
      </c>
    </row>
    <row r="467" spans="1:18" x14ac:dyDescent="0.25">
      <c r="A467" t="s">
        <v>560</v>
      </c>
      <c r="B467" s="1">
        <v>44962</v>
      </c>
      <c r="C467" t="s">
        <v>87</v>
      </c>
      <c r="D467" t="s">
        <v>27</v>
      </c>
      <c r="E467">
        <v>5</v>
      </c>
      <c r="F467" s="2">
        <v>249.99</v>
      </c>
      <c r="G467">
        <v>10</v>
      </c>
      <c r="H467" s="2">
        <v>224.99</v>
      </c>
      <c r="I467" s="2">
        <v>1124.95</v>
      </c>
      <c r="J467" t="s">
        <v>62</v>
      </c>
      <c r="K467" t="s">
        <v>57</v>
      </c>
      <c r="L467" t="s">
        <v>21</v>
      </c>
      <c r="M467" t="s">
        <v>73</v>
      </c>
      <c r="N467" t="s">
        <v>74</v>
      </c>
      <c r="O467" t="s">
        <v>35</v>
      </c>
      <c r="Q467" s="2">
        <f>Ventas[[#This Row],[precio_base]]*Ventas[[#This Row],[cantidad]]</f>
        <v>1249.95</v>
      </c>
      <c r="R467" s="2">
        <f>Ventas[[#This Row],[Total bruto (antes de descuento)]]-Ventas[[#This Row],[total_venta]]</f>
        <v>125</v>
      </c>
    </row>
    <row r="468" spans="1:18" x14ac:dyDescent="0.25">
      <c r="A468" t="s">
        <v>561</v>
      </c>
      <c r="B468" s="1">
        <v>45386</v>
      </c>
      <c r="C468" t="s">
        <v>205</v>
      </c>
      <c r="D468" t="s">
        <v>18</v>
      </c>
      <c r="E468">
        <v>2</v>
      </c>
      <c r="F468" s="2">
        <v>129.99</v>
      </c>
      <c r="G468">
        <v>0</v>
      </c>
      <c r="H468" s="2">
        <v>129.99</v>
      </c>
      <c r="I468" s="2">
        <v>259.98</v>
      </c>
      <c r="J468" t="s">
        <v>62</v>
      </c>
      <c r="K468" t="s">
        <v>20</v>
      </c>
      <c r="L468" t="s">
        <v>21</v>
      </c>
      <c r="M468" t="s">
        <v>63</v>
      </c>
      <c r="N468" t="s">
        <v>34</v>
      </c>
      <c r="O468" t="s">
        <v>24</v>
      </c>
      <c r="Q468" s="2">
        <f>Ventas[[#This Row],[precio_base]]*Ventas[[#This Row],[cantidad]]</f>
        <v>259.98</v>
      </c>
      <c r="R468" s="2">
        <f>Ventas[[#This Row],[Total bruto (antes de descuento)]]-Ventas[[#This Row],[total_venta]]</f>
        <v>0</v>
      </c>
    </row>
    <row r="469" spans="1:18" x14ac:dyDescent="0.25">
      <c r="A469" t="s">
        <v>562</v>
      </c>
      <c r="B469" s="1">
        <v>45626</v>
      </c>
      <c r="C469" t="s">
        <v>37</v>
      </c>
      <c r="D469" t="s">
        <v>38</v>
      </c>
      <c r="E469">
        <v>2</v>
      </c>
      <c r="F469" s="2">
        <v>34.99</v>
      </c>
      <c r="G469">
        <v>20</v>
      </c>
      <c r="H469" s="2">
        <v>27.99</v>
      </c>
      <c r="I469" s="2">
        <v>55.98</v>
      </c>
      <c r="J469" t="s">
        <v>51</v>
      </c>
      <c r="K469" t="s">
        <v>44</v>
      </c>
      <c r="L469" t="s">
        <v>21</v>
      </c>
      <c r="M469" t="s">
        <v>67</v>
      </c>
      <c r="N469" t="s">
        <v>68</v>
      </c>
      <c r="O469" t="s">
        <v>35</v>
      </c>
      <c r="Q469" s="2">
        <f>Ventas[[#This Row],[precio_base]]*Ventas[[#This Row],[cantidad]]</f>
        <v>69.98</v>
      </c>
      <c r="R469" s="2">
        <f>Ventas[[#This Row],[Total bruto (antes de descuento)]]-Ventas[[#This Row],[total_venta]]</f>
        <v>14.000000000000007</v>
      </c>
    </row>
    <row r="470" spans="1:18" x14ac:dyDescent="0.25">
      <c r="A470" t="s">
        <v>563</v>
      </c>
      <c r="B470" s="1">
        <v>44995</v>
      </c>
      <c r="C470" t="s">
        <v>56</v>
      </c>
      <c r="D470" t="s">
        <v>18</v>
      </c>
      <c r="E470">
        <v>4</v>
      </c>
      <c r="F470" s="2">
        <v>89.99</v>
      </c>
      <c r="G470">
        <v>10</v>
      </c>
      <c r="H470" s="2">
        <v>80.989999999999995</v>
      </c>
      <c r="I470" s="2">
        <v>323.95999999999998</v>
      </c>
      <c r="J470" t="s">
        <v>19</v>
      </c>
      <c r="K470" t="s">
        <v>52</v>
      </c>
      <c r="L470" t="s">
        <v>45</v>
      </c>
      <c r="M470" t="s">
        <v>123</v>
      </c>
      <c r="N470" t="s">
        <v>124</v>
      </c>
      <c r="O470" t="s">
        <v>24</v>
      </c>
      <c r="P470">
        <v>1</v>
      </c>
      <c r="Q470" s="2">
        <f>Ventas[[#This Row],[precio_base]]*Ventas[[#This Row],[cantidad]]</f>
        <v>359.96</v>
      </c>
      <c r="R470" s="2">
        <f>Ventas[[#This Row],[Total bruto (antes de descuento)]]-Ventas[[#This Row],[total_venta]]</f>
        <v>36</v>
      </c>
    </row>
    <row r="471" spans="1:18" x14ac:dyDescent="0.25">
      <c r="A471" t="s">
        <v>564</v>
      </c>
      <c r="B471" s="1">
        <v>45644</v>
      </c>
      <c r="C471" t="s">
        <v>156</v>
      </c>
      <c r="D471" t="s">
        <v>27</v>
      </c>
      <c r="E471">
        <v>5</v>
      </c>
      <c r="F471" s="2">
        <v>49.99</v>
      </c>
      <c r="G471">
        <v>10</v>
      </c>
      <c r="H471" s="2">
        <v>44.99</v>
      </c>
      <c r="I471" s="2">
        <v>224.95</v>
      </c>
      <c r="J471" t="s">
        <v>51</v>
      </c>
      <c r="K471" t="s">
        <v>20</v>
      </c>
      <c r="L471" t="s">
        <v>21</v>
      </c>
      <c r="M471" t="s">
        <v>95</v>
      </c>
      <c r="N471" t="s">
        <v>96</v>
      </c>
      <c r="O471" t="s">
        <v>48</v>
      </c>
      <c r="Q471" s="2">
        <f>Ventas[[#This Row],[precio_base]]*Ventas[[#This Row],[cantidad]]</f>
        <v>249.95000000000002</v>
      </c>
      <c r="R471" s="2">
        <f>Ventas[[#This Row],[Total bruto (antes de descuento)]]-Ventas[[#This Row],[total_venta]]</f>
        <v>25.000000000000028</v>
      </c>
    </row>
    <row r="472" spans="1:18" x14ac:dyDescent="0.25">
      <c r="A472" t="s">
        <v>565</v>
      </c>
      <c r="B472" s="1">
        <v>45529</v>
      </c>
      <c r="C472" t="s">
        <v>26</v>
      </c>
      <c r="D472" t="s">
        <v>27</v>
      </c>
      <c r="E472">
        <v>1</v>
      </c>
      <c r="F472" s="2">
        <v>399.99</v>
      </c>
      <c r="G472">
        <v>0</v>
      </c>
      <c r="H472" s="2">
        <v>399.99</v>
      </c>
      <c r="I472" s="2">
        <v>399.99</v>
      </c>
      <c r="J472" t="s">
        <v>19</v>
      </c>
      <c r="K472" t="s">
        <v>52</v>
      </c>
      <c r="L472" t="s">
        <v>32</v>
      </c>
      <c r="M472" t="s">
        <v>95</v>
      </c>
      <c r="N472" t="s">
        <v>96</v>
      </c>
      <c r="O472" t="s">
        <v>48</v>
      </c>
      <c r="P472">
        <v>3</v>
      </c>
      <c r="Q472" s="2">
        <f>Ventas[[#This Row],[precio_base]]*Ventas[[#This Row],[cantidad]]</f>
        <v>399.99</v>
      </c>
      <c r="R472" s="2">
        <f>Ventas[[#This Row],[Total bruto (antes de descuento)]]-Ventas[[#This Row],[total_venta]]</f>
        <v>0</v>
      </c>
    </row>
    <row r="473" spans="1:18" x14ac:dyDescent="0.25">
      <c r="A473" t="s">
        <v>566</v>
      </c>
      <c r="B473" s="1">
        <v>45347</v>
      </c>
      <c r="C473" t="s">
        <v>61</v>
      </c>
      <c r="D473" t="s">
        <v>38</v>
      </c>
      <c r="E473">
        <v>4</v>
      </c>
      <c r="F473" s="2">
        <v>19.989999999999998</v>
      </c>
      <c r="G473">
        <v>15</v>
      </c>
      <c r="H473" s="2">
        <v>16.989999999999998</v>
      </c>
      <c r="I473" s="2">
        <v>67.959999999999994</v>
      </c>
      <c r="J473" t="s">
        <v>19</v>
      </c>
      <c r="K473" t="s">
        <v>44</v>
      </c>
      <c r="L473" t="s">
        <v>21</v>
      </c>
      <c r="M473" t="s">
        <v>33</v>
      </c>
      <c r="N473" t="s">
        <v>34</v>
      </c>
      <c r="O473" t="s">
        <v>35</v>
      </c>
      <c r="P473">
        <v>4</v>
      </c>
      <c r="Q473" s="2">
        <f>Ventas[[#This Row],[precio_base]]*Ventas[[#This Row],[cantidad]]</f>
        <v>79.959999999999994</v>
      </c>
      <c r="R473" s="2">
        <f>Ventas[[#This Row],[Total bruto (antes de descuento)]]-Ventas[[#This Row],[total_venta]]</f>
        <v>12</v>
      </c>
    </row>
    <row r="474" spans="1:18" x14ac:dyDescent="0.25">
      <c r="A474" t="s">
        <v>567</v>
      </c>
      <c r="B474" s="1">
        <v>45074</v>
      </c>
      <c r="C474" t="s">
        <v>156</v>
      </c>
      <c r="D474" t="s">
        <v>27</v>
      </c>
      <c r="E474">
        <v>5</v>
      </c>
      <c r="F474" s="2">
        <v>49.99</v>
      </c>
      <c r="G474">
        <v>15</v>
      </c>
      <c r="H474" s="2">
        <v>42.49</v>
      </c>
      <c r="I474" s="2">
        <v>212.45</v>
      </c>
      <c r="J474" t="s">
        <v>51</v>
      </c>
      <c r="K474" t="s">
        <v>20</v>
      </c>
      <c r="L474" t="s">
        <v>32</v>
      </c>
      <c r="M474" t="s">
        <v>46</v>
      </c>
      <c r="N474" t="s">
        <v>47</v>
      </c>
      <c r="O474" t="s">
        <v>48</v>
      </c>
      <c r="Q474" s="2">
        <f>Ventas[[#This Row],[precio_base]]*Ventas[[#This Row],[cantidad]]</f>
        <v>249.95000000000002</v>
      </c>
      <c r="R474" s="2">
        <f>Ventas[[#This Row],[Total bruto (antes de descuento)]]-Ventas[[#This Row],[total_venta]]</f>
        <v>37.500000000000028</v>
      </c>
    </row>
    <row r="475" spans="1:18" x14ac:dyDescent="0.25">
      <c r="A475" t="s">
        <v>568</v>
      </c>
      <c r="B475" s="1">
        <v>45634</v>
      </c>
      <c r="C475" t="s">
        <v>163</v>
      </c>
      <c r="D475" t="s">
        <v>18</v>
      </c>
      <c r="E475">
        <v>1</v>
      </c>
      <c r="F475" s="2">
        <v>499.99</v>
      </c>
      <c r="G475">
        <v>15</v>
      </c>
      <c r="H475" s="2">
        <v>424.99</v>
      </c>
      <c r="I475" s="2">
        <v>424.99</v>
      </c>
      <c r="J475" t="s">
        <v>19</v>
      </c>
      <c r="K475" t="s">
        <v>52</v>
      </c>
      <c r="L475" t="s">
        <v>21</v>
      </c>
      <c r="M475" t="s">
        <v>58</v>
      </c>
      <c r="N475" t="s">
        <v>59</v>
      </c>
      <c r="O475" t="s">
        <v>24</v>
      </c>
      <c r="P475">
        <v>3</v>
      </c>
      <c r="Q475" s="2">
        <f>Ventas[[#This Row],[precio_base]]*Ventas[[#This Row],[cantidad]]</f>
        <v>499.99</v>
      </c>
      <c r="R475" s="2">
        <f>Ventas[[#This Row],[Total bruto (antes de descuento)]]-Ventas[[#This Row],[total_venta]]</f>
        <v>75</v>
      </c>
    </row>
    <row r="476" spans="1:18" x14ac:dyDescent="0.25">
      <c r="A476" t="s">
        <v>569</v>
      </c>
      <c r="B476" s="1">
        <v>45245</v>
      </c>
      <c r="C476" t="s">
        <v>61</v>
      </c>
      <c r="D476" t="s">
        <v>38</v>
      </c>
      <c r="E476">
        <v>4</v>
      </c>
      <c r="F476" s="2">
        <v>19.989999999999998</v>
      </c>
      <c r="G476">
        <v>20</v>
      </c>
      <c r="H476" s="2">
        <v>15.99</v>
      </c>
      <c r="I476" s="2">
        <v>63.96</v>
      </c>
      <c r="J476" t="s">
        <v>51</v>
      </c>
      <c r="K476" t="s">
        <v>57</v>
      </c>
      <c r="L476" t="s">
        <v>21</v>
      </c>
      <c r="M476" t="s">
        <v>95</v>
      </c>
      <c r="N476" t="s">
        <v>96</v>
      </c>
      <c r="O476" t="s">
        <v>48</v>
      </c>
      <c r="Q476" s="2">
        <f>Ventas[[#This Row],[precio_base]]*Ventas[[#This Row],[cantidad]]</f>
        <v>79.959999999999994</v>
      </c>
      <c r="R476" s="2">
        <f>Ventas[[#This Row],[Total bruto (antes de descuento)]]-Ventas[[#This Row],[total_venta]]</f>
        <v>15.999999999999993</v>
      </c>
    </row>
    <row r="477" spans="1:18" x14ac:dyDescent="0.25">
      <c r="A477" t="s">
        <v>570</v>
      </c>
      <c r="B477" s="1">
        <v>45234</v>
      </c>
      <c r="C477" t="s">
        <v>76</v>
      </c>
      <c r="D477" t="s">
        <v>31</v>
      </c>
      <c r="E477">
        <v>4</v>
      </c>
      <c r="F477" s="2">
        <v>69.989999999999995</v>
      </c>
      <c r="G477">
        <v>20</v>
      </c>
      <c r="H477" s="2">
        <v>55.99</v>
      </c>
      <c r="I477" s="2">
        <v>223.96</v>
      </c>
      <c r="J477" t="s">
        <v>62</v>
      </c>
      <c r="K477" t="s">
        <v>44</v>
      </c>
      <c r="L477" t="s">
        <v>28</v>
      </c>
      <c r="M477" t="s">
        <v>58</v>
      </c>
      <c r="N477" t="s">
        <v>59</v>
      </c>
      <c r="O477" t="s">
        <v>24</v>
      </c>
      <c r="Q477" s="2">
        <f>Ventas[[#This Row],[precio_base]]*Ventas[[#This Row],[cantidad]]</f>
        <v>279.95999999999998</v>
      </c>
      <c r="R477" s="2">
        <f>Ventas[[#This Row],[Total bruto (antes de descuento)]]-Ventas[[#This Row],[total_venta]]</f>
        <v>55.999999999999972</v>
      </c>
    </row>
    <row r="478" spans="1:18" x14ac:dyDescent="0.25">
      <c r="A478" t="s">
        <v>571</v>
      </c>
      <c r="B478" s="1">
        <v>45018</v>
      </c>
      <c r="C478" t="s">
        <v>115</v>
      </c>
      <c r="D478" t="s">
        <v>18</v>
      </c>
      <c r="E478">
        <v>4</v>
      </c>
      <c r="F478" s="2">
        <v>799.99</v>
      </c>
      <c r="G478">
        <v>0</v>
      </c>
      <c r="H478" s="2">
        <v>799.99</v>
      </c>
      <c r="I478" s="2">
        <v>3199.96</v>
      </c>
      <c r="J478" t="s">
        <v>90</v>
      </c>
      <c r="K478" t="s">
        <v>44</v>
      </c>
      <c r="L478" t="s">
        <v>28</v>
      </c>
      <c r="M478" t="s">
        <v>120</v>
      </c>
      <c r="N478" t="s">
        <v>23</v>
      </c>
      <c r="O478" t="s">
        <v>24</v>
      </c>
      <c r="Q478" s="2">
        <f>Ventas[[#This Row],[precio_base]]*Ventas[[#This Row],[cantidad]]</f>
        <v>3199.96</v>
      </c>
      <c r="R478" s="2">
        <f>Ventas[[#This Row],[Total bruto (antes de descuento)]]-Ventas[[#This Row],[total_venta]]</f>
        <v>0</v>
      </c>
    </row>
    <row r="479" spans="1:18" x14ac:dyDescent="0.25">
      <c r="A479" t="s">
        <v>572</v>
      </c>
      <c r="B479" s="1">
        <v>45309</v>
      </c>
      <c r="C479" t="s">
        <v>143</v>
      </c>
      <c r="D479" t="s">
        <v>43</v>
      </c>
      <c r="E479">
        <v>1</v>
      </c>
      <c r="F479" s="2">
        <v>34.99</v>
      </c>
      <c r="G479">
        <v>10</v>
      </c>
      <c r="H479" s="2">
        <v>31.49</v>
      </c>
      <c r="I479" s="2">
        <v>31.49</v>
      </c>
      <c r="J479" t="s">
        <v>51</v>
      </c>
      <c r="K479" t="s">
        <v>20</v>
      </c>
      <c r="L479" t="s">
        <v>45</v>
      </c>
      <c r="M479" t="s">
        <v>95</v>
      </c>
      <c r="N479" t="s">
        <v>96</v>
      </c>
      <c r="O479" t="s">
        <v>48</v>
      </c>
      <c r="Q479" s="2">
        <f>Ventas[[#This Row],[precio_base]]*Ventas[[#This Row],[cantidad]]</f>
        <v>34.99</v>
      </c>
      <c r="R479" s="2">
        <f>Ventas[[#This Row],[Total bruto (antes de descuento)]]-Ventas[[#This Row],[total_venta]]</f>
        <v>3.5000000000000036</v>
      </c>
    </row>
    <row r="480" spans="1:18" x14ac:dyDescent="0.25">
      <c r="A480" t="s">
        <v>573</v>
      </c>
      <c r="B480" s="1">
        <v>45065</v>
      </c>
      <c r="C480" t="s">
        <v>98</v>
      </c>
      <c r="D480" t="s">
        <v>31</v>
      </c>
      <c r="E480">
        <v>5</v>
      </c>
      <c r="F480" s="2">
        <v>99.99</v>
      </c>
      <c r="G480">
        <v>10</v>
      </c>
      <c r="H480" s="2">
        <v>89.99</v>
      </c>
      <c r="I480" s="2">
        <v>449.95</v>
      </c>
      <c r="J480" t="s">
        <v>19</v>
      </c>
      <c r="K480" t="s">
        <v>52</v>
      </c>
      <c r="L480" t="s">
        <v>21</v>
      </c>
      <c r="M480" t="s">
        <v>22</v>
      </c>
      <c r="N480" t="s">
        <v>23</v>
      </c>
      <c r="O480" t="s">
        <v>24</v>
      </c>
      <c r="P480">
        <v>1</v>
      </c>
      <c r="Q480" s="2">
        <f>Ventas[[#This Row],[precio_base]]*Ventas[[#This Row],[cantidad]]</f>
        <v>499.95</v>
      </c>
      <c r="R480" s="2">
        <f>Ventas[[#This Row],[Total bruto (antes de descuento)]]-Ventas[[#This Row],[total_venta]]</f>
        <v>50</v>
      </c>
    </row>
    <row r="481" spans="1:18" x14ac:dyDescent="0.25">
      <c r="A481" t="s">
        <v>574</v>
      </c>
      <c r="B481" s="1">
        <v>45182</v>
      </c>
      <c r="C481" t="s">
        <v>94</v>
      </c>
      <c r="D481" t="s">
        <v>18</v>
      </c>
      <c r="E481">
        <v>4</v>
      </c>
      <c r="F481" s="2">
        <v>899.99</v>
      </c>
      <c r="G481">
        <v>0</v>
      </c>
      <c r="H481" s="2">
        <v>899.99</v>
      </c>
      <c r="I481" s="2">
        <v>3599.96</v>
      </c>
      <c r="J481" t="s">
        <v>90</v>
      </c>
      <c r="K481" t="s">
        <v>20</v>
      </c>
      <c r="L481" t="s">
        <v>45</v>
      </c>
      <c r="M481" t="s">
        <v>84</v>
      </c>
      <c r="N481" t="s">
        <v>85</v>
      </c>
      <c r="O481" t="s">
        <v>35</v>
      </c>
      <c r="Q481" s="2">
        <f>Ventas[[#This Row],[precio_base]]*Ventas[[#This Row],[cantidad]]</f>
        <v>3599.96</v>
      </c>
      <c r="R481" s="2">
        <f>Ventas[[#This Row],[Total bruto (antes de descuento)]]-Ventas[[#This Row],[total_venta]]</f>
        <v>0</v>
      </c>
    </row>
    <row r="482" spans="1:18" x14ac:dyDescent="0.25">
      <c r="A482" t="s">
        <v>575</v>
      </c>
      <c r="B482" s="1">
        <v>45402</v>
      </c>
      <c r="C482" t="s">
        <v>87</v>
      </c>
      <c r="D482" t="s">
        <v>27</v>
      </c>
      <c r="E482">
        <v>4</v>
      </c>
      <c r="F482" s="2">
        <v>249.99</v>
      </c>
      <c r="G482">
        <v>15</v>
      </c>
      <c r="H482" s="2">
        <v>212.49</v>
      </c>
      <c r="I482" s="2">
        <v>849.96</v>
      </c>
      <c r="J482" t="s">
        <v>90</v>
      </c>
      <c r="K482" t="s">
        <v>20</v>
      </c>
      <c r="L482" t="s">
        <v>45</v>
      </c>
      <c r="M482" t="s">
        <v>73</v>
      </c>
      <c r="N482" t="s">
        <v>74</v>
      </c>
      <c r="O482" t="s">
        <v>35</v>
      </c>
      <c r="Q482" s="2">
        <f>Ventas[[#This Row],[precio_base]]*Ventas[[#This Row],[cantidad]]</f>
        <v>999.96</v>
      </c>
      <c r="R482" s="2">
        <f>Ventas[[#This Row],[Total bruto (antes de descuento)]]-Ventas[[#This Row],[total_venta]]</f>
        <v>150</v>
      </c>
    </row>
    <row r="483" spans="1:18" x14ac:dyDescent="0.25">
      <c r="A483" t="s">
        <v>576</v>
      </c>
      <c r="B483" s="1">
        <v>45535</v>
      </c>
      <c r="C483" t="s">
        <v>151</v>
      </c>
      <c r="D483" t="s">
        <v>27</v>
      </c>
      <c r="E483">
        <v>2</v>
      </c>
      <c r="F483" s="2">
        <v>599.99</v>
      </c>
      <c r="G483">
        <v>20</v>
      </c>
      <c r="H483" s="2">
        <v>479.99</v>
      </c>
      <c r="I483" s="2">
        <v>959.98</v>
      </c>
      <c r="J483" t="s">
        <v>19</v>
      </c>
      <c r="K483" t="s">
        <v>20</v>
      </c>
      <c r="L483" t="s">
        <v>21</v>
      </c>
      <c r="M483" t="s">
        <v>65</v>
      </c>
      <c r="N483" t="s">
        <v>54</v>
      </c>
      <c r="O483" t="s">
        <v>35</v>
      </c>
      <c r="P483">
        <v>3</v>
      </c>
      <c r="Q483" s="2">
        <f>Ventas[[#This Row],[precio_base]]*Ventas[[#This Row],[cantidad]]</f>
        <v>1199.98</v>
      </c>
      <c r="R483" s="2">
        <f>Ventas[[#This Row],[Total bruto (antes de descuento)]]-Ventas[[#This Row],[total_venta]]</f>
        <v>240</v>
      </c>
    </row>
    <row r="484" spans="1:18" x14ac:dyDescent="0.25">
      <c r="A484" t="s">
        <v>577</v>
      </c>
      <c r="B484" s="1">
        <v>45632</v>
      </c>
      <c r="C484" t="s">
        <v>56</v>
      </c>
      <c r="D484" t="s">
        <v>18</v>
      </c>
      <c r="E484">
        <v>3</v>
      </c>
      <c r="F484" s="2">
        <v>89.99</v>
      </c>
      <c r="G484">
        <v>0</v>
      </c>
      <c r="H484" s="2">
        <v>89.99</v>
      </c>
      <c r="I484" s="2">
        <v>269.97000000000003</v>
      </c>
      <c r="J484" t="s">
        <v>19</v>
      </c>
      <c r="K484" t="s">
        <v>52</v>
      </c>
      <c r="L484" t="s">
        <v>28</v>
      </c>
      <c r="M484" t="s">
        <v>63</v>
      </c>
      <c r="N484" t="s">
        <v>34</v>
      </c>
      <c r="O484" t="s">
        <v>24</v>
      </c>
      <c r="P484">
        <v>2</v>
      </c>
      <c r="Q484" s="2">
        <f>Ventas[[#This Row],[precio_base]]*Ventas[[#This Row],[cantidad]]</f>
        <v>269.96999999999997</v>
      </c>
      <c r="R484" s="2">
        <f>Ventas[[#This Row],[Total bruto (antes de descuento)]]-Ventas[[#This Row],[total_venta]]</f>
        <v>0</v>
      </c>
    </row>
    <row r="485" spans="1:18" x14ac:dyDescent="0.25">
      <c r="A485" t="s">
        <v>578</v>
      </c>
      <c r="B485" s="1">
        <v>45153</v>
      </c>
      <c r="C485" t="s">
        <v>72</v>
      </c>
      <c r="D485" t="s">
        <v>31</v>
      </c>
      <c r="E485">
        <v>2</v>
      </c>
      <c r="F485" s="2">
        <v>29.99</v>
      </c>
      <c r="G485">
        <v>15</v>
      </c>
      <c r="H485" s="2">
        <v>25.49</v>
      </c>
      <c r="I485" s="2">
        <v>50.98</v>
      </c>
      <c r="J485" t="s">
        <v>19</v>
      </c>
      <c r="K485" t="s">
        <v>20</v>
      </c>
      <c r="L485" t="s">
        <v>21</v>
      </c>
      <c r="M485" t="s">
        <v>73</v>
      </c>
      <c r="N485" t="s">
        <v>74</v>
      </c>
      <c r="O485" t="s">
        <v>35</v>
      </c>
      <c r="P485">
        <v>1</v>
      </c>
      <c r="Q485" s="2">
        <f>Ventas[[#This Row],[precio_base]]*Ventas[[#This Row],[cantidad]]</f>
        <v>59.98</v>
      </c>
      <c r="R485" s="2">
        <f>Ventas[[#This Row],[Total bruto (antes de descuento)]]-Ventas[[#This Row],[total_venta]]</f>
        <v>9</v>
      </c>
    </row>
    <row r="486" spans="1:18" x14ac:dyDescent="0.25">
      <c r="A486" t="s">
        <v>579</v>
      </c>
      <c r="B486" s="1">
        <v>45412</v>
      </c>
      <c r="C486" t="s">
        <v>122</v>
      </c>
      <c r="D486" t="s">
        <v>43</v>
      </c>
      <c r="E486">
        <v>2</v>
      </c>
      <c r="F486" s="2">
        <v>44.99</v>
      </c>
      <c r="G486">
        <v>15</v>
      </c>
      <c r="H486" s="2">
        <v>38.24</v>
      </c>
      <c r="I486" s="2">
        <v>76.48</v>
      </c>
      <c r="J486" t="s">
        <v>19</v>
      </c>
      <c r="K486" t="s">
        <v>20</v>
      </c>
      <c r="L486" t="s">
        <v>21</v>
      </c>
      <c r="M486" t="s">
        <v>39</v>
      </c>
      <c r="N486" t="s">
        <v>40</v>
      </c>
      <c r="O486" t="s">
        <v>35</v>
      </c>
      <c r="P486">
        <v>3</v>
      </c>
      <c r="Q486" s="2">
        <f>Ventas[[#This Row],[precio_base]]*Ventas[[#This Row],[cantidad]]</f>
        <v>89.98</v>
      </c>
      <c r="R486" s="2">
        <f>Ventas[[#This Row],[Total bruto (antes de descuento)]]-Ventas[[#This Row],[total_venta]]</f>
        <v>13.5</v>
      </c>
    </row>
    <row r="487" spans="1:18" x14ac:dyDescent="0.25">
      <c r="A487" t="s">
        <v>580</v>
      </c>
      <c r="B487" s="1">
        <v>45656</v>
      </c>
      <c r="C487" t="s">
        <v>30</v>
      </c>
      <c r="D487" t="s">
        <v>31</v>
      </c>
      <c r="E487">
        <v>3</v>
      </c>
      <c r="F487" s="2">
        <v>299.99</v>
      </c>
      <c r="G487">
        <v>5</v>
      </c>
      <c r="H487" s="2">
        <v>284.99</v>
      </c>
      <c r="I487" s="2">
        <v>854.97</v>
      </c>
      <c r="J487" t="s">
        <v>62</v>
      </c>
      <c r="K487" t="s">
        <v>20</v>
      </c>
      <c r="L487" t="s">
        <v>21</v>
      </c>
      <c r="M487" t="s">
        <v>67</v>
      </c>
      <c r="N487" t="s">
        <v>68</v>
      </c>
      <c r="O487" t="s">
        <v>35</v>
      </c>
      <c r="Q487" s="2">
        <f>Ventas[[#This Row],[precio_base]]*Ventas[[#This Row],[cantidad]]</f>
        <v>899.97</v>
      </c>
      <c r="R487" s="2">
        <f>Ventas[[#This Row],[Total bruto (antes de descuento)]]-Ventas[[#This Row],[total_venta]]</f>
        <v>45</v>
      </c>
    </row>
    <row r="488" spans="1:18" x14ac:dyDescent="0.25">
      <c r="A488" t="s">
        <v>581</v>
      </c>
      <c r="B488" s="1">
        <v>45404</v>
      </c>
      <c r="C488" t="s">
        <v>83</v>
      </c>
      <c r="D488" t="s">
        <v>38</v>
      </c>
      <c r="E488">
        <v>5</v>
      </c>
      <c r="F488" s="2">
        <v>49.99</v>
      </c>
      <c r="G488">
        <v>20</v>
      </c>
      <c r="H488" s="2">
        <v>39.99</v>
      </c>
      <c r="I488" s="2">
        <v>199.95</v>
      </c>
      <c r="J488" t="s">
        <v>51</v>
      </c>
      <c r="K488" t="s">
        <v>20</v>
      </c>
      <c r="L488" t="s">
        <v>45</v>
      </c>
      <c r="M488" t="s">
        <v>33</v>
      </c>
      <c r="N488" t="s">
        <v>34</v>
      </c>
      <c r="O488" t="s">
        <v>35</v>
      </c>
      <c r="Q488" s="2">
        <f>Ventas[[#This Row],[precio_base]]*Ventas[[#This Row],[cantidad]]</f>
        <v>249.95000000000002</v>
      </c>
      <c r="R488" s="2">
        <f>Ventas[[#This Row],[Total bruto (antes de descuento)]]-Ventas[[#This Row],[total_venta]]</f>
        <v>50.000000000000028</v>
      </c>
    </row>
    <row r="489" spans="1:18" x14ac:dyDescent="0.25">
      <c r="A489" t="s">
        <v>582</v>
      </c>
      <c r="B489" s="1">
        <v>45605</v>
      </c>
      <c r="C489" t="s">
        <v>143</v>
      </c>
      <c r="D489" t="s">
        <v>43</v>
      </c>
      <c r="E489">
        <v>3</v>
      </c>
      <c r="F489" s="2">
        <v>34.99</v>
      </c>
      <c r="G489">
        <v>10</v>
      </c>
      <c r="H489" s="2">
        <v>31.49</v>
      </c>
      <c r="I489" s="2">
        <v>94.47</v>
      </c>
      <c r="J489" t="s">
        <v>51</v>
      </c>
      <c r="K489" t="s">
        <v>20</v>
      </c>
      <c r="L489" t="s">
        <v>28</v>
      </c>
      <c r="M489" t="s">
        <v>33</v>
      </c>
      <c r="N489" t="s">
        <v>34</v>
      </c>
      <c r="O489" t="s">
        <v>35</v>
      </c>
      <c r="Q489" s="2">
        <f>Ventas[[#This Row],[precio_base]]*Ventas[[#This Row],[cantidad]]</f>
        <v>104.97</v>
      </c>
      <c r="R489" s="2">
        <f>Ventas[[#This Row],[Total bruto (antes de descuento)]]-Ventas[[#This Row],[total_venta]]</f>
        <v>10.5</v>
      </c>
    </row>
    <row r="490" spans="1:18" x14ac:dyDescent="0.25">
      <c r="A490" t="s">
        <v>583</v>
      </c>
      <c r="B490" s="1">
        <v>45420</v>
      </c>
      <c r="C490" t="s">
        <v>56</v>
      </c>
      <c r="D490" t="s">
        <v>18</v>
      </c>
      <c r="E490">
        <v>3</v>
      </c>
      <c r="F490" s="2">
        <v>89.99</v>
      </c>
      <c r="G490">
        <v>0</v>
      </c>
      <c r="H490" s="2">
        <v>89.99</v>
      </c>
      <c r="I490" s="2">
        <v>269.97000000000003</v>
      </c>
      <c r="J490" t="s">
        <v>51</v>
      </c>
      <c r="K490" t="s">
        <v>20</v>
      </c>
      <c r="L490" t="s">
        <v>28</v>
      </c>
      <c r="M490" t="s">
        <v>67</v>
      </c>
      <c r="N490" t="s">
        <v>68</v>
      </c>
      <c r="O490" t="s">
        <v>35</v>
      </c>
      <c r="Q490" s="2">
        <f>Ventas[[#This Row],[precio_base]]*Ventas[[#This Row],[cantidad]]</f>
        <v>269.96999999999997</v>
      </c>
      <c r="R490" s="2">
        <f>Ventas[[#This Row],[Total bruto (antes de descuento)]]-Ventas[[#This Row],[total_venta]]</f>
        <v>0</v>
      </c>
    </row>
    <row r="491" spans="1:18" x14ac:dyDescent="0.25">
      <c r="A491" t="s">
        <v>584</v>
      </c>
      <c r="B491" s="1">
        <v>45594</v>
      </c>
      <c r="C491" t="s">
        <v>83</v>
      </c>
      <c r="D491" t="s">
        <v>38</v>
      </c>
      <c r="E491">
        <v>2</v>
      </c>
      <c r="F491" s="2">
        <v>49.99</v>
      </c>
      <c r="G491">
        <v>0</v>
      </c>
      <c r="H491" s="2">
        <v>49.99</v>
      </c>
      <c r="I491" s="2">
        <v>99.98</v>
      </c>
      <c r="J491" t="s">
        <v>19</v>
      </c>
      <c r="K491" t="s">
        <v>52</v>
      </c>
      <c r="L491" t="s">
        <v>32</v>
      </c>
      <c r="M491" t="s">
        <v>22</v>
      </c>
      <c r="N491" t="s">
        <v>23</v>
      </c>
      <c r="O491" t="s">
        <v>24</v>
      </c>
      <c r="P491">
        <v>5</v>
      </c>
      <c r="Q491" s="2">
        <f>Ventas[[#This Row],[precio_base]]*Ventas[[#This Row],[cantidad]]</f>
        <v>99.98</v>
      </c>
      <c r="R491" s="2">
        <f>Ventas[[#This Row],[Total bruto (antes de descuento)]]-Ventas[[#This Row],[total_venta]]</f>
        <v>0</v>
      </c>
    </row>
    <row r="492" spans="1:18" x14ac:dyDescent="0.25">
      <c r="A492" t="s">
        <v>585</v>
      </c>
      <c r="B492" s="1">
        <v>45340</v>
      </c>
      <c r="C492" t="s">
        <v>81</v>
      </c>
      <c r="D492" t="s">
        <v>31</v>
      </c>
      <c r="E492">
        <v>3</v>
      </c>
      <c r="F492" s="2">
        <v>189.99</v>
      </c>
      <c r="G492">
        <v>15</v>
      </c>
      <c r="H492" s="2">
        <v>161.49</v>
      </c>
      <c r="I492" s="2">
        <v>484.47</v>
      </c>
      <c r="J492" t="s">
        <v>19</v>
      </c>
      <c r="K492" t="s">
        <v>44</v>
      </c>
      <c r="L492" t="s">
        <v>152</v>
      </c>
      <c r="M492" t="s">
        <v>46</v>
      </c>
      <c r="N492" t="s">
        <v>47</v>
      </c>
      <c r="O492" t="s">
        <v>48</v>
      </c>
      <c r="P492">
        <v>3</v>
      </c>
      <c r="Q492" s="2">
        <f>Ventas[[#This Row],[precio_base]]*Ventas[[#This Row],[cantidad]]</f>
        <v>569.97</v>
      </c>
      <c r="R492" s="2">
        <f>Ventas[[#This Row],[Total bruto (antes de descuento)]]-Ventas[[#This Row],[total_venta]]</f>
        <v>85.5</v>
      </c>
    </row>
    <row r="493" spans="1:18" x14ac:dyDescent="0.25">
      <c r="A493" t="s">
        <v>586</v>
      </c>
      <c r="B493" s="1">
        <v>45355</v>
      </c>
      <c r="C493" t="s">
        <v>109</v>
      </c>
      <c r="D493" t="s">
        <v>38</v>
      </c>
      <c r="E493">
        <v>4</v>
      </c>
      <c r="F493" s="2">
        <v>39.99</v>
      </c>
      <c r="G493">
        <v>15</v>
      </c>
      <c r="H493" s="2">
        <v>33.99</v>
      </c>
      <c r="I493" s="2">
        <v>135.96</v>
      </c>
      <c r="J493" t="s">
        <v>19</v>
      </c>
      <c r="K493" t="s">
        <v>57</v>
      </c>
      <c r="L493" t="s">
        <v>32</v>
      </c>
      <c r="M493" t="s">
        <v>84</v>
      </c>
      <c r="N493" t="s">
        <v>85</v>
      </c>
      <c r="O493" t="s">
        <v>35</v>
      </c>
      <c r="P493">
        <v>3</v>
      </c>
      <c r="Q493" s="2">
        <f>Ventas[[#This Row],[precio_base]]*Ventas[[#This Row],[cantidad]]</f>
        <v>159.96</v>
      </c>
      <c r="R493" s="2">
        <f>Ventas[[#This Row],[Total bruto (antes de descuento)]]-Ventas[[#This Row],[total_venta]]</f>
        <v>24</v>
      </c>
    </row>
    <row r="494" spans="1:18" x14ac:dyDescent="0.25">
      <c r="A494" t="s">
        <v>587</v>
      </c>
      <c r="B494" s="1">
        <v>45657</v>
      </c>
      <c r="C494" t="s">
        <v>163</v>
      </c>
      <c r="D494" t="s">
        <v>18</v>
      </c>
      <c r="E494">
        <v>5</v>
      </c>
      <c r="F494" s="2">
        <v>499.99</v>
      </c>
      <c r="G494">
        <v>15</v>
      </c>
      <c r="H494" s="2">
        <v>424.99</v>
      </c>
      <c r="I494" s="2">
        <v>2124.9499999999998</v>
      </c>
      <c r="J494" t="s">
        <v>51</v>
      </c>
      <c r="K494" t="s">
        <v>52</v>
      </c>
      <c r="L494" t="s">
        <v>45</v>
      </c>
      <c r="M494" t="s">
        <v>53</v>
      </c>
      <c r="N494" t="s">
        <v>54</v>
      </c>
      <c r="O494" t="s">
        <v>35</v>
      </c>
      <c r="Q494" s="2">
        <f>Ventas[[#This Row],[precio_base]]*Ventas[[#This Row],[cantidad]]</f>
        <v>2499.9499999999998</v>
      </c>
      <c r="R494" s="2">
        <f>Ventas[[#This Row],[Total bruto (antes de descuento)]]-Ventas[[#This Row],[total_venta]]</f>
        <v>375</v>
      </c>
    </row>
    <row r="495" spans="1:18" x14ac:dyDescent="0.25">
      <c r="A495" t="s">
        <v>588</v>
      </c>
      <c r="B495" s="1">
        <v>45234</v>
      </c>
      <c r="C495" t="s">
        <v>42</v>
      </c>
      <c r="D495" t="s">
        <v>43</v>
      </c>
      <c r="E495">
        <v>2</v>
      </c>
      <c r="F495" s="2">
        <v>349.99</v>
      </c>
      <c r="G495">
        <v>20</v>
      </c>
      <c r="H495" s="2">
        <v>279.99</v>
      </c>
      <c r="I495" s="2">
        <v>559.98</v>
      </c>
      <c r="J495" t="s">
        <v>51</v>
      </c>
      <c r="K495" t="s">
        <v>20</v>
      </c>
      <c r="L495" t="s">
        <v>21</v>
      </c>
      <c r="M495" t="s">
        <v>65</v>
      </c>
      <c r="N495" t="s">
        <v>54</v>
      </c>
      <c r="O495" t="s">
        <v>35</v>
      </c>
      <c r="Q495" s="2">
        <f>Ventas[[#This Row],[precio_base]]*Ventas[[#This Row],[cantidad]]</f>
        <v>699.98</v>
      </c>
      <c r="R495" s="2">
        <f>Ventas[[#This Row],[Total bruto (antes de descuento)]]-Ventas[[#This Row],[total_venta]]</f>
        <v>140</v>
      </c>
    </row>
    <row r="496" spans="1:18" x14ac:dyDescent="0.25">
      <c r="A496" t="s">
        <v>589</v>
      </c>
      <c r="B496" s="1">
        <v>45058</v>
      </c>
      <c r="C496" t="s">
        <v>76</v>
      </c>
      <c r="D496" t="s">
        <v>31</v>
      </c>
      <c r="E496">
        <v>3</v>
      </c>
      <c r="F496" s="2">
        <v>69.989999999999995</v>
      </c>
      <c r="G496">
        <v>15</v>
      </c>
      <c r="H496" s="2">
        <v>59.49</v>
      </c>
      <c r="I496" s="2">
        <v>178.47</v>
      </c>
      <c r="J496" t="s">
        <v>62</v>
      </c>
      <c r="K496" t="s">
        <v>52</v>
      </c>
      <c r="L496" t="s">
        <v>152</v>
      </c>
      <c r="M496" t="s">
        <v>39</v>
      </c>
      <c r="N496" t="s">
        <v>40</v>
      </c>
      <c r="O496" t="s">
        <v>35</v>
      </c>
      <c r="Q496" s="2">
        <f>Ventas[[#This Row],[precio_base]]*Ventas[[#This Row],[cantidad]]</f>
        <v>209.96999999999997</v>
      </c>
      <c r="R496" s="2">
        <f>Ventas[[#This Row],[Total bruto (antes de descuento)]]-Ventas[[#This Row],[total_venta]]</f>
        <v>31.499999999999972</v>
      </c>
    </row>
    <row r="497" spans="1:18" x14ac:dyDescent="0.25">
      <c r="A497" t="s">
        <v>590</v>
      </c>
      <c r="B497" s="1">
        <v>45270</v>
      </c>
      <c r="C497" t="s">
        <v>72</v>
      </c>
      <c r="D497" t="s">
        <v>31</v>
      </c>
      <c r="E497">
        <v>1</v>
      </c>
      <c r="F497" s="2">
        <v>29.99</v>
      </c>
      <c r="G497">
        <v>0</v>
      </c>
      <c r="H497" s="2">
        <v>29.99</v>
      </c>
      <c r="I497" s="2">
        <v>29.99</v>
      </c>
      <c r="J497" t="s">
        <v>19</v>
      </c>
      <c r="K497" t="s">
        <v>52</v>
      </c>
      <c r="L497" t="s">
        <v>45</v>
      </c>
      <c r="M497" t="s">
        <v>84</v>
      </c>
      <c r="N497" t="s">
        <v>85</v>
      </c>
      <c r="O497" t="s">
        <v>35</v>
      </c>
      <c r="P497">
        <v>3</v>
      </c>
      <c r="Q497" s="2">
        <f>Ventas[[#This Row],[precio_base]]*Ventas[[#This Row],[cantidad]]</f>
        <v>29.99</v>
      </c>
      <c r="R497" s="2">
        <f>Ventas[[#This Row],[Total bruto (antes de descuento)]]-Ventas[[#This Row],[total_venta]]</f>
        <v>0</v>
      </c>
    </row>
    <row r="498" spans="1:18" x14ac:dyDescent="0.25">
      <c r="A498" t="s">
        <v>591</v>
      </c>
      <c r="B498" s="1">
        <v>45307</v>
      </c>
      <c r="C498" t="s">
        <v>61</v>
      </c>
      <c r="D498" t="s">
        <v>38</v>
      </c>
      <c r="E498">
        <v>5</v>
      </c>
      <c r="F498" s="2">
        <v>19.989999999999998</v>
      </c>
      <c r="G498">
        <v>0</v>
      </c>
      <c r="H498" s="2">
        <v>19.989999999999998</v>
      </c>
      <c r="I498" s="2">
        <v>99.95</v>
      </c>
      <c r="J498" t="s">
        <v>19</v>
      </c>
      <c r="K498" t="s">
        <v>44</v>
      </c>
      <c r="L498" t="s">
        <v>32</v>
      </c>
      <c r="M498" t="s">
        <v>95</v>
      </c>
      <c r="N498" t="s">
        <v>96</v>
      </c>
      <c r="O498" t="s">
        <v>48</v>
      </c>
      <c r="P498">
        <v>5</v>
      </c>
      <c r="Q498" s="2">
        <f>Ventas[[#This Row],[precio_base]]*Ventas[[#This Row],[cantidad]]</f>
        <v>99.949999999999989</v>
      </c>
      <c r="R498" s="2">
        <f>Ventas[[#This Row],[Total bruto (antes de descuento)]]-Ventas[[#This Row],[total_venta]]</f>
        <v>0</v>
      </c>
    </row>
    <row r="499" spans="1:18" x14ac:dyDescent="0.25">
      <c r="A499" t="s">
        <v>592</v>
      </c>
      <c r="B499" s="1">
        <v>45521</v>
      </c>
      <c r="C499" t="s">
        <v>156</v>
      </c>
      <c r="D499" t="s">
        <v>27</v>
      </c>
      <c r="E499">
        <v>1</v>
      </c>
      <c r="F499" s="2">
        <v>49.99</v>
      </c>
      <c r="G499">
        <v>5</v>
      </c>
      <c r="H499" s="2">
        <v>47.49</v>
      </c>
      <c r="I499" s="2">
        <v>47.49</v>
      </c>
      <c r="J499" t="s">
        <v>62</v>
      </c>
      <c r="K499" t="s">
        <v>20</v>
      </c>
      <c r="L499" t="s">
        <v>28</v>
      </c>
      <c r="M499" t="s">
        <v>65</v>
      </c>
      <c r="N499" t="s">
        <v>54</v>
      </c>
      <c r="O499" t="s">
        <v>35</v>
      </c>
      <c r="Q499" s="2">
        <f>Ventas[[#This Row],[precio_base]]*Ventas[[#This Row],[cantidad]]</f>
        <v>49.99</v>
      </c>
      <c r="R499" s="2">
        <f>Ventas[[#This Row],[Total bruto (antes de descuento)]]-Ventas[[#This Row],[total_venta]]</f>
        <v>2.5</v>
      </c>
    </row>
    <row r="500" spans="1:18" x14ac:dyDescent="0.25">
      <c r="A500" t="s">
        <v>593</v>
      </c>
      <c r="B500" s="1">
        <v>45469</v>
      </c>
      <c r="C500" t="s">
        <v>83</v>
      </c>
      <c r="D500" t="s">
        <v>38</v>
      </c>
      <c r="E500">
        <v>4</v>
      </c>
      <c r="F500" s="2">
        <v>49.99</v>
      </c>
      <c r="G500">
        <v>0</v>
      </c>
      <c r="H500" s="2">
        <v>49.99</v>
      </c>
      <c r="I500" s="2">
        <v>199.96</v>
      </c>
      <c r="J500" t="s">
        <v>62</v>
      </c>
      <c r="K500" t="s">
        <v>20</v>
      </c>
      <c r="L500" t="s">
        <v>21</v>
      </c>
      <c r="M500" t="s">
        <v>63</v>
      </c>
      <c r="N500" t="s">
        <v>34</v>
      </c>
      <c r="O500" t="s">
        <v>24</v>
      </c>
      <c r="Q500" s="2">
        <f>Ventas[[#This Row],[precio_base]]*Ventas[[#This Row],[cantidad]]</f>
        <v>199.96</v>
      </c>
      <c r="R500" s="2">
        <f>Ventas[[#This Row],[Total bruto (antes de descuento)]]-Ventas[[#This Row],[total_venta]]</f>
        <v>0</v>
      </c>
    </row>
    <row r="501" spans="1:18" x14ac:dyDescent="0.25">
      <c r="A501" t="s">
        <v>594</v>
      </c>
      <c r="B501" s="1">
        <v>45346</v>
      </c>
      <c r="C501" t="s">
        <v>26</v>
      </c>
      <c r="D501" t="s">
        <v>27</v>
      </c>
      <c r="E501">
        <v>4</v>
      </c>
      <c r="F501" s="2">
        <v>399.99</v>
      </c>
      <c r="G501">
        <v>0</v>
      </c>
      <c r="H501" s="2">
        <v>399.99</v>
      </c>
      <c r="I501" s="2">
        <v>1599.96</v>
      </c>
      <c r="J501" t="s">
        <v>19</v>
      </c>
      <c r="K501" t="s">
        <v>20</v>
      </c>
      <c r="L501" t="s">
        <v>21</v>
      </c>
      <c r="M501" t="s">
        <v>84</v>
      </c>
      <c r="N501" t="s">
        <v>85</v>
      </c>
      <c r="O501" t="s">
        <v>35</v>
      </c>
      <c r="P501">
        <v>3</v>
      </c>
      <c r="Q501" s="2">
        <f>Ventas[[#This Row],[precio_base]]*Ventas[[#This Row],[cantidad]]</f>
        <v>1599.96</v>
      </c>
      <c r="R501" s="2">
        <f>Ventas[[#This Row],[Total bruto (antes de descuento)]]-Ventas[[#This Row],[total_venta]]</f>
        <v>0</v>
      </c>
    </row>
    <row r="502" spans="1:18" x14ac:dyDescent="0.25">
      <c r="A502" t="s">
        <v>595</v>
      </c>
      <c r="B502" s="1">
        <v>45573</v>
      </c>
      <c r="C502" t="s">
        <v>205</v>
      </c>
      <c r="D502" t="s">
        <v>18</v>
      </c>
      <c r="E502">
        <v>3</v>
      </c>
      <c r="F502" s="2">
        <v>129.99</v>
      </c>
      <c r="G502">
        <v>15</v>
      </c>
      <c r="H502" s="2">
        <v>110.49</v>
      </c>
      <c r="I502" s="2">
        <v>331.47</v>
      </c>
      <c r="J502" t="s">
        <v>19</v>
      </c>
      <c r="K502" t="s">
        <v>20</v>
      </c>
      <c r="L502" t="s">
        <v>28</v>
      </c>
      <c r="M502" t="s">
        <v>101</v>
      </c>
      <c r="N502" t="s">
        <v>102</v>
      </c>
      <c r="O502" t="s">
        <v>35</v>
      </c>
      <c r="P502">
        <v>2</v>
      </c>
      <c r="Q502" s="2">
        <f>Ventas[[#This Row],[precio_base]]*Ventas[[#This Row],[cantidad]]</f>
        <v>389.97</v>
      </c>
      <c r="R502" s="2">
        <f>Ventas[[#This Row],[Total bruto (antes de descuento)]]-Ventas[[#This Row],[total_venta]]</f>
        <v>58.5</v>
      </c>
    </row>
    <row r="503" spans="1:18" x14ac:dyDescent="0.25">
      <c r="A503" t="s">
        <v>596</v>
      </c>
      <c r="B503" s="1">
        <v>45517</v>
      </c>
      <c r="C503" t="s">
        <v>98</v>
      </c>
      <c r="D503" t="s">
        <v>31</v>
      </c>
      <c r="E503">
        <v>2</v>
      </c>
      <c r="F503" s="2">
        <v>99.99</v>
      </c>
      <c r="G503">
        <v>5</v>
      </c>
      <c r="H503" s="2">
        <v>94.99</v>
      </c>
      <c r="I503" s="2">
        <v>189.98</v>
      </c>
      <c r="J503" t="s">
        <v>51</v>
      </c>
      <c r="K503" t="s">
        <v>20</v>
      </c>
      <c r="L503" t="s">
        <v>28</v>
      </c>
      <c r="M503" t="s">
        <v>39</v>
      </c>
      <c r="N503" t="s">
        <v>40</v>
      </c>
      <c r="O503" t="s">
        <v>35</v>
      </c>
      <c r="Q503" s="2">
        <f>Ventas[[#This Row],[precio_base]]*Ventas[[#This Row],[cantidad]]</f>
        <v>199.98</v>
      </c>
      <c r="R503" s="2">
        <f>Ventas[[#This Row],[Total bruto (antes de descuento)]]-Ventas[[#This Row],[total_venta]]</f>
        <v>10</v>
      </c>
    </row>
    <row r="504" spans="1:18" x14ac:dyDescent="0.25">
      <c r="A504" t="s">
        <v>597</v>
      </c>
      <c r="B504" s="1">
        <v>45575</v>
      </c>
      <c r="C504" t="s">
        <v>37</v>
      </c>
      <c r="D504" t="s">
        <v>38</v>
      </c>
      <c r="E504">
        <v>4</v>
      </c>
      <c r="F504" s="2">
        <v>34.99</v>
      </c>
      <c r="G504">
        <v>5</v>
      </c>
      <c r="H504" s="2">
        <v>33.24</v>
      </c>
      <c r="I504" s="2">
        <v>132.96</v>
      </c>
      <c r="J504" t="s">
        <v>116</v>
      </c>
      <c r="K504" t="s">
        <v>20</v>
      </c>
      <c r="L504" t="s">
        <v>45</v>
      </c>
      <c r="M504" t="s">
        <v>120</v>
      </c>
      <c r="N504" t="s">
        <v>23</v>
      </c>
      <c r="O504" t="s">
        <v>24</v>
      </c>
      <c r="Q504" s="2">
        <f>Ventas[[#This Row],[precio_base]]*Ventas[[#This Row],[cantidad]]</f>
        <v>139.96</v>
      </c>
      <c r="R504" s="2">
        <f>Ventas[[#This Row],[Total bruto (antes de descuento)]]-Ventas[[#This Row],[total_venta]]</f>
        <v>7</v>
      </c>
    </row>
    <row r="505" spans="1:18" x14ac:dyDescent="0.25">
      <c r="A505" t="s">
        <v>598</v>
      </c>
      <c r="B505" s="1">
        <v>45309</v>
      </c>
      <c r="C505" t="s">
        <v>104</v>
      </c>
      <c r="D505" t="s">
        <v>18</v>
      </c>
      <c r="E505">
        <v>3</v>
      </c>
      <c r="F505" s="2">
        <v>1199.99</v>
      </c>
      <c r="G505">
        <v>20</v>
      </c>
      <c r="H505" s="2">
        <v>959.99</v>
      </c>
      <c r="I505" s="2">
        <v>2879.97</v>
      </c>
      <c r="J505" t="s">
        <v>62</v>
      </c>
      <c r="K505" t="s">
        <v>20</v>
      </c>
      <c r="L505" t="s">
        <v>21</v>
      </c>
      <c r="M505" t="s">
        <v>22</v>
      </c>
      <c r="N505" t="s">
        <v>23</v>
      </c>
      <c r="O505" t="s">
        <v>24</v>
      </c>
      <c r="Q505" s="2">
        <f>Ventas[[#This Row],[precio_base]]*Ventas[[#This Row],[cantidad]]</f>
        <v>3599.9700000000003</v>
      </c>
      <c r="R505" s="2">
        <f>Ventas[[#This Row],[Total bruto (antes de descuento)]]-Ventas[[#This Row],[total_venta]]</f>
        <v>720.00000000000045</v>
      </c>
    </row>
    <row r="506" spans="1:18" x14ac:dyDescent="0.25">
      <c r="A506" t="s">
        <v>599</v>
      </c>
      <c r="B506" s="1">
        <v>45181</v>
      </c>
      <c r="C506" t="s">
        <v>163</v>
      </c>
      <c r="D506" t="s">
        <v>18</v>
      </c>
      <c r="E506">
        <v>3</v>
      </c>
      <c r="F506" s="2">
        <v>499.99</v>
      </c>
      <c r="G506">
        <v>0</v>
      </c>
      <c r="H506" s="2">
        <v>499.99</v>
      </c>
      <c r="I506" s="2">
        <v>1499.97</v>
      </c>
      <c r="J506" t="s">
        <v>19</v>
      </c>
      <c r="K506" t="s">
        <v>44</v>
      </c>
      <c r="L506" t="s">
        <v>21</v>
      </c>
      <c r="M506" t="s">
        <v>120</v>
      </c>
      <c r="N506" t="s">
        <v>23</v>
      </c>
      <c r="O506" t="s">
        <v>24</v>
      </c>
      <c r="P506">
        <v>1</v>
      </c>
      <c r="Q506" s="2">
        <f>Ventas[[#This Row],[precio_base]]*Ventas[[#This Row],[cantidad]]</f>
        <v>1499.97</v>
      </c>
      <c r="R506" s="2">
        <f>Ventas[[#This Row],[Total bruto (antes de descuento)]]-Ventas[[#This Row],[total_venta]]</f>
        <v>0</v>
      </c>
    </row>
    <row r="507" spans="1:18" x14ac:dyDescent="0.25">
      <c r="A507" t="s">
        <v>600</v>
      </c>
      <c r="B507" s="1">
        <v>44973</v>
      </c>
      <c r="C507" t="s">
        <v>83</v>
      </c>
      <c r="D507" t="s">
        <v>38</v>
      </c>
      <c r="E507">
        <v>3</v>
      </c>
      <c r="F507" s="2">
        <v>49.99</v>
      </c>
      <c r="G507">
        <v>5</v>
      </c>
      <c r="H507" s="2">
        <v>47.49</v>
      </c>
      <c r="I507" s="2">
        <v>142.47</v>
      </c>
      <c r="J507" t="s">
        <v>51</v>
      </c>
      <c r="K507" t="s">
        <v>44</v>
      </c>
      <c r="L507" t="s">
        <v>45</v>
      </c>
      <c r="M507" t="s">
        <v>33</v>
      </c>
      <c r="N507" t="s">
        <v>34</v>
      </c>
      <c r="O507" t="s">
        <v>35</v>
      </c>
      <c r="Q507" s="2">
        <f>Ventas[[#This Row],[precio_base]]*Ventas[[#This Row],[cantidad]]</f>
        <v>149.97</v>
      </c>
      <c r="R507" s="2">
        <f>Ventas[[#This Row],[Total bruto (antes de descuento)]]-Ventas[[#This Row],[total_venta]]</f>
        <v>7.5</v>
      </c>
    </row>
    <row r="508" spans="1:18" x14ac:dyDescent="0.25">
      <c r="A508" t="s">
        <v>601</v>
      </c>
      <c r="B508" s="1">
        <v>45630</v>
      </c>
      <c r="C508" t="s">
        <v>78</v>
      </c>
      <c r="D508" t="s">
        <v>18</v>
      </c>
      <c r="E508">
        <v>3</v>
      </c>
      <c r="F508" s="2">
        <v>349.99</v>
      </c>
      <c r="G508">
        <v>5</v>
      </c>
      <c r="H508" s="2">
        <v>332.49</v>
      </c>
      <c r="I508" s="2">
        <v>997.47</v>
      </c>
      <c r="J508" t="s">
        <v>19</v>
      </c>
      <c r="K508" t="s">
        <v>20</v>
      </c>
      <c r="L508" t="s">
        <v>152</v>
      </c>
      <c r="M508" t="s">
        <v>22</v>
      </c>
      <c r="N508" t="s">
        <v>23</v>
      </c>
      <c r="O508" t="s">
        <v>24</v>
      </c>
      <c r="P508">
        <v>4</v>
      </c>
      <c r="Q508" s="2">
        <f>Ventas[[#This Row],[precio_base]]*Ventas[[#This Row],[cantidad]]</f>
        <v>1049.97</v>
      </c>
      <c r="R508" s="2">
        <f>Ventas[[#This Row],[Total bruto (antes de descuento)]]-Ventas[[#This Row],[total_venta]]</f>
        <v>52.5</v>
      </c>
    </row>
    <row r="509" spans="1:18" x14ac:dyDescent="0.25">
      <c r="A509" t="s">
        <v>602</v>
      </c>
      <c r="B509" s="1">
        <v>44946</v>
      </c>
      <c r="C509" t="s">
        <v>163</v>
      </c>
      <c r="D509" t="s">
        <v>18</v>
      </c>
      <c r="E509">
        <v>2</v>
      </c>
      <c r="F509" s="2">
        <v>499.99</v>
      </c>
      <c r="G509">
        <v>15</v>
      </c>
      <c r="H509" s="2">
        <v>424.99</v>
      </c>
      <c r="I509" s="2">
        <v>849.98</v>
      </c>
      <c r="J509" t="s">
        <v>116</v>
      </c>
      <c r="K509" t="s">
        <v>44</v>
      </c>
      <c r="L509" t="s">
        <v>45</v>
      </c>
      <c r="M509" t="s">
        <v>22</v>
      </c>
      <c r="N509" t="s">
        <v>23</v>
      </c>
      <c r="O509" t="s">
        <v>24</v>
      </c>
      <c r="Q509" s="2">
        <f>Ventas[[#This Row],[precio_base]]*Ventas[[#This Row],[cantidad]]</f>
        <v>999.98</v>
      </c>
      <c r="R509" s="2">
        <f>Ventas[[#This Row],[Total bruto (antes de descuento)]]-Ventas[[#This Row],[total_venta]]</f>
        <v>150</v>
      </c>
    </row>
    <row r="510" spans="1:18" x14ac:dyDescent="0.25">
      <c r="A510" t="s">
        <v>603</v>
      </c>
      <c r="B510" s="1">
        <v>45100</v>
      </c>
      <c r="C510" t="s">
        <v>17</v>
      </c>
      <c r="D510" t="s">
        <v>18</v>
      </c>
      <c r="E510">
        <v>3</v>
      </c>
      <c r="F510" s="2">
        <v>45.99</v>
      </c>
      <c r="G510">
        <v>15</v>
      </c>
      <c r="H510" s="2">
        <v>39.090000000000003</v>
      </c>
      <c r="I510" s="2">
        <v>117.27</v>
      </c>
      <c r="J510" t="s">
        <v>51</v>
      </c>
      <c r="K510" t="s">
        <v>20</v>
      </c>
      <c r="L510" t="s">
        <v>28</v>
      </c>
      <c r="M510" t="s">
        <v>46</v>
      </c>
      <c r="N510" t="s">
        <v>47</v>
      </c>
      <c r="O510" t="s">
        <v>48</v>
      </c>
      <c r="Q510" s="2">
        <f>Ventas[[#This Row],[precio_base]]*Ventas[[#This Row],[cantidad]]</f>
        <v>137.97</v>
      </c>
      <c r="R510" s="2">
        <f>Ventas[[#This Row],[Total bruto (antes de descuento)]]-Ventas[[#This Row],[total_venta]]</f>
        <v>20.700000000000003</v>
      </c>
    </row>
    <row r="511" spans="1:18" x14ac:dyDescent="0.25">
      <c r="A511" t="s">
        <v>604</v>
      </c>
      <c r="B511" s="1">
        <v>45474</v>
      </c>
      <c r="C511" t="s">
        <v>156</v>
      </c>
      <c r="D511" t="s">
        <v>27</v>
      </c>
      <c r="E511">
        <v>1</v>
      </c>
      <c r="F511" s="2">
        <v>49.99</v>
      </c>
      <c r="G511">
        <v>10</v>
      </c>
      <c r="H511" s="2">
        <v>44.99</v>
      </c>
      <c r="I511" s="2">
        <v>44.99</v>
      </c>
      <c r="J511" t="s">
        <v>116</v>
      </c>
      <c r="K511" t="s">
        <v>20</v>
      </c>
      <c r="L511" t="s">
        <v>32</v>
      </c>
      <c r="M511" t="s">
        <v>73</v>
      </c>
      <c r="N511" t="s">
        <v>74</v>
      </c>
      <c r="O511" t="s">
        <v>35</v>
      </c>
      <c r="Q511" s="2">
        <f>Ventas[[#This Row],[precio_base]]*Ventas[[#This Row],[cantidad]]</f>
        <v>49.99</v>
      </c>
      <c r="R511" s="2">
        <f>Ventas[[#This Row],[Total bruto (antes de descuento)]]-Ventas[[#This Row],[total_venta]]</f>
        <v>5</v>
      </c>
    </row>
    <row r="512" spans="1:18" x14ac:dyDescent="0.25">
      <c r="A512" t="s">
        <v>605</v>
      </c>
      <c r="B512" s="1">
        <v>44976</v>
      </c>
      <c r="C512" t="s">
        <v>30</v>
      </c>
      <c r="D512" t="s">
        <v>31</v>
      </c>
      <c r="E512">
        <v>1</v>
      </c>
      <c r="F512" s="2">
        <v>299.99</v>
      </c>
      <c r="G512">
        <v>5</v>
      </c>
      <c r="H512" s="2">
        <v>284.99</v>
      </c>
      <c r="I512" s="2">
        <v>284.99</v>
      </c>
      <c r="J512" t="s">
        <v>19</v>
      </c>
      <c r="K512" t="s">
        <v>44</v>
      </c>
      <c r="L512" t="s">
        <v>45</v>
      </c>
      <c r="M512" t="s">
        <v>95</v>
      </c>
      <c r="N512" t="s">
        <v>96</v>
      </c>
      <c r="O512" t="s">
        <v>48</v>
      </c>
      <c r="P512">
        <v>2</v>
      </c>
      <c r="Q512" s="2">
        <f>Ventas[[#This Row],[precio_base]]*Ventas[[#This Row],[cantidad]]</f>
        <v>299.99</v>
      </c>
      <c r="R512" s="2">
        <f>Ventas[[#This Row],[Total bruto (antes de descuento)]]-Ventas[[#This Row],[total_venta]]</f>
        <v>15</v>
      </c>
    </row>
    <row r="513" spans="1:18" x14ac:dyDescent="0.25">
      <c r="A513" t="s">
        <v>606</v>
      </c>
      <c r="B513" s="1">
        <v>45137</v>
      </c>
      <c r="C513" t="s">
        <v>30</v>
      </c>
      <c r="D513" t="s">
        <v>31</v>
      </c>
      <c r="E513">
        <v>1</v>
      </c>
      <c r="F513" s="2">
        <v>299.99</v>
      </c>
      <c r="G513">
        <v>0</v>
      </c>
      <c r="H513" s="2">
        <v>299.99</v>
      </c>
      <c r="I513" s="2">
        <v>299.99</v>
      </c>
      <c r="J513" t="s">
        <v>19</v>
      </c>
      <c r="K513" t="s">
        <v>44</v>
      </c>
      <c r="L513" t="s">
        <v>21</v>
      </c>
      <c r="M513" t="s">
        <v>95</v>
      </c>
      <c r="N513" t="s">
        <v>96</v>
      </c>
      <c r="O513" t="s">
        <v>48</v>
      </c>
      <c r="P513">
        <v>5</v>
      </c>
      <c r="Q513" s="2">
        <f>Ventas[[#This Row],[precio_base]]*Ventas[[#This Row],[cantidad]]</f>
        <v>299.99</v>
      </c>
      <c r="R513" s="2">
        <f>Ventas[[#This Row],[Total bruto (antes de descuento)]]-Ventas[[#This Row],[total_venta]]</f>
        <v>0</v>
      </c>
    </row>
    <row r="514" spans="1:18" x14ac:dyDescent="0.25">
      <c r="A514" t="s">
        <v>607</v>
      </c>
      <c r="B514" s="1">
        <v>45644</v>
      </c>
      <c r="C514" t="s">
        <v>78</v>
      </c>
      <c r="D514" t="s">
        <v>18</v>
      </c>
      <c r="E514">
        <v>4</v>
      </c>
      <c r="F514" s="2">
        <v>349.99</v>
      </c>
      <c r="G514">
        <v>20</v>
      </c>
      <c r="H514" s="2">
        <v>279.99</v>
      </c>
      <c r="I514" s="2">
        <v>1119.96</v>
      </c>
      <c r="J514" t="s">
        <v>62</v>
      </c>
      <c r="K514" t="s">
        <v>44</v>
      </c>
      <c r="L514" t="s">
        <v>21</v>
      </c>
      <c r="M514" t="s">
        <v>65</v>
      </c>
      <c r="N514" t="s">
        <v>54</v>
      </c>
      <c r="O514" t="s">
        <v>35</v>
      </c>
      <c r="Q514" s="2">
        <f>Ventas[[#This Row],[precio_base]]*Ventas[[#This Row],[cantidad]]</f>
        <v>1399.96</v>
      </c>
      <c r="R514" s="2">
        <f>Ventas[[#This Row],[Total bruto (antes de descuento)]]-Ventas[[#This Row],[total_venta]]</f>
        <v>280</v>
      </c>
    </row>
    <row r="515" spans="1:18" x14ac:dyDescent="0.25">
      <c r="A515" t="s">
        <v>608</v>
      </c>
      <c r="B515" s="1">
        <v>45043</v>
      </c>
      <c r="C515" t="s">
        <v>70</v>
      </c>
      <c r="D515" t="s">
        <v>31</v>
      </c>
      <c r="E515">
        <v>1</v>
      </c>
      <c r="F515" s="2">
        <v>59.99</v>
      </c>
      <c r="G515">
        <v>5</v>
      </c>
      <c r="H515" s="2">
        <v>56.99</v>
      </c>
      <c r="I515" s="2">
        <v>56.99</v>
      </c>
      <c r="J515" t="s">
        <v>19</v>
      </c>
      <c r="K515" t="s">
        <v>52</v>
      </c>
      <c r="L515" t="s">
        <v>32</v>
      </c>
      <c r="M515" t="s">
        <v>22</v>
      </c>
      <c r="N515" t="s">
        <v>23</v>
      </c>
      <c r="O515" t="s">
        <v>24</v>
      </c>
      <c r="P515">
        <v>2</v>
      </c>
      <c r="Q515" s="2">
        <f>Ventas[[#This Row],[precio_base]]*Ventas[[#This Row],[cantidad]]</f>
        <v>59.99</v>
      </c>
      <c r="R515" s="2">
        <f>Ventas[[#This Row],[Total bruto (antes de descuento)]]-Ventas[[#This Row],[total_venta]]</f>
        <v>3</v>
      </c>
    </row>
    <row r="516" spans="1:18" x14ac:dyDescent="0.25">
      <c r="A516" t="s">
        <v>609</v>
      </c>
      <c r="B516" s="1">
        <v>45293</v>
      </c>
      <c r="C516" t="s">
        <v>30</v>
      </c>
      <c r="D516" t="s">
        <v>31</v>
      </c>
      <c r="E516">
        <v>4</v>
      </c>
      <c r="F516" s="2">
        <v>299.99</v>
      </c>
      <c r="G516">
        <v>0</v>
      </c>
      <c r="H516" s="2">
        <v>299.99</v>
      </c>
      <c r="I516" s="2">
        <v>1199.96</v>
      </c>
      <c r="J516" t="s">
        <v>19</v>
      </c>
      <c r="K516" t="s">
        <v>44</v>
      </c>
      <c r="L516" t="s">
        <v>21</v>
      </c>
      <c r="M516" t="s">
        <v>65</v>
      </c>
      <c r="N516" t="s">
        <v>54</v>
      </c>
      <c r="O516" t="s">
        <v>35</v>
      </c>
      <c r="P516">
        <v>4</v>
      </c>
      <c r="Q516" s="2">
        <f>Ventas[[#This Row],[precio_base]]*Ventas[[#This Row],[cantidad]]</f>
        <v>1199.96</v>
      </c>
      <c r="R516" s="2">
        <f>Ventas[[#This Row],[Total bruto (antes de descuento)]]-Ventas[[#This Row],[total_venta]]</f>
        <v>0</v>
      </c>
    </row>
    <row r="517" spans="1:18" x14ac:dyDescent="0.25">
      <c r="A517" t="s">
        <v>610</v>
      </c>
      <c r="B517" s="1">
        <v>45265</v>
      </c>
      <c r="C517" t="s">
        <v>163</v>
      </c>
      <c r="D517" t="s">
        <v>18</v>
      </c>
      <c r="E517">
        <v>1</v>
      </c>
      <c r="F517" s="2">
        <v>499.99</v>
      </c>
      <c r="G517">
        <v>0</v>
      </c>
      <c r="H517" s="2">
        <v>499.99</v>
      </c>
      <c r="I517" s="2">
        <v>499.99</v>
      </c>
      <c r="J517" t="s">
        <v>51</v>
      </c>
      <c r="K517" t="s">
        <v>20</v>
      </c>
      <c r="L517" t="s">
        <v>45</v>
      </c>
      <c r="M517" t="s">
        <v>53</v>
      </c>
      <c r="N517" t="s">
        <v>54</v>
      </c>
      <c r="O517" t="s">
        <v>35</v>
      </c>
      <c r="Q517" s="2">
        <f>Ventas[[#This Row],[precio_base]]*Ventas[[#This Row],[cantidad]]</f>
        <v>499.99</v>
      </c>
      <c r="R517" s="2">
        <f>Ventas[[#This Row],[Total bruto (antes de descuento)]]-Ventas[[#This Row],[total_venta]]</f>
        <v>0</v>
      </c>
    </row>
    <row r="518" spans="1:18" x14ac:dyDescent="0.25">
      <c r="A518" t="s">
        <v>611</v>
      </c>
      <c r="B518" s="1">
        <v>45432</v>
      </c>
      <c r="C518" t="s">
        <v>78</v>
      </c>
      <c r="D518" t="s">
        <v>18</v>
      </c>
      <c r="E518">
        <v>1</v>
      </c>
      <c r="F518" s="2">
        <v>349.99</v>
      </c>
      <c r="G518">
        <v>20</v>
      </c>
      <c r="H518" s="2">
        <v>279.99</v>
      </c>
      <c r="I518" s="2">
        <v>279.99</v>
      </c>
      <c r="J518" t="s">
        <v>19</v>
      </c>
      <c r="K518" t="s">
        <v>44</v>
      </c>
      <c r="L518" t="s">
        <v>152</v>
      </c>
      <c r="M518" t="s">
        <v>84</v>
      </c>
      <c r="N518" t="s">
        <v>85</v>
      </c>
      <c r="O518" t="s">
        <v>35</v>
      </c>
      <c r="P518">
        <v>2</v>
      </c>
      <c r="Q518" s="2">
        <f>Ventas[[#This Row],[precio_base]]*Ventas[[#This Row],[cantidad]]</f>
        <v>349.99</v>
      </c>
      <c r="R518" s="2">
        <f>Ventas[[#This Row],[Total bruto (antes de descuento)]]-Ventas[[#This Row],[total_venta]]</f>
        <v>70</v>
      </c>
    </row>
    <row r="519" spans="1:18" x14ac:dyDescent="0.25">
      <c r="A519" t="s">
        <v>612</v>
      </c>
      <c r="B519" s="1">
        <v>45394</v>
      </c>
      <c r="C519" t="s">
        <v>83</v>
      </c>
      <c r="D519" t="s">
        <v>38</v>
      </c>
      <c r="E519">
        <v>3</v>
      </c>
      <c r="F519" s="2">
        <v>49.99</v>
      </c>
      <c r="G519">
        <v>5</v>
      </c>
      <c r="H519" s="2">
        <v>47.49</v>
      </c>
      <c r="I519" s="2">
        <v>142.47</v>
      </c>
      <c r="J519" t="s">
        <v>19</v>
      </c>
      <c r="K519" t="s">
        <v>20</v>
      </c>
      <c r="L519" t="s">
        <v>21</v>
      </c>
      <c r="M519" t="s">
        <v>67</v>
      </c>
      <c r="N519" t="s">
        <v>68</v>
      </c>
      <c r="O519" t="s">
        <v>35</v>
      </c>
      <c r="P519">
        <v>3</v>
      </c>
      <c r="Q519" s="2">
        <f>Ventas[[#This Row],[precio_base]]*Ventas[[#This Row],[cantidad]]</f>
        <v>149.97</v>
      </c>
      <c r="R519" s="2">
        <f>Ventas[[#This Row],[Total bruto (antes de descuento)]]-Ventas[[#This Row],[total_venta]]</f>
        <v>7.5</v>
      </c>
    </row>
    <row r="520" spans="1:18" x14ac:dyDescent="0.25">
      <c r="A520" t="s">
        <v>613</v>
      </c>
      <c r="B520" s="1">
        <v>45295</v>
      </c>
      <c r="C520" t="s">
        <v>70</v>
      </c>
      <c r="D520" t="s">
        <v>31</v>
      </c>
      <c r="E520">
        <v>3</v>
      </c>
      <c r="F520" s="2">
        <v>59.99</v>
      </c>
      <c r="G520">
        <v>5</v>
      </c>
      <c r="H520" s="2">
        <v>56.99</v>
      </c>
      <c r="I520" s="2">
        <v>170.97</v>
      </c>
      <c r="J520" t="s">
        <v>51</v>
      </c>
      <c r="K520" t="s">
        <v>52</v>
      </c>
      <c r="L520" t="s">
        <v>32</v>
      </c>
      <c r="M520" t="s">
        <v>95</v>
      </c>
      <c r="N520" t="s">
        <v>96</v>
      </c>
      <c r="O520" t="s">
        <v>48</v>
      </c>
      <c r="Q520" s="2">
        <f>Ventas[[#This Row],[precio_base]]*Ventas[[#This Row],[cantidad]]</f>
        <v>179.97</v>
      </c>
      <c r="R520" s="2">
        <f>Ventas[[#This Row],[Total bruto (antes de descuento)]]-Ventas[[#This Row],[total_venta]]</f>
        <v>9</v>
      </c>
    </row>
    <row r="521" spans="1:18" x14ac:dyDescent="0.25">
      <c r="A521" t="s">
        <v>614</v>
      </c>
      <c r="B521" s="1">
        <v>44936</v>
      </c>
      <c r="C521" t="s">
        <v>42</v>
      </c>
      <c r="D521" t="s">
        <v>43</v>
      </c>
      <c r="E521">
        <v>2</v>
      </c>
      <c r="F521" s="2">
        <v>349.99</v>
      </c>
      <c r="G521">
        <v>15</v>
      </c>
      <c r="H521" s="2">
        <v>297.49</v>
      </c>
      <c r="I521" s="2">
        <v>594.98</v>
      </c>
      <c r="J521" t="s">
        <v>51</v>
      </c>
      <c r="K521" t="s">
        <v>20</v>
      </c>
      <c r="L521" t="s">
        <v>45</v>
      </c>
      <c r="M521" t="s">
        <v>123</v>
      </c>
      <c r="N521" t="s">
        <v>124</v>
      </c>
      <c r="O521" t="s">
        <v>24</v>
      </c>
      <c r="Q521" s="2">
        <f>Ventas[[#This Row],[precio_base]]*Ventas[[#This Row],[cantidad]]</f>
        <v>699.98</v>
      </c>
      <c r="R521" s="2">
        <f>Ventas[[#This Row],[Total bruto (antes de descuento)]]-Ventas[[#This Row],[total_venta]]</f>
        <v>105</v>
      </c>
    </row>
    <row r="522" spans="1:18" x14ac:dyDescent="0.25">
      <c r="A522" t="s">
        <v>615</v>
      </c>
      <c r="B522" s="1">
        <v>45563</v>
      </c>
      <c r="C522" t="s">
        <v>61</v>
      </c>
      <c r="D522" t="s">
        <v>38</v>
      </c>
      <c r="E522">
        <v>1</v>
      </c>
      <c r="F522" s="2">
        <v>19.989999999999998</v>
      </c>
      <c r="G522">
        <v>0</v>
      </c>
      <c r="H522" s="2">
        <v>19.989999999999998</v>
      </c>
      <c r="I522" s="2">
        <v>19.989999999999998</v>
      </c>
      <c r="J522" t="s">
        <v>62</v>
      </c>
      <c r="K522" t="s">
        <v>20</v>
      </c>
      <c r="L522" t="s">
        <v>45</v>
      </c>
      <c r="M522" t="s">
        <v>63</v>
      </c>
      <c r="N522" t="s">
        <v>34</v>
      </c>
      <c r="O522" t="s">
        <v>24</v>
      </c>
      <c r="Q522" s="2">
        <f>Ventas[[#This Row],[precio_base]]*Ventas[[#This Row],[cantidad]]</f>
        <v>19.989999999999998</v>
      </c>
      <c r="R522" s="2">
        <f>Ventas[[#This Row],[Total bruto (antes de descuento)]]-Ventas[[#This Row],[total_venta]]</f>
        <v>0</v>
      </c>
    </row>
    <row r="523" spans="1:18" x14ac:dyDescent="0.25">
      <c r="A523" t="s">
        <v>616</v>
      </c>
      <c r="B523" s="1">
        <v>45394</v>
      </c>
      <c r="C523" t="s">
        <v>61</v>
      </c>
      <c r="D523" t="s">
        <v>38</v>
      </c>
      <c r="E523">
        <v>4</v>
      </c>
      <c r="F523" s="2">
        <v>19.989999999999998</v>
      </c>
      <c r="G523">
        <v>15</v>
      </c>
      <c r="H523" s="2">
        <v>16.989999999999998</v>
      </c>
      <c r="I523" s="2">
        <v>67.959999999999994</v>
      </c>
      <c r="J523" t="s">
        <v>62</v>
      </c>
      <c r="K523" t="s">
        <v>20</v>
      </c>
      <c r="L523" t="s">
        <v>32</v>
      </c>
      <c r="M523" t="s">
        <v>39</v>
      </c>
      <c r="N523" t="s">
        <v>40</v>
      </c>
      <c r="O523" t="s">
        <v>35</v>
      </c>
      <c r="Q523" s="2">
        <f>Ventas[[#This Row],[precio_base]]*Ventas[[#This Row],[cantidad]]</f>
        <v>79.959999999999994</v>
      </c>
      <c r="R523" s="2">
        <f>Ventas[[#This Row],[Total bruto (antes de descuento)]]-Ventas[[#This Row],[total_venta]]</f>
        <v>12</v>
      </c>
    </row>
    <row r="524" spans="1:18" x14ac:dyDescent="0.25">
      <c r="A524" t="s">
        <v>617</v>
      </c>
      <c r="B524" s="1">
        <v>45097</v>
      </c>
      <c r="C524" t="s">
        <v>17</v>
      </c>
      <c r="D524" t="s">
        <v>18</v>
      </c>
      <c r="E524">
        <v>2</v>
      </c>
      <c r="F524" s="2">
        <v>45.99</v>
      </c>
      <c r="G524">
        <v>15</v>
      </c>
      <c r="H524" s="2">
        <v>39.090000000000003</v>
      </c>
      <c r="I524" s="2">
        <v>78.180000000000007</v>
      </c>
      <c r="J524" t="s">
        <v>51</v>
      </c>
      <c r="K524" t="s">
        <v>20</v>
      </c>
      <c r="L524" t="s">
        <v>45</v>
      </c>
      <c r="M524" t="s">
        <v>67</v>
      </c>
      <c r="N524" t="s">
        <v>68</v>
      </c>
      <c r="O524" t="s">
        <v>35</v>
      </c>
      <c r="Q524" s="2">
        <f>Ventas[[#This Row],[precio_base]]*Ventas[[#This Row],[cantidad]]</f>
        <v>91.98</v>
      </c>
      <c r="R524" s="2">
        <f>Ventas[[#This Row],[Total bruto (antes de descuento)]]-Ventas[[#This Row],[total_venta]]</f>
        <v>13.799999999999997</v>
      </c>
    </row>
    <row r="525" spans="1:18" x14ac:dyDescent="0.25">
      <c r="A525" t="s">
        <v>618</v>
      </c>
      <c r="B525" s="1">
        <v>45531</v>
      </c>
      <c r="C525" t="s">
        <v>92</v>
      </c>
      <c r="D525" t="s">
        <v>27</v>
      </c>
      <c r="E525">
        <v>5</v>
      </c>
      <c r="F525" s="2">
        <v>79.989999999999995</v>
      </c>
      <c r="G525">
        <v>15</v>
      </c>
      <c r="H525" s="2">
        <v>67.989999999999995</v>
      </c>
      <c r="I525" s="2">
        <v>339.95</v>
      </c>
      <c r="J525" t="s">
        <v>19</v>
      </c>
      <c r="K525" t="s">
        <v>20</v>
      </c>
      <c r="L525" t="s">
        <v>45</v>
      </c>
      <c r="M525" t="s">
        <v>33</v>
      </c>
      <c r="N525" t="s">
        <v>34</v>
      </c>
      <c r="O525" t="s">
        <v>35</v>
      </c>
      <c r="P525">
        <v>1</v>
      </c>
      <c r="Q525" s="2">
        <f>Ventas[[#This Row],[precio_base]]*Ventas[[#This Row],[cantidad]]</f>
        <v>399.95</v>
      </c>
      <c r="R525" s="2">
        <f>Ventas[[#This Row],[Total bruto (antes de descuento)]]-Ventas[[#This Row],[total_venta]]</f>
        <v>60</v>
      </c>
    </row>
    <row r="526" spans="1:18" x14ac:dyDescent="0.25">
      <c r="A526" t="s">
        <v>619</v>
      </c>
      <c r="B526" s="1">
        <v>45627</v>
      </c>
      <c r="C526" t="s">
        <v>130</v>
      </c>
      <c r="D526" t="s">
        <v>43</v>
      </c>
      <c r="E526">
        <v>2</v>
      </c>
      <c r="F526" s="2">
        <v>24.99</v>
      </c>
      <c r="G526">
        <v>5</v>
      </c>
      <c r="H526" s="2">
        <v>23.74</v>
      </c>
      <c r="I526" s="2">
        <v>47.48</v>
      </c>
      <c r="J526" t="s">
        <v>90</v>
      </c>
      <c r="K526" t="s">
        <v>52</v>
      </c>
      <c r="L526" t="s">
        <v>45</v>
      </c>
      <c r="M526" t="s">
        <v>95</v>
      </c>
      <c r="N526" t="s">
        <v>96</v>
      </c>
      <c r="O526" t="s">
        <v>48</v>
      </c>
      <c r="Q526" s="2">
        <f>Ventas[[#This Row],[precio_base]]*Ventas[[#This Row],[cantidad]]</f>
        <v>49.98</v>
      </c>
      <c r="R526" s="2">
        <f>Ventas[[#This Row],[Total bruto (antes de descuento)]]-Ventas[[#This Row],[total_venta]]</f>
        <v>2.5</v>
      </c>
    </row>
    <row r="527" spans="1:18" x14ac:dyDescent="0.25">
      <c r="A527" t="s">
        <v>620</v>
      </c>
      <c r="B527" s="1">
        <v>44991</v>
      </c>
      <c r="C527" t="s">
        <v>61</v>
      </c>
      <c r="D527" t="s">
        <v>38</v>
      </c>
      <c r="E527">
        <v>3</v>
      </c>
      <c r="F527" s="2">
        <v>19.989999999999998</v>
      </c>
      <c r="G527">
        <v>0</v>
      </c>
      <c r="H527" s="2">
        <v>19.989999999999998</v>
      </c>
      <c r="I527" s="2">
        <v>59.97</v>
      </c>
      <c r="J527" t="s">
        <v>51</v>
      </c>
      <c r="K527" t="s">
        <v>44</v>
      </c>
      <c r="L527" t="s">
        <v>28</v>
      </c>
      <c r="M527" t="s">
        <v>73</v>
      </c>
      <c r="N527" t="s">
        <v>74</v>
      </c>
      <c r="O527" t="s">
        <v>35</v>
      </c>
      <c r="Q527" s="2">
        <f>Ventas[[#This Row],[precio_base]]*Ventas[[#This Row],[cantidad]]</f>
        <v>59.97</v>
      </c>
      <c r="R527" s="2">
        <f>Ventas[[#This Row],[Total bruto (antes de descuento)]]-Ventas[[#This Row],[total_venta]]</f>
        <v>0</v>
      </c>
    </row>
    <row r="528" spans="1:18" x14ac:dyDescent="0.25">
      <c r="A528" t="s">
        <v>621</v>
      </c>
      <c r="B528" s="1">
        <v>45505</v>
      </c>
      <c r="C528" t="s">
        <v>163</v>
      </c>
      <c r="D528" t="s">
        <v>18</v>
      </c>
      <c r="E528">
        <v>3</v>
      </c>
      <c r="F528" s="2">
        <v>499.99</v>
      </c>
      <c r="G528">
        <v>10</v>
      </c>
      <c r="H528" s="2">
        <v>449.99</v>
      </c>
      <c r="I528" s="2">
        <v>1349.97</v>
      </c>
      <c r="J528" t="s">
        <v>19</v>
      </c>
      <c r="K528" t="s">
        <v>44</v>
      </c>
      <c r="L528" t="s">
        <v>45</v>
      </c>
      <c r="M528" t="s">
        <v>84</v>
      </c>
      <c r="N528" t="s">
        <v>85</v>
      </c>
      <c r="O528" t="s">
        <v>35</v>
      </c>
      <c r="P528">
        <v>2</v>
      </c>
      <c r="Q528" s="2">
        <f>Ventas[[#This Row],[precio_base]]*Ventas[[#This Row],[cantidad]]</f>
        <v>1499.97</v>
      </c>
      <c r="R528" s="2">
        <f>Ventas[[#This Row],[Total bruto (antes de descuento)]]-Ventas[[#This Row],[total_venta]]</f>
        <v>150</v>
      </c>
    </row>
    <row r="529" spans="1:18" x14ac:dyDescent="0.25">
      <c r="A529" t="s">
        <v>622</v>
      </c>
      <c r="B529" s="1">
        <v>45420</v>
      </c>
      <c r="C529" t="s">
        <v>89</v>
      </c>
      <c r="D529" t="s">
        <v>38</v>
      </c>
      <c r="E529">
        <v>4</v>
      </c>
      <c r="F529" s="2">
        <v>69.989999999999995</v>
      </c>
      <c r="G529">
        <v>0</v>
      </c>
      <c r="H529" s="2">
        <v>69.989999999999995</v>
      </c>
      <c r="I529" s="2">
        <v>279.95999999999998</v>
      </c>
      <c r="J529" t="s">
        <v>62</v>
      </c>
      <c r="K529" t="s">
        <v>52</v>
      </c>
      <c r="L529" t="s">
        <v>28</v>
      </c>
      <c r="M529" t="s">
        <v>65</v>
      </c>
      <c r="N529" t="s">
        <v>54</v>
      </c>
      <c r="O529" t="s">
        <v>35</v>
      </c>
      <c r="Q529" s="2">
        <f>Ventas[[#This Row],[precio_base]]*Ventas[[#This Row],[cantidad]]</f>
        <v>279.95999999999998</v>
      </c>
      <c r="R529" s="2">
        <f>Ventas[[#This Row],[Total bruto (antes de descuento)]]-Ventas[[#This Row],[total_venta]]</f>
        <v>0</v>
      </c>
    </row>
    <row r="530" spans="1:18" x14ac:dyDescent="0.25">
      <c r="A530" t="s">
        <v>623</v>
      </c>
      <c r="B530" s="1">
        <v>44938</v>
      </c>
      <c r="C530" t="s">
        <v>72</v>
      </c>
      <c r="D530" t="s">
        <v>31</v>
      </c>
      <c r="E530">
        <v>2</v>
      </c>
      <c r="F530" s="2">
        <v>29.99</v>
      </c>
      <c r="G530">
        <v>10</v>
      </c>
      <c r="H530" s="2">
        <v>26.99</v>
      </c>
      <c r="I530" s="2">
        <v>53.98</v>
      </c>
      <c r="J530" t="s">
        <v>62</v>
      </c>
      <c r="K530" t="s">
        <v>44</v>
      </c>
      <c r="L530" t="s">
        <v>21</v>
      </c>
      <c r="M530" t="s">
        <v>67</v>
      </c>
      <c r="N530" t="s">
        <v>68</v>
      </c>
      <c r="O530" t="s">
        <v>35</v>
      </c>
      <c r="Q530" s="2">
        <f>Ventas[[#This Row],[precio_base]]*Ventas[[#This Row],[cantidad]]</f>
        <v>59.98</v>
      </c>
      <c r="R530" s="2">
        <f>Ventas[[#This Row],[Total bruto (antes de descuento)]]-Ventas[[#This Row],[total_venta]]</f>
        <v>6</v>
      </c>
    </row>
    <row r="531" spans="1:18" x14ac:dyDescent="0.25">
      <c r="A531" t="s">
        <v>624</v>
      </c>
      <c r="B531" s="1">
        <v>45430</v>
      </c>
      <c r="C531" t="s">
        <v>141</v>
      </c>
      <c r="D531" t="s">
        <v>38</v>
      </c>
      <c r="E531">
        <v>2</v>
      </c>
      <c r="F531" s="2">
        <v>89.99</v>
      </c>
      <c r="G531">
        <v>0</v>
      </c>
      <c r="H531" s="2">
        <v>89.99</v>
      </c>
      <c r="I531" s="2">
        <v>179.98</v>
      </c>
      <c r="J531" t="s">
        <v>116</v>
      </c>
      <c r="K531" t="s">
        <v>44</v>
      </c>
      <c r="L531" t="s">
        <v>45</v>
      </c>
      <c r="M531" t="s">
        <v>46</v>
      </c>
      <c r="N531" t="s">
        <v>47</v>
      </c>
      <c r="O531" t="s">
        <v>48</v>
      </c>
      <c r="Q531" s="2">
        <f>Ventas[[#This Row],[precio_base]]*Ventas[[#This Row],[cantidad]]</f>
        <v>179.98</v>
      </c>
      <c r="R531" s="2">
        <f>Ventas[[#This Row],[Total bruto (antes de descuento)]]-Ventas[[#This Row],[total_venta]]</f>
        <v>0</v>
      </c>
    </row>
    <row r="532" spans="1:18" x14ac:dyDescent="0.25">
      <c r="A532" t="s">
        <v>625</v>
      </c>
      <c r="B532" s="1">
        <v>45314</v>
      </c>
      <c r="C532" t="s">
        <v>109</v>
      </c>
      <c r="D532" t="s">
        <v>38</v>
      </c>
      <c r="E532">
        <v>2</v>
      </c>
      <c r="F532" s="2">
        <v>39.99</v>
      </c>
      <c r="G532">
        <v>0</v>
      </c>
      <c r="H532" s="2">
        <v>39.99</v>
      </c>
      <c r="I532" s="2">
        <v>79.98</v>
      </c>
      <c r="J532" t="s">
        <v>19</v>
      </c>
      <c r="K532" t="s">
        <v>44</v>
      </c>
      <c r="L532" t="s">
        <v>21</v>
      </c>
      <c r="M532" t="s">
        <v>39</v>
      </c>
      <c r="N532" t="s">
        <v>40</v>
      </c>
      <c r="O532" t="s">
        <v>35</v>
      </c>
      <c r="P532">
        <v>4</v>
      </c>
      <c r="Q532" s="2">
        <f>Ventas[[#This Row],[precio_base]]*Ventas[[#This Row],[cantidad]]</f>
        <v>79.98</v>
      </c>
      <c r="R532" s="2">
        <f>Ventas[[#This Row],[Total bruto (antes de descuento)]]-Ventas[[#This Row],[total_venta]]</f>
        <v>0</v>
      </c>
    </row>
    <row r="533" spans="1:18" x14ac:dyDescent="0.25">
      <c r="A533" t="s">
        <v>626</v>
      </c>
      <c r="B533" s="1">
        <v>45384</v>
      </c>
      <c r="C533" t="s">
        <v>141</v>
      </c>
      <c r="D533" t="s">
        <v>38</v>
      </c>
      <c r="E533">
        <v>1</v>
      </c>
      <c r="F533" s="2">
        <v>89.99</v>
      </c>
      <c r="G533">
        <v>5</v>
      </c>
      <c r="H533" s="2">
        <v>85.49</v>
      </c>
      <c r="I533" s="2">
        <v>85.49</v>
      </c>
      <c r="J533" t="s">
        <v>51</v>
      </c>
      <c r="K533" t="s">
        <v>20</v>
      </c>
      <c r="L533" t="s">
        <v>45</v>
      </c>
      <c r="M533" t="s">
        <v>46</v>
      </c>
      <c r="N533" t="s">
        <v>47</v>
      </c>
      <c r="O533" t="s">
        <v>48</v>
      </c>
      <c r="Q533" s="2">
        <f>Ventas[[#This Row],[precio_base]]*Ventas[[#This Row],[cantidad]]</f>
        <v>89.99</v>
      </c>
      <c r="R533" s="2">
        <f>Ventas[[#This Row],[Total bruto (antes de descuento)]]-Ventas[[#This Row],[total_venta]]</f>
        <v>4.5</v>
      </c>
    </row>
    <row r="534" spans="1:18" x14ac:dyDescent="0.25">
      <c r="A534" t="s">
        <v>627</v>
      </c>
      <c r="B534" s="1">
        <v>45497</v>
      </c>
      <c r="C534" t="s">
        <v>50</v>
      </c>
      <c r="D534" t="s">
        <v>27</v>
      </c>
      <c r="E534">
        <v>1</v>
      </c>
      <c r="F534" s="2">
        <v>149.99</v>
      </c>
      <c r="G534">
        <v>20</v>
      </c>
      <c r="H534" s="2">
        <v>119.99</v>
      </c>
      <c r="I534" s="2">
        <v>119.99</v>
      </c>
      <c r="J534" t="s">
        <v>19</v>
      </c>
      <c r="K534" t="s">
        <v>57</v>
      </c>
      <c r="L534" t="s">
        <v>28</v>
      </c>
      <c r="M534" t="s">
        <v>33</v>
      </c>
      <c r="N534" t="s">
        <v>34</v>
      </c>
      <c r="O534" t="s">
        <v>35</v>
      </c>
      <c r="P534">
        <v>5</v>
      </c>
      <c r="Q534" s="2">
        <f>Ventas[[#This Row],[precio_base]]*Ventas[[#This Row],[cantidad]]</f>
        <v>149.99</v>
      </c>
      <c r="R534" s="2">
        <f>Ventas[[#This Row],[Total bruto (antes de descuento)]]-Ventas[[#This Row],[total_venta]]</f>
        <v>30.000000000000014</v>
      </c>
    </row>
    <row r="535" spans="1:18" x14ac:dyDescent="0.25">
      <c r="A535" t="s">
        <v>628</v>
      </c>
      <c r="B535" s="1">
        <v>45502</v>
      </c>
      <c r="C535" t="s">
        <v>115</v>
      </c>
      <c r="D535" t="s">
        <v>18</v>
      </c>
      <c r="E535">
        <v>4</v>
      </c>
      <c r="F535" s="2">
        <v>799.99</v>
      </c>
      <c r="G535">
        <v>0</v>
      </c>
      <c r="H535" s="2">
        <v>799.99</v>
      </c>
      <c r="I535" s="2">
        <v>3199.96</v>
      </c>
      <c r="J535" t="s">
        <v>19</v>
      </c>
      <c r="K535" t="s">
        <v>52</v>
      </c>
      <c r="L535" t="s">
        <v>32</v>
      </c>
      <c r="M535" t="s">
        <v>46</v>
      </c>
      <c r="N535" t="s">
        <v>47</v>
      </c>
      <c r="O535" t="s">
        <v>48</v>
      </c>
      <c r="P535">
        <v>3</v>
      </c>
      <c r="Q535" s="2">
        <f>Ventas[[#This Row],[precio_base]]*Ventas[[#This Row],[cantidad]]</f>
        <v>3199.96</v>
      </c>
      <c r="R535" s="2">
        <f>Ventas[[#This Row],[Total bruto (antes de descuento)]]-Ventas[[#This Row],[total_venta]]</f>
        <v>0</v>
      </c>
    </row>
    <row r="536" spans="1:18" x14ac:dyDescent="0.25">
      <c r="A536" t="s">
        <v>629</v>
      </c>
      <c r="B536" s="1">
        <v>45500</v>
      </c>
      <c r="C536" t="s">
        <v>98</v>
      </c>
      <c r="D536" t="s">
        <v>31</v>
      </c>
      <c r="E536">
        <v>5</v>
      </c>
      <c r="F536" s="2">
        <v>99.99</v>
      </c>
      <c r="G536">
        <v>10</v>
      </c>
      <c r="H536" s="2">
        <v>89.99</v>
      </c>
      <c r="I536" s="2">
        <v>449.95</v>
      </c>
      <c r="J536" t="s">
        <v>19</v>
      </c>
      <c r="K536" t="s">
        <v>20</v>
      </c>
      <c r="L536" t="s">
        <v>45</v>
      </c>
      <c r="M536" t="s">
        <v>73</v>
      </c>
      <c r="N536" t="s">
        <v>74</v>
      </c>
      <c r="O536" t="s">
        <v>35</v>
      </c>
      <c r="P536">
        <v>1</v>
      </c>
      <c r="Q536" s="2">
        <f>Ventas[[#This Row],[precio_base]]*Ventas[[#This Row],[cantidad]]</f>
        <v>499.95</v>
      </c>
      <c r="R536" s="2">
        <f>Ventas[[#This Row],[Total bruto (antes de descuento)]]-Ventas[[#This Row],[total_venta]]</f>
        <v>50</v>
      </c>
    </row>
    <row r="537" spans="1:18" x14ac:dyDescent="0.25">
      <c r="A537" t="s">
        <v>630</v>
      </c>
      <c r="B537" s="1">
        <v>45601</v>
      </c>
      <c r="C537" t="s">
        <v>163</v>
      </c>
      <c r="D537" t="s">
        <v>18</v>
      </c>
      <c r="E537">
        <v>1</v>
      </c>
      <c r="F537" s="2">
        <v>499.99</v>
      </c>
      <c r="G537">
        <v>0</v>
      </c>
      <c r="H537" s="2">
        <v>499.99</v>
      </c>
      <c r="I537" s="2">
        <v>499.99</v>
      </c>
      <c r="J537" t="s">
        <v>19</v>
      </c>
      <c r="K537" t="s">
        <v>57</v>
      </c>
      <c r="L537" t="s">
        <v>21</v>
      </c>
      <c r="M537" t="s">
        <v>73</v>
      </c>
      <c r="N537" t="s">
        <v>74</v>
      </c>
      <c r="O537" t="s">
        <v>35</v>
      </c>
      <c r="P537">
        <v>5</v>
      </c>
      <c r="Q537" s="2">
        <f>Ventas[[#This Row],[precio_base]]*Ventas[[#This Row],[cantidad]]</f>
        <v>499.99</v>
      </c>
      <c r="R537" s="2">
        <f>Ventas[[#This Row],[Total bruto (antes de descuento)]]-Ventas[[#This Row],[total_venta]]</f>
        <v>0</v>
      </c>
    </row>
    <row r="538" spans="1:18" x14ac:dyDescent="0.25">
      <c r="A538" t="s">
        <v>631</v>
      </c>
      <c r="B538" s="1">
        <v>45309</v>
      </c>
      <c r="C538" t="s">
        <v>30</v>
      </c>
      <c r="D538" t="s">
        <v>31</v>
      </c>
      <c r="E538">
        <v>1</v>
      </c>
      <c r="F538" s="2">
        <v>299.99</v>
      </c>
      <c r="G538">
        <v>0</v>
      </c>
      <c r="H538" s="2">
        <v>299.99</v>
      </c>
      <c r="I538" s="2">
        <v>299.99</v>
      </c>
      <c r="J538" t="s">
        <v>62</v>
      </c>
      <c r="K538" t="s">
        <v>20</v>
      </c>
      <c r="L538" t="s">
        <v>28</v>
      </c>
      <c r="M538" t="s">
        <v>101</v>
      </c>
      <c r="N538" t="s">
        <v>102</v>
      </c>
      <c r="O538" t="s">
        <v>35</v>
      </c>
      <c r="Q538" s="2">
        <f>Ventas[[#This Row],[precio_base]]*Ventas[[#This Row],[cantidad]]</f>
        <v>299.99</v>
      </c>
      <c r="R538" s="2">
        <f>Ventas[[#This Row],[Total bruto (antes de descuento)]]-Ventas[[#This Row],[total_venta]]</f>
        <v>0</v>
      </c>
    </row>
    <row r="539" spans="1:18" x14ac:dyDescent="0.25">
      <c r="A539" t="s">
        <v>632</v>
      </c>
      <c r="B539" s="1">
        <v>45346</v>
      </c>
      <c r="C539" t="s">
        <v>17</v>
      </c>
      <c r="D539" t="s">
        <v>18</v>
      </c>
      <c r="E539">
        <v>3</v>
      </c>
      <c r="F539" s="2">
        <v>45.99</v>
      </c>
      <c r="G539">
        <v>10</v>
      </c>
      <c r="H539" s="2">
        <v>41.39</v>
      </c>
      <c r="I539" s="2">
        <v>124.17</v>
      </c>
      <c r="J539" t="s">
        <v>19</v>
      </c>
      <c r="K539" t="s">
        <v>52</v>
      </c>
      <c r="L539" t="s">
        <v>45</v>
      </c>
      <c r="M539" t="s">
        <v>95</v>
      </c>
      <c r="N539" t="s">
        <v>96</v>
      </c>
      <c r="O539" t="s">
        <v>48</v>
      </c>
      <c r="P539">
        <v>4</v>
      </c>
      <c r="Q539" s="2">
        <f>Ventas[[#This Row],[precio_base]]*Ventas[[#This Row],[cantidad]]</f>
        <v>137.97</v>
      </c>
      <c r="R539" s="2">
        <f>Ventas[[#This Row],[Total bruto (antes de descuento)]]-Ventas[[#This Row],[total_venta]]</f>
        <v>13.799999999999997</v>
      </c>
    </row>
    <row r="540" spans="1:18" x14ac:dyDescent="0.25">
      <c r="A540" t="s">
        <v>633</v>
      </c>
      <c r="B540" s="1">
        <v>45122</v>
      </c>
      <c r="C540" t="s">
        <v>30</v>
      </c>
      <c r="D540" t="s">
        <v>31</v>
      </c>
      <c r="E540">
        <v>3</v>
      </c>
      <c r="F540" s="2">
        <v>299.99</v>
      </c>
      <c r="G540">
        <v>0</v>
      </c>
      <c r="H540" s="2">
        <v>299.99</v>
      </c>
      <c r="I540" s="2">
        <v>899.97</v>
      </c>
      <c r="J540" t="s">
        <v>51</v>
      </c>
      <c r="K540" t="s">
        <v>52</v>
      </c>
      <c r="L540" t="s">
        <v>32</v>
      </c>
      <c r="M540" t="s">
        <v>46</v>
      </c>
      <c r="N540" t="s">
        <v>47</v>
      </c>
      <c r="O540" t="s">
        <v>48</v>
      </c>
      <c r="Q540" s="2">
        <f>Ventas[[#This Row],[precio_base]]*Ventas[[#This Row],[cantidad]]</f>
        <v>899.97</v>
      </c>
      <c r="R540" s="2">
        <f>Ventas[[#This Row],[Total bruto (antes de descuento)]]-Ventas[[#This Row],[total_venta]]</f>
        <v>0</v>
      </c>
    </row>
    <row r="541" spans="1:18" x14ac:dyDescent="0.25">
      <c r="A541" t="s">
        <v>634</v>
      </c>
      <c r="B541" s="1">
        <v>45529</v>
      </c>
      <c r="C541" t="s">
        <v>17</v>
      </c>
      <c r="D541" t="s">
        <v>18</v>
      </c>
      <c r="E541">
        <v>4</v>
      </c>
      <c r="F541" s="2">
        <v>45.99</v>
      </c>
      <c r="G541">
        <v>5</v>
      </c>
      <c r="H541" s="2">
        <v>43.69</v>
      </c>
      <c r="I541" s="2">
        <v>174.76</v>
      </c>
      <c r="J541" t="s">
        <v>51</v>
      </c>
      <c r="K541" t="s">
        <v>20</v>
      </c>
      <c r="L541" t="s">
        <v>45</v>
      </c>
      <c r="M541" t="s">
        <v>65</v>
      </c>
      <c r="N541" t="s">
        <v>54</v>
      </c>
      <c r="O541" t="s">
        <v>35</v>
      </c>
      <c r="Q541" s="2">
        <f>Ventas[[#This Row],[precio_base]]*Ventas[[#This Row],[cantidad]]</f>
        <v>183.96</v>
      </c>
      <c r="R541" s="2">
        <f>Ventas[[#This Row],[Total bruto (antes de descuento)]]-Ventas[[#This Row],[total_venta]]</f>
        <v>9.2000000000000171</v>
      </c>
    </row>
    <row r="542" spans="1:18" x14ac:dyDescent="0.25">
      <c r="A542" t="s">
        <v>635</v>
      </c>
      <c r="B542" s="1">
        <v>45470</v>
      </c>
      <c r="C542" t="s">
        <v>76</v>
      </c>
      <c r="D542" t="s">
        <v>31</v>
      </c>
      <c r="E542">
        <v>1</v>
      </c>
      <c r="F542" s="2">
        <v>69.989999999999995</v>
      </c>
      <c r="G542">
        <v>10</v>
      </c>
      <c r="H542" s="2">
        <v>62.99</v>
      </c>
      <c r="I542" s="2">
        <v>62.99</v>
      </c>
      <c r="J542" t="s">
        <v>90</v>
      </c>
      <c r="K542" t="s">
        <v>44</v>
      </c>
      <c r="L542" t="s">
        <v>152</v>
      </c>
      <c r="M542" t="s">
        <v>67</v>
      </c>
      <c r="N542" t="s">
        <v>68</v>
      </c>
      <c r="O542" t="s">
        <v>35</v>
      </c>
      <c r="Q542" s="2">
        <f>Ventas[[#This Row],[precio_base]]*Ventas[[#This Row],[cantidad]]</f>
        <v>69.989999999999995</v>
      </c>
      <c r="R542" s="2">
        <f>Ventas[[#This Row],[Total bruto (antes de descuento)]]-Ventas[[#This Row],[total_venta]]</f>
        <v>6.9999999999999929</v>
      </c>
    </row>
    <row r="543" spans="1:18" x14ac:dyDescent="0.25">
      <c r="A543" t="s">
        <v>636</v>
      </c>
      <c r="B543" s="1">
        <v>45108</v>
      </c>
      <c r="C543" t="s">
        <v>30</v>
      </c>
      <c r="D543" t="s">
        <v>31</v>
      </c>
      <c r="E543">
        <v>5</v>
      </c>
      <c r="F543" s="2">
        <v>299.99</v>
      </c>
      <c r="G543">
        <v>0</v>
      </c>
      <c r="H543" s="2">
        <v>299.99</v>
      </c>
      <c r="I543" s="2">
        <v>1499.95</v>
      </c>
      <c r="J543" t="s">
        <v>51</v>
      </c>
      <c r="K543" t="s">
        <v>20</v>
      </c>
      <c r="L543" t="s">
        <v>28</v>
      </c>
      <c r="M543" t="s">
        <v>63</v>
      </c>
      <c r="N543" t="s">
        <v>34</v>
      </c>
      <c r="O543" t="s">
        <v>24</v>
      </c>
      <c r="Q543" s="2">
        <f>Ventas[[#This Row],[precio_base]]*Ventas[[#This Row],[cantidad]]</f>
        <v>1499.95</v>
      </c>
      <c r="R543" s="2">
        <f>Ventas[[#This Row],[Total bruto (antes de descuento)]]-Ventas[[#This Row],[total_venta]]</f>
        <v>0</v>
      </c>
    </row>
    <row r="544" spans="1:18" x14ac:dyDescent="0.25">
      <c r="A544" t="s">
        <v>637</v>
      </c>
      <c r="B544" s="1">
        <v>45547</v>
      </c>
      <c r="C544" t="s">
        <v>130</v>
      </c>
      <c r="D544" t="s">
        <v>43</v>
      </c>
      <c r="E544">
        <v>3</v>
      </c>
      <c r="F544" s="2">
        <v>24.99</v>
      </c>
      <c r="G544">
        <v>10</v>
      </c>
      <c r="H544" s="2">
        <v>22.49</v>
      </c>
      <c r="I544" s="2">
        <v>67.47</v>
      </c>
      <c r="J544" t="s">
        <v>62</v>
      </c>
      <c r="K544" t="s">
        <v>57</v>
      </c>
      <c r="L544" t="s">
        <v>152</v>
      </c>
      <c r="M544" t="s">
        <v>120</v>
      </c>
      <c r="N544" t="s">
        <v>23</v>
      </c>
      <c r="O544" t="s">
        <v>24</v>
      </c>
      <c r="Q544" s="2">
        <f>Ventas[[#This Row],[precio_base]]*Ventas[[#This Row],[cantidad]]</f>
        <v>74.97</v>
      </c>
      <c r="R544" s="2">
        <f>Ventas[[#This Row],[Total bruto (antes de descuento)]]-Ventas[[#This Row],[total_venta]]</f>
        <v>7.5</v>
      </c>
    </row>
    <row r="545" spans="1:18" x14ac:dyDescent="0.25">
      <c r="A545" t="s">
        <v>638</v>
      </c>
      <c r="B545" s="1">
        <v>45181</v>
      </c>
      <c r="C545" t="s">
        <v>61</v>
      </c>
      <c r="D545" t="s">
        <v>38</v>
      </c>
      <c r="E545">
        <v>4</v>
      </c>
      <c r="F545" s="2">
        <v>19.989999999999998</v>
      </c>
      <c r="G545">
        <v>0</v>
      </c>
      <c r="H545" s="2">
        <v>19.989999999999998</v>
      </c>
      <c r="I545" s="2">
        <v>79.959999999999994</v>
      </c>
      <c r="J545" t="s">
        <v>116</v>
      </c>
      <c r="K545" t="s">
        <v>52</v>
      </c>
      <c r="L545" t="s">
        <v>21</v>
      </c>
      <c r="M545" t="s">
        <v>101</v>
      </c>
      <c r="N545" t="s">
        <v>102</v>
      </c>
      <c r="O545" t="s">
        <v>35</v>
      </c>
      <c r="Q545" s="2">
        <f>Ventas[[#This Row],[precio_base]]*Ventas[[#This Row],[cantidad]]</f>
        <v>79.959999999999994</v>
      </c>
      <c r="R545" s="2">
        <f>Ventas[[#This Row],[Total bruto (antes de descuento)]]-Ventas[[#This Row],[total_venta]]</f>
        <v>0</v>
      </c>
    </row>
    <row r="546" spans="1:18" x14ac:dyDescent="0.25">
      <c r="A546" t="s">
        <v>639</v>
      </c>
      <c r="B546" s="1">
        <v>45543</v>
      </c>
      <c r="C546" t="s">
        <v>30</v>
      </c>
      <c r="D546" t="s">
        <v>31</v>
      </c>
      <c r="E546">
        <v>5</v>
      </c>
      <c r="F546" s="2">
        <v>299.99</v>
      </c>
      <c r="G546">
        <v>0</v>
      </c>
      <c r="H546" s="2">
        <v>299.99</v>
      </c>
      <c r="I546" s="2">
        <v>1499.95</v>
      </c>
      <c r="J546" t="s">
        <v>62</v>
      </c>
      <c r="K546" t="s">
        <v>52</v>
      </c>
      <c r="L546" t="s">
        <v>28</v>
      </c>
      <c r="M546" t="s">
        <v>65</v>
      </c>
      <c r="N546" t="s">
        <v>54</v>
      </c>
      <c r="O546" t="s">
        <v>35</v>
      </c>
      <c r="Q546" s="2">
        <f>Ventas[[#This Row],[precio_base]]*Ventas[[#This Row],[cantidad]]</f>
        <v>1499.95</v>
      </c>
      <c r="R546" s="2">
        <f>Ventas[[#This Row],[Total bruto (antes de descuento)]]-Ventas[[#This Row],[total_venta]]</f>
        <v>0</v>
      </c>
    </row>
    <row r="547" spans="1:18" x14ac:dyDescent="0.25">
      <c r="A547" t="s">
        <v>640</v>
      </c>
      <c r="B547" s="1">
        <v>45493</v>
      </c>
      <c r="C547" t="s">
        <v>72</v>
      </c>
      <c r="D547" t="s">
        <v>31</v>
      </c>
      <c r="E547">
        <v>2</v>
      </c>
      <c r="F547" s="2">
        <v>29.99</v>
      </c>
      <c r="G547">
        <v>0</v>
      </c>
      <c r="H547" s="2">
        <v>29.99</v>
      </c>
      <c r="I547" s="2">
        <v>59.98</v>
      </c>
      <c r="J547" t="s">
        <v>19</v>
      </c>
      <c r="K547" t="s">
        <v>20</v>
      </c>
      <c r="L547" t="s">
        <v>21</v>
      </c>
      <c r="M547" t="s">
        <v>84</v>
      </c>
      <c r="N547" t="s">
        <v>85</v>
      </c>
      <c r="O547" t="s">
        <v>35</v>
      </c>
      <c r="P547">
        <v>2</v>
      </c>
      <c r="Q547" s="2">
        <f>Ventas[[#This Row],[precio_base]]*Ventas[[#This Row],[cantidad]]</f>
        <v>59.98</v>
      </c>
      <c r="R547" s="2">
        <f>Ventas[[#This Row],[Total bruto (antes de descuento)]]-Ventas[[#This Row],[total_venta]]</f>
        <v>0</v>
      </c>
    </row>
    <row r="548" spans="1:18" x14ac:dyDescent="0.25">
      <c r="A548" t="s">
        <v>641</v>
      </c>
      <c r="B548" s="1">
        <v>45654</v>
      </c>
      <c r="C548" t="s">
        <v>72</v>
      </c>
      <c r="D548" t="s">
        <v>31</v>
      </c>
      <c r="E548">
        <v>2</v>
      </c>
      <c r="F548" s="2">
        <v>29.99</v>
      </c>
      <c r="G548">
        <v>10</v>
      </c>
      <c r="H548" s="2">
        <v>26.99</v>
      </c>
      <c r="I548" s="2">
        <v>53.98</v>
      </c>
      <c r="J548" t="s">
        <v>19</v>
      </c>
      <c r="K548" t="s">
        <v>20</v>
      </c>
      <c r="L548" t="s">
        <v>21</v>
      </c>
      <c r="M548" t="s">
        <v>73</v>
      </c>
      <c r="N548" t="s">
        <v>74</v>
      </c>
      <c r="O548" t="s">
        <v>35</v>
      </c>
      <c r="P548">
        <v>3</v>
      </c>
      <c r="Q548" s="2">
        <f>Ventas[[#This Row],[precio_base]]*Ventas[[#This Row],[cantidad]]</f>
        <v>59.98</v>
      </c>
      <c r="R548" s="2">
        <f>Ventas[[#This Row],[Total bruto (antes de descuento)]]-Ventas[[#This Row],[total_venta]]</f>
        <v>6</v>
      </c>
    </row>
    <row r="549" spans="1:18" x14ac:dyDescent="0.25">
      <c r="A549" t="s">
        <v>642</v>
      </c>
      <c r="B549" s="1">
        <v>45502</v>
      </c>
      <c r="C549" t="s">
        <v>92</v>
      </c>
      <c r="D549" t="s">
        <v>27</v>
      </c>
      <c r="E549">
        <v>5</v>
      </c>
      <c r="F549" s="2">
        <v>79.989999999999995</v>
      </c>
      <c r="G549">
        <v>10</v>
      </c>
      <c r="H549" s="2">
        <v>71.989999999999995</v>
      </c>
      <c r="I549" s="2">
        <v>359.95</v>
      </c>
      <c r="J549" t="s">
        <v>90</v>
      </c>
      <c r="K549" t="s">
        <v>20</v>
      </c>
      <c r="L549" t="s">
        <v>28</v>
      </c>
      <c r="M549" t="s">
        <v>84</v>
      </c>
      <c r="N549" t="s">
        <v>85</v>
      </c>
      <c r="O549" t="s">
        <v>35</v>
      </c>
      <c r="Q549" s="2">
        <f>Ventas[[#This Row],[precio_base]]*Ventas[[#This Row],[cantidad]]</f>
        <v>399.95</v>
      </c>
      <c r="R549" s="2">
        <f>Ventas[[#This Row],[Total bruto (antes de descuento)]]-Ventas[[#This Row],[total_venta]]</f>
        <v>40</v>
      </c>
    </row>
    <row r="550" spans="1:18" x14ac:dyDescent="0.25">
      <c r="A550" t="s">
        <v>643</v>
      </c>
      <c r="B550" s="1">
        <v>45473</v>
      </c>
      <c r="C550" t="s">
        <v>83</v>
      </c>
      <c r="D550" t="s">
        <v>38</v>
      </c>
      <c r="E550">
        <v>4</v>
      </c>
      <c r="F550" s="2">
        <v>49.99</v>
      </c>
      <c r="G550">
        <v>20</v>
      </c>
      <c r="H550" s="2">
        <v>39.99</v>
      </c>
      <c r="I550" s="2">
        <v>159.96</v>
      </c>
      <c r="J550" t="s">
        <v>19</v>
      </c>
      <c r="K550" t="s">
        <v>20</v>
      </c>
      <c r="L550" t="s">
        <v>21</v>
      </c>
      <c r="M550" t="s">
        <v>95</v>
      </c>
      <c r="N550" t="s">
        <v>96</v>
      </c>
      <c r="O550" t="s">
        <v>48</v>
      </c>
      <c r="P550">
        <v>1</v>
      </c>
      <c r="Q550" s="2">
        <f>Ventas[[#This Row],[precio_base]]*Ventas[[#This Row],[cantidad]]</f>
        <v>199.96</v>
      </c>
      <c r="R550" s="2">
        <f>Ventas[[#This Row],[Total bruto (antes de descuento)]]-Ventas[[#This Row],[total_venta]]</f>
        <v>40</v>
      </c>
    </row>
    <row r="551" spans="1:18" x14ac:dyDescent="0.25">
      <c r="A551" t="s">
        <v>644</v>
      </c>
      <c r="B551" s="1">
        <v>45131</v>
      </c>
      <c r="C551" t="s">
        <v>61</v>
      </c>
      <c r="D551" t="s">
        <v>38</v>
      </c>
      <c r="E551">
        <v>2</v>
      </c>
      <c r="F551" s="2">
        <v>19.989999999999998</v>
      </c>
      <c r="G551">
        <v>0</v>
      </c>
      <c r="H551" s="2">
        <v>19.989999999999998</v>
      </c>
      <c r="I551" s="2">
        <v>39.979999999999997</v>
      </c>
      <c r="J551" t="s">
        <v>51</v>
      </c>
      <c r="K551" t="s">
        <v>52</v>
      </c>
      <c r="L551" t="s">
        <v>28</v>
      </c>
      <c r="M551" t="s">
        <v>63</v>
      </c>
      <c r="N551" t="s">
        <v>34</v>
      </c>
      <c r="O551" t="s">
        <v>24</v>
      </c>
      <c r="Q551" s="2">
        <f>Ventas[[#This Row],[precio_base]]*Ventas[[#This Row],[cantidad]]</f>
        <v>39.979999999999997</v>
      </c>
      <c r="R551" s="2">
        <f>Ventas[[#This Row],[Total bruto (antes de descuento)]]-Ventas[[#This Row],[total_venta]]</f>
        <v>0</v>
      </c>
    </row>
    <row r="552" spans="1:18" x14ac:dyDescent="0.25">
      <c r="A552" t="s">
        <v>645</v>
      </c>
      <c r="B552" s="1">
        <v>45229</v>
      </c>
      <c r="C552" t="s">
        <v>115</v>
      </c>
      <c r="D552" t="s">
        <v>18</v>
      </c>
      <c r="E552">
        <v>5</v>
      </c>
      <c r="F552" s="2">
        <v>799.99</v>
      </c>
      <c r="G552">
        <v>0</v>
      </c>
      <c r="H552" s="2">
        <v>799.99</v>
      </c>
      <c r="I552" s="2">
        <v>3999.95</v>
      </c>
      <c r="J552" t="s">
        <v>19</v>
      </c>
      <c r="K552" t="s">
        <v>20</v>
      </c>
      <c r="L552" t="s">
        <v>32</v>
      </c>
      <c r="M552" t="s">
        <v>101</v>
      </c>
      <c r="N552" t="s">
        <v>102</v>
      </c>
      <c r="O552" t="s">
        <v>35</v>
      </c>
      <c r="P552">
        <v>5</v>
      </c>
      <c r="Q552" s="2">
        <f>Ventas[[#This Row],[precio_base]]*Ventas[[#This Row],[cantidad]]</f>
        <v>3999.95</v>
      </c>
      <c r="R552" s="2">
        <f>Ventas[[#This Row],[Total bruto (antes de descuento)]]-Ventas[[#This Row],[total_venta]]</f>
        <v>0</v>
      </c>
    </row>
    <row r="553" spans="1:18" x14ac:dyDescent="0.25">
      <c r="A553" t="s">
        <v>646</v>
      </c>
      <c r="B553" s="1">
        <v>45156</v>
      </c>
      <c r="C553" t="s">
        <v>76</v>
      </c>
      <c r="D553" t="s">
        <v>31</v>
      </c>
      <c r="E553">
        <v>5</v>
      </c>
      <c r="F553" s="2">
        <v>69.989999999999995</v>
      </c>
      <c r="G553">
        <v>5</v>
      </c>
      <c r="H553" s="2">
        <v>66.489999999999995</v>
      </c>
      <c r="I553" s="2">
        <v>332.45</v>
      </c>
      <c r="J553" t="s">
        <v>19</v>
      </c>
      <c r="K553" t="s">
        <v>52</v>
      </c>
      <c r="L553" t="s">
        <v>28</v>
      </c>
      <c r="M553" t="s">
        <v>39</v>
      </c>
      <c r="N553" t="s">
        <v>40</v>
      </c>
      <c r="O553" t="s">
        <v>35</v>
      </c>
      <c r="P553">
        <v>1</v>
      </c>
      <c r="Q553" s="2">
        <f>Ventas[[#This Row],[precio_base]]*Ventas[[#This Row],[cantidad]]</f>
        <v>349.95</v>
      </c>
      <c r="R553" s="2">
        <f>Ventas[[#This Row],[Total bruto (antes de descuento)]]-Ventas[[#This Row],[total_venta]]</f>
        <v>17.5</v>
      </c>
    </row>
    <row r="554" spans="1:18" x14ac:dyDescent="0.25">
      <c r="A554" t="s">
        <v>647</v>
      </c>
      <c r="B554" s="1">
        <v>45317</v>
      </c>
      <c r="C554" t="s">
        <v>109</v>
      </c>
      <c r="D554" t="s">
        <v>38</v>
      </c>
      <c r="E554">
        <v>4</v>
      </c>
      <c r="F554" s="2">
        <v>39.99</v>
      </c>
      <c r="G554">
        <v>20</v>
      </c>
      <c r="H554" s="2">
        <v>31.99</v>
      </c>
      <c r="I554" s="2">
        <v>127.96</v>
      </c>
      <c r="J554" t="s">
        <v>116</v>
      </c>
      <c r="K554" t="s">
        <v>57</v>
      </c>
      <c r="L554" t="s">
        <v>21</v>
      </c>
      <c r="M554" t="s">
        <v>123</v>
      </c>
      <c r="N554" t="s">
        <v>124</v>
      </c>
      <c r="O554" t="s">
        <v>24</v>
      </c>
      <c r="Q554" s="2">
        <f>Ventas[[#This Row],[precio_base]]*Ventas[[#This Row],[cantidad]]</f>
        <v>159.96</v>
      </c>
      <c r="R554" s="2">
        <f>Ventas[[#This Row],[Total bruto (antes de descuento)]]-Ventas[[#This Row],[total_venta]]</f>
        <v>32.000000000000014</v>
      </c>
    </row>
    <row r="555" spans="1:18" x14ac:dyDescent="0.25">
      <c r="A555" t="s">
        <v>648</v>
      </c>
      <c r="B555" s="1">
        <v>45184</v>
      </c>
      <c r="C555" t="s">
        <v>115</v>
      </c>
      <c r="D555" t="s">
        <v>18</v>
      </c>
      <c r="E555">
        <v>5</v>
      </c>
      <c r="F555" s="2">
        <v>799.99</v>
      </c>
      <c r="G555">
        <v>20</v>
      </c>
      <c r="H555" s="2">
        <v>639.99</v>
      </c>
      <c r="I555" s="2">
        <v>3199.95</v>
      </c>
      <c r="J555" t="s">
        <v>51</v>
      </c>
      <c r="K555" t="s">
        <v>20</v>
      </c>
      <c r="L555" t="s">
        <v>21</v>
      </c>
      <c r="M555" t="s">
        <v>67</v>
      </c>
      <c r="N555" t="s">
        <v>68</v>
      </c>
      <c r="O555" t="s">
        <v>35</v>
      </c>
      <c r="Q555" s="2">
        <f>Ventas[[#This Row],[precio_base]]*Ventas[[#This Row],[cantidad]]</f>
        <v>3999.95</v>
      </c>
      <c r="R555" s="2">
        <f>Ventas[[#This Row],[Total bruto (antes de descuento)]]-Ventas[[#This Row],[total_venta]]</f>
        <v>800</v>
      </c>
    </row>
    <row r="556" spans="1:18" x14ac:dyDescent="0.25">
      <c r="A556" t="s">
        <v>649</v>
      </c>
      <c r="B556" s="1">
        <v>45575</v>
      </c>
      <c r="C556" t="s">
        <v>30</v>
      </c>
      <c r="D556" t="s">
        <v>31</v>
      </c>
      <c r="E556">
        <v>3</v>
      </c>
      <c r="F556" s="2">
        <v>299.99</v>
      </c>
      <c r="G556">
        <v>20</v>
      </c>
      <c r="H556" s="2">
        <v>239.99</v>
      </c>
      <c r="I556" s="2">
        <v>719.97</v>
      </c>
      <c r="J556" t="s">
        <v>19</v>
      </c>
      <c r="K556" t="s">
        <v>44</v>
      </c>
      <c r="L556" t="s">
        <v>28</v>
      </c>
      <c r="M556" t="s">
        <v>84</v>
      </c>
      <c r="N556" t="s">
        <v>85</v>
      </c>
      <c r="O556" t="s">
        <v>35</v>
      </c>
      <c r="P556">
        <v>2</v>
      </c>
      <c r="Q556" s="2">
        <f>Ventas[[#This Row],[precio_base]]*Ventas[[#This Row],[cantidad]]</f>
        <v>899.97</v>
      </c>
      <c r="R556" s="2">
        <f>Ventas[[#This Row],[Total bruto (antes de descuento)]]-Ventas[[#This Row],[total_venta]]</f>
        <v>180</v>
      </c>
    </row>
    <row r="557" spans="1:18" x14ac:dyDescent="0.25">
      <c r="A557" t="s">
        <v>650</v>
      </c>
      <c r="B557" s="1">
        <v>45228</v>
      </c>
      <c r="C557" t="s">
        <v>151</v>
      </c>
      <c r="D557" t="s">
        <v>27</v>
      </c>
      <c r="E557">
        <v>2</v>
      </c>
      <c r="F557" s="2">
        <v>599.99</v>
      </c>
      <c r="G557">
        <v>15</v>
      </c>
      <c r="H557" s="2">
        <v>509.99</v>
      </c>
      <c r="I557" s="2">
        <v>1019.98</v>
      </c>
      <c r="J557" t="s">
        <v>19</v>
      </c>
      <c r="K557" t="s">
        <v>44</v>
      </c>
      <c r="L557" t="s">
        <v>21</v>
      </c>
      <c r="M557" t="s">
        <v>63</v>
      </c>
      <c r="N557" t="s">
        <v>34</v>
      </c>
      <c r="O557" t="s">
        <v>24</v>
      </c>
      <c r="P557">
        <v>1</v>
      </c>
      <c r="Q557" s="2">
        <f>Ventas[[#This Row],[precio_base]]*Ventas[[#This Row],[cantidad]]</f>
        <v>1199.98</v>
      </c>
      <c r="R557" s="2">
        <f>Ventas[[#This Row],[Total bruto (antes de descuento)]]-Ventas[[#This Row],[total_venta]]</f>
        <v>180</v>
      </c>
    </row>
    <row r="558" spans="1:18" x14ac:dyDescent="0.25">
      <c r="A558" t="s">
        <v>651</v>
      </c>
      <c r="B558" s="1">
        <v>45365</v>
      </c>
      <c r="C558" t="s">
        <v>61</v>
      </c>
      <c r="D558" t="s">
        <v>38</v>
      </c>
      <c r="E558">
        <v>5</v>
      </c>
      <c r="F558" s="2">
        <v>19.989999999999998</v>
      </c>
      <c r="G558">
        <v>0</v>
      </c>
      <c r="H558" s="2">
        <v>19.989999999999998</v>
      </c>
      <c r="I558" s="2">
        <v>99.95</v>
      </c>
      <c r="J558" t="s">
        <v>19</v>
      </c>
      <c r="K558" t="s">
        <v>52</v>
      </c>
      <c r="L558" t="s">
        <v>21</v>
      </c>
      <c r="M558" t="s">
        <v>33</v>
      </c>
      <c r="N558" t="s">
        <v>34</v>
      </c>
      <c r="O558" t="s">
        <v>35</v>
      </c>
      <c r="P558">
        <v>4</v>
      </c>
      <c r="Q558" s="2">
        <f>Ventas[[#This Row],[precio_base]]*Ventas[[#This Row],[cantidad]]</f>
        <v>99.949999999999989</v>
      </c>
      <c r="R558" s="2">
        <f>Ventas[[#This Row],[Total bruto (antes de descuento)]]-Ventas[[#This Row],[total_venta]]</f>
        <v>0</v>
      </c>
    </row>
    <row r="559" spans="1:18" x14ac:dyDescent="0.25">
      <c r="A559" t="s">
        <v>652</v>
      </c>
      <c r="B559" s="1">
        <v>45653</v>
      </c>
      <c r="C559" t="s">
        <v>122</v>
      </c>
      <c r="D559" t="s">
        <v>43</v>
      </c>
      <c r="E559">
        <v>2</v>
      </c>
      <c r="F559" s="2">
        <v>44.99</v>
      </c>
      <c r="G559">
        <v>0</v>
      </c>
      <c r="H559" s="2">
        <v>44.99</v>
      </c>
      <c r="I559" s="2">
        <v>89.98</v>
      </c>
      <c r="J559" t="s">
        <v>19</v>
      </c>
      <c r="K559" t="s">
        <v>44</v>
      </c>
      <c r="L559" t="s">
        <v>28</v>
      </c>
      <c r="M559" t="s">
        <v>123</v>
      </c>
      <c r="N559" t="s">
        <v>124</v>
      </c>
      <c r="O559" t="s">
        <v>24</v>
      </c>
      <c r="P559">
        <v>5</v>
      </c>
      <c r="Q559" s="2">
        <f>Ventas[[#This Row],[precio_base]]*Ventas[[#This Row],[cantidad]]</f>
        <v>89.98</v>
      </c>
      <c r="R559" s="2">
        <f>Ventas[[#This Row],[Total bruto (antes de descuento)]]-Ventas[[#This Row],[total_venta]]</f>
        <v>0</v>
      </c>
    </row>
    <row r="560" spans="1:18" x14ac:dyDescent="0.25">
      <c r="A560" t="s">
        <v>653</v>
      </c>
      <c r="B560" s="1">
        <v>45604</v>
      </c>
      <c r="C560" t="s">
        <v>83</v>
      </c>
      <c r="D560" t="s">
        <v>38</v>
      </c>
      <c r="E560">
        <v>4</v>
      </c>
      <c r="F560" s="2">
        <v>49.99</v>
      </c>
      <c r="G560">
        <v>20</v>
      </c>
      <c r="H560" s="2">
        <v>39.99</v>
      </c>
      <c r="I560" s="2">
        <v>159.96</v>
      </c>
      <c r="J560" t="s">
        <v>19</v>
      </c>
      <c r="K560" t="s">
        <v>20</v>
      </c>
      <c r="L560" t="s">
        <v>28</v>
      </c>
      <c r="M560" t="s">
        <v>123</v>
      </c>
      <c r="N560" t="s">
        <v>124</v>
      </c>
      <c r="O560" t="s">
        <v>24</v>
      </c>
      <c r="P560">
        <v>5</v>
      </c>
      <c r="Q560" s="2">
        <f>Ventas[[#This Row],[precio_base]]*Ventas[[#This Row],[cantidad]]</f>
        <v>199.96</v>
      </c>
      <c r="R560" s="2">
        <f>Ventas[[#This Row],[Total bruto (antes de descuento)]]-Ventas[[#This Row],[total_venta]]</f>
        <v>40</v>
      </c>
    </row>
    <row r="561" spans="1:18" x14ac:dyDescent="0.25">
      <c r="A561" t="s">
        <v>654</v>
      </c>
      <c r="B561" s="1">
        <v>45152</v>
      </c>
      <c r="C561" t="s">
        <v>205</v>
      </c>
      <c r="D561" t="s">
        <v>18</v>
      </c>
      <c r="E561">
        <v>5</v>
      </c>
      <c r="F561" s="2">
        <v>129.99</v>
      </c>
      <c r="G561">
        <v>0</v>
      </c>
      <c r="H561" s="2">
        <v>129.99</v>
      </c>
      <c r="I561" s="2">
        <v>649.95000000000005</v>
      </c>
      <c r="J561" t="s">
        <v>51</v>
      </c>
      <c r="K561" t="s">
        <v>20</v>
      </c>
      <c r="L561" t="s">
        <v>45</v>
      </c>
      <c r="M561" t="s">
        <v>63</v>
      </c>
      <c r="N561" t="s">
        <v>34</v>
      </c>
      <c r="O561" t="s">
        <v>24</v>
      </c>
      <c r="Q561" s="2">
        <f>Ventas[[#This Row],[precio_base]]*Ventas[[#This Row],[cantidad]]</f>
        <v>649.95000000000005</v>
      </c>
      <c r="R561" s="2">
        <f>Ventas[[#This Row],[Total bruto (antes de descuento)]]-Ventas[[#This Row],[total_venta]]</f>
        <v>0</v>
      </c>
    </row>
    <row r="562" spans="1:18" x14ac:dyDescent="0.25">
      <c r="A562" t="s">
        <v>655</v>
      </c>
      <c r="B562" s="1">
        <v>45021</v>
      </c>
      <c r="C562" t="s">
        <v>89</v>
      </c>
      <c r="D562" t="s">
        <v>38</v>
      </c>
      <c r="E562">
        <v>2</v>
      </c>
      <c r="F562" s="2">
        <v>69.989999999999995</v>
      </c>
      <c r="G562">
        <v>0</v>
      </c>
      <c r="H562" s="2">
        <v>69.989999999999995</v>
      </c>
      <c r="I562" s="2">
        <v>139.97999999999999</v>
      </c>
      <c r="J562" t="s">
        <v>51</v>
      </c>
      <c r="K562" t="s">
        <v>20</v>
      </c>
      <c r="L562" t="s">
        <v>21</v>
      </c>
      <c r="M562" t="s">
        <v>123</v>
      </c>
      <c r="N562" t="s">
        <v>124</v>
      </c>
      <c r="O562" t="s">
        <v>24</v>
      </c>
      <c r="Q562" s="2">
        <f>Ventas[[#This Row],[precio_base]]*Ventas[[#This Row],[cantidad]]</f>
        <v>139.97999999999999</v>
      </c>
      <c r="R562" s="2">
        <f>Ventas[[#This Row],[Total bruto (antes de descuento)]]-Ventas[[#This Row],[total_venta]]</f>
        <v>0</v>
      </c>
    </row>
    <row r="563" spans="1:18" x14ac:dyDescent="0.25">
      <c r="A563" t="s">
        <v>656</v>
      </c>
      <c r="B563" s="1">
        <v>45560</v>
      </c>
      <c r="C563" t="s">
        <v>87</v>
      </c>
      <c r="D563" t="s">
        <v>27</v>
      </c>
      <c r="E563">
        <v>4</v>
      </c>
      <c r="F563" s="2">
        <v>249.99</v>
      </c>
      <c r="G563">
        <v>10</v>
      </c>
      <c r="H563" s="2">
        <v>224.99</v>
      </c>
      <c r="I563" s="2">
        <v>899.96</v>
      </c>
      <c r="J563" t="s">
        <v>62</v>
      </c>
      <c r="K563" t="s">
        <v>20</v>
      </c>
      <c r="L563" t="s">
        <v>28</v>
      </c>
      <c r="M563" t="s">
        <v>73</v>
      </c>
      <c r="N563" t="s">
        <v>74</v>
      </c>
      <c r="O563" t="s">
        <v>35</v>
      </c>
      <c r="Q563" s="2">
        <f>Ventas[[#This Row],[precio_base]]*Ventas[[#This Row],[cantidad]]</f>
        <v>999.96</v>
      </c>
      <c r="R563" s="2">
        <f>Ventas[[#This Row],[Total bruto (antes de descuento)]]-Ventas[[#This Row],[total_venta]]</f>
        <v>100</v>
      </c>
    </row>
    <row r="564" spans="1:18" x14ac:dyDescent="0.25">
      <c r="A564" t="s">
        <v>657</v>
      </c>
      <c r="B564" s="1">
        <v>45383</v>
      </c>
      <c r="C564" t="s">
        <v>163</v>
      </c>
      <c r="D564" t="s">
        <v>18</v>
      </c>
      <c r="E564">
        <v>5</v>
      </c>
      <c r="F564" s="2">
        <v>499.99</v>
      </c>
      <c r="G564">
        <v>10</v>
      </c>
      <c r="H564" s="2">
        <v>449.99</v>
      </c>
      <c r="I564" s="2">
        <v>2249.9499999999998</v>
      </c>
      <c r="J564" t="s">
        <v>19</v>
      </c>
      <c r="K564" t="s">
        <v>44</v>
      </c>
      <c r="L564" t="s">
        <v>21</v>
      </c>
      <c r="M564" t="s">
        <v>46</v>
      </c>
      <c r="N564" t="s">
        <v>47</v>
      </c>
      <c r="O564" t="s">
        <v>48</v>
      </c>
      <c r="P564">
        <v>1</v>
      </c>
      <c r="Q564" s="2">
        <f>Ventas[[#This Row],[precio_base]]*Ventas[[#This Row],[cantidad]]</f>
        <v>2499.9499999999998</v>
      </c>
      <c r="R564" s="2">
        <f>Ventas[[#This Row],[Total bruto (antes de descuento)]]-Ventas[[#This Row],[total_venta]]</f>
        <v>250</v>
      </c>
    </row>
    <row r="565" spans="1:18" x14ac:dyDescent="0.25">
      <c r="A565" t="s">
        <v>658</v>
      </c>
      <c r="B565" s="1">
        <v>45322</v>
      </c>
      <c r="C565" t="s">
        <v>61</v>
      </c>
      <c r="D565" t="s">
        <v>38</v>
      </c>
      <c r="E565">
        <v>5</v>
      </c>
      <c r="F565" s="2">
        <v>19.989999999999998</v>
      </c>
      <c r="G565">
        <v>15</v>
      </c>
      <c r="H565" s="2">
        <v>16.989999999999998</v>
      </c>
      <c r="I565" s="2">
        <v>84.95</v>
      </c>
      <c r="J565" t="s">
        <v>19</v>
      </c>
      <c r="K565" t="s">
        <v>44</v>
      </c>
      <c r="L565" t="s">
        <v>28</v>
      </c>
      <c r="M565" t="s">
        <v>53</v>
      </c>
      <c r="N565" t="s">
        <v>54</v>
      </c>
      <c r="O565" t="s">
        <v>35</v>
      </c>
      <c r="P565">
        <v>5</v>
      </c>
      <c r="Q565" s="2">
        <f>Ventas[[#This Row],[precio_base]]*Ventas[[#This Row],[cantidad]]</f>
        <v>99.949999999999989</v>
      </c>
      <c r="R565" s="2">
        <f>Ventas[[#This Row],[Total bruto (antes de descuento)]]-Ventas[[#This Row],[total_venta]]</f>
        <v>14.999999999999986</v>
      </c>
    </row>
    <row r="566" spans="1:18" x14ac:dyDescent="0.25">
      <c r="A566" t="s">
        <v>659</v>
      </c>
      <c r="B566" s="1">
        <v>45447</v>
      </c>
      <c r="C566" t="s">
        <v>151</v>
      </c>
      <c r="D566" t="s">
        <v>27</v>
      </c>
      <c r="E566">
        <v>4</v>
      </c>
      <c r="F566" s="2">
        <v>599.99</v>
      </c>
      <c r="G566">
        <v>0</v>
      </c>
      <c r="H566" s="2">
        <v>599.99</v>
      </c>
      <c r="I566" s="2">
        <v>2399.96</v>
      </c>
      <c r="J566" t="s">
        <v>19</v>
      </c>
      <c r="K566" t="s">
        <v>20</v>
      </c>
      <c r="L566" t="s">
        <v>45</v>
      </c>
      <c r="M566" t="s">
        <v>73</v>
      </c>
      <c r="N566" t="s">
        <v>74</v>
      </c>
      <c r="O566" t="s">
        <v>35</v>
      </c>
      <c r="P566">
        <v>1</v>
      </c>
      <c r="Q566" s="2">
        <f>Ventas[[#This Row],[precio_base]]*Ventas[[#This Row],[cantidad]]</f>
        <v>2399.96</v>
      </c>
      <c r="R566" s="2">
        <f>Ventas[[#This Row],[Total bruto (antes de descuento)]]-Ventas[[#This Row],[total_venta]]</f>
        <v>0</v>
      </c>
    </row>
    <row r="567" spans="1:18" x14ac:dyDescent="0.25">
      <c r="A567" t="s">
        <v>660</v>
      </c>
      <c r="B567" s="1">
        <v>45098</v>
      </c>
      <c r="C567" t="s">
        <v>98</v>
      </c>
      <c r="D567" t="s">
        <v>31</v>
      </c>
      <c r="E567">
        <v>5</v>
      </c>
      <c r="F567" s="2">
        <v>99.99</v>
      </c>
      <c r="G567">
        <v>10</v>
      </c>
      <c r="H567" s="2">
        <v>89.99</v>
      </c>
      <c r="I567" s="2">
        <v>449.95</v>
      </c>
      <c r="J567" t="s">
        <v>19</v>
      </c>
      <c r="K567" t="s">
        <v>20</v>
      </c>
      <c r="L567" t="s">
        <v>28</v>
      </c>
      <c r="M567" t="s">
        <v>95</v>
      </c>
      <c r="N567" t="s">
        <v>96</v>
      </c>
      <c r="O567" t="s">
        <v>48</v>
      </c>
      <c r="P567">
        <v>2</v>
      </c>
      <c r="Q567" s="2">
        <f>Ventas[[#This Row],[precio_base]]*Ventas[[#This Row],[cantidad]]</f>
        <v>499.95</v>
      </c>
      <c r="R567" s="2">
        <f>Ventas[[#This Row],[Total bruto (antes de descuento)]]-Ventas[[#This Row],[total_venta]]</f>
        <v>50</v>
      </c>
    </row>
    <row r="568" spans="1:18" x14ac:dyDescent="0.25">
      <c r="A568" t="s">
        <v>661</v>
      </c>
      <c r="B568" s="1">
        <v>45628</v>
      </c>
      <c r="C568" t="s">
        <v>37</v>
      </c>
      <c r="D568" t="s">
        <v>38</v>
      </c>
      <c r="E568">
        <v>1</v>
      </c>
      <c r="F568" s="2">
        <v>34.99</v>
      </c>
      <c r="G568">
        <v>0</v>
      </c>
      <c r="H568" s="2">
        <v>34.99</v>
      </c>
      <c r="I568" s="2">
        <v>34.99</v>
      </c>
      <c r="J568" t="s">
        <v>19</v>
      </c>
      <c r="K568" t="s">
        <v>52</v>
      </c>
      <c r="L568" t="s">
        <v>28</v>
      </c>
      <c r="M568" t="s">
        <v>84</v>
      </c>
      <c r="N568" t="s">
        <v>85</v>
      </c>
      <c r="O568" t="s">
        <v>35</v>
      </c>
      <c r="P568">
        <v>4</v>
      </c>
      <c r="Q568" s="2">
        <f>Ventas[[#This Row],[precio_base]]*Ventas[[#This Row],[cantidad]]</f>
        <v>34.99</v>
      </c>
      <c r="R568" s="2">
        <f>Ventas[[#This Row],[Total bruto (antes de descuento)]]-Ventas[[#This Row],[total_venta]]</f>
        <v>0</v>
      </c>
    </row>
    <row r="569" spans="1:18" x14ac:dyDescent="0.25">
      <c r="A569" t="s">
        <v>662</v>
      </c>
      <c r="B569" s="1">
        <v>45589</v>
      </c>
      <c r="C569" t="s">
        <v>143</v>
      </c>
      <c r="D569" t="s">
        <v>43</v>
      </c>
      <c r="E569">
        <v>1</v>
      </c>
      <c r="F569" s="2">
        <v>34.99</v>
      </c>
      <c r="G569">
        <v>15</v>
      </c>
      <c r="H569" s="2">
        <v>29.74</v>
      </c>
      <c r="I569" s="2">
        <v>29.74</v>
      </c>
      <c r="J569" t="s">
        <v>51</v>
      </c>
      <c r="K569" t="s">
        <v>44</v>
      </c>
      <c r="L569" t="s">
        <v>21</v>
      </c>
      <c r="M569" t="s">
        <v>46</v>
      </c>
      <c r="N569" t="s">
        <v>47</v>
      </c>
      <c r="O569" t="s">
        <v>48</v>
      </c>
      <c r="Q569" s="2">
        <f>Ventas[[#This Row],[precio_base]]*Ventas[[#This Row],[cantidad]]</f>
        <v>34.99</v>
      </c>
      <c r="R569" s="2">
        <f>Ventas[[#This Row],[Total bruto (antes de descuento)]]-Ventas[[#This Row],[total_venta]]</f>
        <v>5.2500000000000036</v>
      </c>
    </row>
    <row r="570" spans="1:18" x14ac:dyDescent="0.25">
      <c r="A570" t="s">
        <v>663</v>
      </c>
      <c r="B570" s="1">
        <v>45016</v>
      </c>
      <c r="C570" t="s">
        <v>56</v>
      </c>
      <c r="D570" t="s">
        <v>18</v>
      </c>
      <c r="E570">
        <v>1</v>
      </c>
      <c r="F570" s="2">
        <v>89.99</v>
      </c>
      <c r="G570">
        <v>0</v>
      </c>
      <c r="H570" s="2">
        <v>89.99</v>
      </c>
      <c r="I570" s="2">
        <v>89.99</v>
      </c>
      <c r="J570" t="s">
        <v>51</v>
      </c>
      <c r="K570" t="s">
        <v>20</v>
      </c>
      <c r="L570" t="s">
        <v>32</v>
      </c>
      <c r="M570" t="s">
        <v>65</v>
      </c>
      <c r="N570" t="s">
        <v>54</v>
      </c>
      <c r="O570" t="s">
        <v>35</v>
      </c>
      <c r="Q570" s="2">
        <f>Ventas[[#This Row],[precio_base]]*Ventas[[#This Row],[cantidad]]</f>
        <v>89.99</v>
      </c>
      <c r="R570" s="2">
        <f>Ventas[[#This Row],[Total bruto (antes de descuento)]]-Ventas[[#This Row],[total_venta]]</f>
        <v>0</v>
      </c>
    </row>
    <row r="571" spans="1:18" x14ac:dyDescent="0.25">
      <c r="A571" t="s">
        <v>664</v>
      </c>
      <c r="B571" s="1">
        <v>45191</v>
      </c>
      <c r="C571" t="s">
        <v>37</v>
      </c>
      <c r="D571" t="s">
        <v>38</v>
      </c>
      <c r="E571">
        <v>4</v>
      </c>
      <c r="F571" s="2">
        <v>34.99</v>
      </c>
      <c r="G571">
        <v>5</v>
      </c>
      <c r="H571" s="2">
        <v>33.24</v>
      </c>
      <c r="I571" s="2">
        <v>132.96</v>
      </c>
      <c r="J571" t="s">
        <v>51</v>
      </c>
      <c r="K571" t="s">
        <v>20</v>
      </c>
      <c r="L571" t="s">
        <v>45</v>
      </c>
      <c r="M571" t="s">
        <v>120</v>
      </c>
      <c r="N571" t="s">
        <v>23</v>
      </c>
      <c r="O571" t="s">
        <v>24</v>
      </c>
      <c r="Q571" s="2">
        <f>Ventas[[#This Row],[precio_base]]*Ventas[[#This Row],[cantidad]]</f>
        <v>139.96</v>
      </c>
      <c r="R571" s="2">
        <f>Ventas[[#This Row],[Total bruto (antes de descuento)]]-Ventas[[#This Row],[total_venta]]</f>
        <v>7</v>
      </c>
    </row>
    <row r="572" spans="1:18" x14ac:dyDescent="0.25">
      <c r="A572" t="s">
        <v>665</v>
      </c>
      <c r="B572" s="1">
        <v>45048</v>
      </c>
      <c r="C572" t="s">
        <v>50</v>
      </c>
      <c r="D572" t="s">
        <v>27</v>
      </c>
      <c r="E572">
        <v>1</v>
      </c>
      <c r="F572" s="2">
        <v>149.99</v>
      </c>
      <c r="G572">
        <v>15</v>
      </c>
      <c r="H572" s="2">
        <v>127.49</v>
      </c>
      <c r="I572" s="2">
        <v>127.49</v>
      </c>
      <c r="J572" t="s">
        <v>51</v>
      </c>
      <c r="K572" t="s">
        <v>52</v>
      </c>
      <c r="L572" t="s">
        <v>45</v>
      </c>
      <c r="M572" t="s">
        <v>95</v>
      </c>
      <c r="N572" t="s">
        <v>96</v>
      </c>
      <c r="O572" t="s">
        <v>48</v>
      </c>
      <c r="Q572" s="2">
        <f>Ventas[[#This Row],[precio_base]]*Ventas[[#This Row],[cantidad]]</f>
        <v>149.99</v>
      </c>
      <c r="R572" s="2">
        <f>Ventas[[#This Row],[Total bruto (antes de descuento)]]-Ventas[[#This Row],[total_venta]]</f>
        <v>22.500000000000014</v>
      </c>
    </row>
    <row r="573" spans="1:18" x14ac:dyDescent="0.25">
      <c r="A573" t="s">
        <v>666</v>
      </c>
      <c r="B573" s="1">
        <v>45644</v>
      </c>
      <c r="C573" t="s">
        <v>42</v>
      </c>
      <c r="D573" t="s">
        <v>43</v>
      </c>
      <c r="E573">
        <v>1</v>
      </c>
      <c r="F573" s="2">
        <v>349.99</v>
      </c>
      <c r="G573">
        <v>0</v>
      </c>
      <c r="H573" s="2">
        <v>349.99</v>
      </c>
      <c r="I573" s="2">
        <v>349.99</v>
      </c>
      <c r="J573" t="s">
        <v>90</v>
      </c>
      <c r="K573" t="s">
        <v>20</v>
      </c>
      <c r="L573" t="s">
        <v>28</v>
      </c>
      <c r="M573" t="s">
        <v>95</v>
      </c>
      <c r="N573" t="s">
        <v>96</v>
      </c>
      <c r="O573" t="s">
        <v>48</v>
      </c>
      <c r="Q573" s="2">
        <f>Ventas[[#This Row],[precio_base]]*Ventas[[#This Row],[cantidad]]</f>
        <v>349.99</v>
      </c>
      <c r="R573" s="2">
        <f>Ventas[[#This Row],[Total bruto (antes de descuento)]]-Ventas[[#This Row],[total_venta]]</f>
        <v>0</v>
      </c>
    </row>
    <row r="574" spans="1:18" x14ac:dyDescent="0.25">
      <c r="A574" t="s">
        <v>667</v>
      </c>
      <c r="B574" s="1">
        <v>45548</v>
      </c>
      <c r="C574" t="s">
        <v>56</v>
      </c>
      <c r="D574" t="s">
        <v>18</v>
      </c>
      <c r="E574">
        <v>3</v>
      </c>
      <c r="F574" s="2">
        <v>89.99</v>
      </c>
      <c r="G574">
        <v>20</v>
      </c>
      <c r="H574" s="2">
        <v>71.989999999999995</v>
      </c>
      <c r="I574" s="2">
        <v>215.97</v>
      </c>
      <c r="J574" t="s">
        <v>90</v>
      </c>
      <c r="K574" t="s">
        <v>20</v>
      </c>
      <c r="L574" t="s">
        <v>28</v>
      </c>
      <c r="M574" t="s">
        <v>120</v>
      </c>
      <c r="N574" t="s">
        <v>23</v>
      </c>
      <c r="O574" t="s">
        <v>24</v>
      </c>
      <c r="Q574" s="2">
        <f>Ventas[[#This Row],[precio_base]]*Ventas[[#This Row],[cantidad]]</f>
        <v>269.96999999999997</v>
      </c>
      <c r="R574" s="2">
        <f>Ventas[[#This Row],[Total bruto (antes de descuento)]]-Ventas[[#This Row],[total_venta]]</f>
        <v>53.999999999999972</v>
      </c>
    </row>
    <row r="575" spans="1:18" x14ac:dyDescent="0.25">
      <c r="A575" t="s">
        <v>668</v>
      </c>
      <c r="B575" s="1">
        <v>45412</v>
      </c>
      <c r="C575" t="s">
        <v>205</v>
      </c>
      <c r="D575" t="s">
        <v>18</v>
      </c>
      <c r="E575">
        <v>5</v>
      </c>
      <c r="F575" s="2">
        <v>129.99</v>
      </c>
      <c r="G575">
        <v>0</v>
      </c>
      <c r="H575" s="2">
        <v>129.99</v>
      </c>
      <c r="I575" s="2">
        <v>649.95000000000005</v>
      </c>
      <c r="J575" t="s">
        <v>19</v>
      </c>
      <c r="K575" t="s">
        <v>52</v>
      </c>
      <c r="L575" t="s">
        <v>32</v>
      </c>
      <c r="M575" t="s">
        <v>120</v>
      </c>
      <c r="N575" t="s">
        <v>23</v>
      </c>
      <c r="O575" t="s">
        <v>24</v>
      </c>
      <c r="P575">
        <v>3</v>
      </c>
      <c r="Q575" s="2">
        <f>Ventas[[#This Row],[precio_base]]*Ventas[[#This Row],[cantidad]]</f>
        <v>649.95000000000005</v>
      </c>
      <c r="R575" s="2">
        <f>Ventas[[#This Row],[Total bruto (antes de descuento)]]-Ventas[[#This Row],[total_venta]]</f>
        <v>0</v>
      </c>
    </row>
    <row r="576" spans="1:18" x14ac:dyDescent="0.25">
      <c r="A576" t="s">
        <v>669</v>
      </c>
      <c r="B576" s="1">
        <v>45576</v>
      </c>
      <c r="C576" t="s">
        <v>78</v>
      </c>
      <c r="D576" t="s">
        <v>18</v>
      </c>
      <c r="E576">
        <v>3</v>
      </c>
      <c r="F576" s="2">
        <v>349.99</v>
      </c>
      <c r="G576">
        <v>15</v>
      </c>
      <c r="H576" s="2">
        <v>297.49</v>
      </c>
      <c r="I576" s="2">
        <v>892.47</v>
      </c>
      <c r="J576" t="s">
        <v>62</v>
      </c>
      <c r="K576" t="s">
        <v>52</v>
      </c>
      <c r="L576" t="s">
        <v>28</v>
      </c>
      <c r="M576" t="s">
        <v>39</v>
      </c>
      <c r="N576" t="s">
        <v>40</v>
      </c>
      <c r="O576" t="s">
        <v>35</v>
      </c>
      <c r="Q576" s="2">
        <f>Ventas[[#This Row],[precio_base]]*Ventas[[#This Row],[cantidad]]</f>
        <v>1049.97</v>
      </c>
      <c r="R576" s="2">
        <f>Ventas[[#This Row],[Total bruto (antes de descuento)]]-Ventas[[#This Row],[total_venta]]</f>
        <v>157.5</v>
      </c>
    </row>
    <row r="577" spans="1:18" x14ac:dyDescent="0.25">
      <c r="A577" t="s">
        <v>670</v>
      </c>
      <c r="B577" s="1">
        <v>44938</v>
      </c>
      <c r="C577" t="s">
        <v>50</v>
      </c>
      <c r="D577" t="s">
        <v>27</v>
      </c>
      <c r="E577">
        <v>5</v>
      </c>
      <c r="F577" s="2">
        <v>149.99</v>
      </c>
      <c r="G577">
        <v>0</v>
      </c>
      <c r="H577" s="2">
        <v>149.99</v>
      </c>
      <c r="I577" s="2">
        <v>749.95</v>
      </c>
      <c r="J577" t="s">
        <v>19</v>
      </c>
      <c r="K577" t="s">
        <v>44</v>
      </c>
      <c r="L577" t="s">
        <v>45</v>
      </c>
      <c r="M577" t="s">
        <v>46</v>
      </c>
      <c r="N577" t="s">
        <v>47</v>
      </c>
      <c r="O577" t="s">
        <v>48</v>
      </c>
      <c r="P577">
        <v>5</v>
      </c>
      <c r="Q577" s="2">
        <f>Ventas[[#This Row],[precio_base]]*Ventas[[#This Row],[cantidad]]</f>
        <v>749.95</v>
      </c>
      <c r="R577" s="2">
        <f>Ventas[[#This Row],[Total bruto (antes de descuento)]]-Ventas[[#This Row],[total_venta]]</f>
        <v>0</v>
      </c>
    </row>
    <row r="578" spans="1:18" x14ac:dyDescent="0.25">
      <c r="A578" t="s">
        <v>671</v>
      </c>
      <c r="B578" s="1">
        <v>45014</v>
      </c>
      <c r="C578" t="s">
        <v>83</v>
      </c>
      <c r="D578" t="s">
        <v>38</v>
      </c>
      <c r="E578">
        <v>2</v>
      </c>
      <c r="F578" s="2">
        <v>49.99</v>
      </c>
      <c r="G578">
        <v>15</v>
      </c>
      <c r="H578" s="2">
        <v>42.49</v>
      </c>
      <c r="I578" s="2">
        <v>84.98</v>
      </c>
      <c r="J578" t="s">
        <v>51</v>
      </c>
      <c r="K578" t="s">
        <v>20</v>
      </c>
      <c r="L578" t="s">
        <v>45</v>
      </c>
      <c r="M578" t="s">
        <v>84</v>
      </c>
      <c r="N578" t="s">
        <v>85</v>
      </c>
      <c r="O578" t="s">
        <v>35</v>
      </c>
      <c r="Q578" s="2">
        <f>Ventas[[#This Row],[precio_base]]*Ventas[[#This Row],[cantidad]]</f>
        <v>99.98</v>
      </c>
      <c r="R578" s="2">
        <f>Ventas[[#This Row],[Total bruto (antes de descuento)]]-Ventas[[#This Row],[total_venta]]</f>
        <v>15</v>
      </c>
    </row>
    <row r="579" spans="1:18" x14ac:dyDescent="0.25">
      <c r="A579" t="s">
        <v>672</v>
      </c>
      <c r="B579" s="1">
        <v>45588</v>
      </c>
      <c r="C579" t="s">
        <v>42</v>
      </c>
      <c r="D579" t="s">
        <v>43</v>
      </c>
      <c r="E579">
        <v>5</v>
      </c>
      <c r="F579" s="2">
        <v>349.99</v>
      </c>
      <c r="G579">
        <v>0</v>
      </c>
      <c r="H579" s="2">
        <v>349.99</v>
      </c>
      <c r="I579" s="2">
        <v>1749.95</v>
      </c>
      <c r="J579" t="s">
        <v>19</v>
      </c>
      <c r="K579" t="s">
        <v>44</v>
      </c>
      <c r="L579" t="s">
        <v>21</v>
      </c>
      <c r="M579" t="s">
        <v>22</v>
      </c>
      <c r="N579" t="s">
        <v>23</v>
      </c>
      <c r="O579" t="s">
        <v>24</v>
      </c>
      <c r="P579">
        <v>1</v>
      </c>
      <c r="Q579" s="2">
        <f>Ventas[[#This Row],[precio_base]]*Ventas[[#This Row],[cantidad]]</f>
        <v>1749.95</v>
      </c>
      <c r="R579" s="2">
        <f>Ventas[[#This Row],[Total bruto (antes de descuento)]]-Ventas[[#This Row],[total_venta]]</f>
        <v>0</v>
      </c>
    </row>
    <row r="580" spans="1:18" x14ac:dyDescent="0.25">
      <c r="A580" t="s">
        <v>673</v>
      </c>
      <c r="B580" s="1">
        <v>45112</v>
      </c>
      <c r="C580" t="s">
        <v>81</v>
      </c>
      <c r="D580" t="s">
        <v>31</v>
      </c>
      <c r="E580">
        <v>5</v>
      </c>
      <c r="F580" s="2">
        <v>189.99</v>
      </c>
      <c r="G580">
        <v>20</v>
      </c>
      <c r="H580" s="2">
        <v>151.99</v>
      </c>
      <c r="I580" s="2">
        <v>759.95</v>
      </c>
      <c r="J580" t="s">
        <v>19</v>
      </c>
      <c r="K580" t="s">
        <v>52</v>
      </c>
      <c r="L580" t="s">
        <v>152</v>
      </c>
      <c r="M580" t="s">
        <v>39</v>
      </c>
      <c r="N580" t="s">
        <v>40</v>
      </c>
      <c r="O580" t="s">
        <v>35</v>
      </c>
      <c r="P580">
        <v>4</v>
      </c>
      <c r="Q580" s="2">
        <f>Ventas[[#This Row],[precio_base]]*Ventas[[#This Row],[cantidad]]</f>
        <v>949.95</v>
      </c>
      <c r="R580" s="2">
        <f>Ventas[[#This Row],[Total bruto (antes de descuento)]]-Ventas[[#This Row],[total_venta]]</f>
        <v>190</v>
      </c>
    </row>
    <row r="581" spans="1:18" x14ac:dyDescent="0.25">
      <c r="A581" t="s">
        <v>674</v>
      </c>
      <c r="B581" s="1">
        <v>45587</v>
      </c>
      <c r="C581" t="s">
        <v>50</v>
      </c>
      <c r="D581" t="s">
        <v>27</v>
      </c>
      <c r="E581">
        <v>1</v>
      </c>
      <c r="F581" s="2">
        <v>149.99</v>
      </c>
      <c r="G581">
        <v>0</v>
      </c>
      <c r="H581" s="2">
        <v>149.99</v>
      </c>
      <c r="I581" s="2">
        <v>149.99</v>
      </c>
      <c r="J581" t="s">
        <v>51</v>
      </c>
      <c r="K581" t="s">
        <v>20</v>
      </c>
      <c r="L581" t="s">
        <v>28</v>
      </c>
      <c r="M581" t="s">
        <v>58</v>
      </c>
      <c r="N581" t="s">
        <v>59</v>
      </c>
      <c r="O581" t="s">
        <v>24</v>
      </c>
      <c r="Q581" s="2">
        <f>Ventas[[#This Row],[precio_base]]*Ventas[[#This Row],[cantidad]]</f>
        <v>149.99</v>
      </c>
      <c r="R581" s="2">
        <f>Ventas[[#This Row],[Total bruto (antes de descuento)]]-Ventas[[#This Row],[total_venta]]</f>
        <v>0</v>
      </c>
    </row>
    <row r="582" spans="1:18" x14ac:dyDescent="0.25">
      <c r="A582" t="s">
        <v>675</v>
      </c>
      <c r="B582" s="1">
        <v>45425</v>
      </c>
      <c r="C582" t="s">
        <v>141</v>
      </c>
      <c r="D582" t="s">
        <v>38</v>
      </c>
      <c r="E582">
        <v>3</v>
      </c>
      <c r="F582" s="2">
        <v>89.99</v>
      </c>
      <c r="G582">
        <v>0</v>
      </c>
      <c r="H582" s="2">
        <v>89.99</v>
      </c>
      <c r="I582" s="2">
        <v>269.97000000000003</v>
      </c>
      <c r="J582" t="s">
        <v>51</v>
      </c>
      <c r="K582" t="s">
        <v>20</v>
      </c>
      <c r="L582" t="s">
        <v>28</v>
      </c>
      <c r="M582" t="s">
        <v>22</v>
      </c>
      <c r="N582" t="s">
        <v>23</v>
      </c>
      <c r="O582" t="s">
        <v>24</v>
      </c>
      <c r="Q582" s="2">
        <f>Ventas[[#This Row],[precio_base]]*Ventas[[#This Row],[cantidad]]</f>
        <v>269.96999999999997</v>
      </c>
      <c r="R582" s="2">
        <f>Ventas[[#This Row],[Total bruto (antes de descuento)]]-Ventas[[#This Row],[total_venta]]</f>
        <v>0</v>
      </c>
    </row>
    <row r="583" spans="1:18" x14ac:dyDescent="0.25">
      <c r="A583" t="s">
        <v>676</v>
      </c>
      <c r="B583" s="1">
        <v>45125</v>
      </c>
      <c r="C583" t="s">
        <v>141</v>
      </c>
      <c r="D583" t="s">
        <v>38</v>
      </c>
      <c r="E583">
        <v>4</v>
      </c>
      <c r="F583" s="2">
        <v>89.99</v>
      </c>
      <c r="G583">
        <v>5</v>
      </c>
      <c r="H583" s="2">
        <v>85.49</v>
      </c>
      <c r="I583" s="2">
        <v>341.96</v>
      </c>
      <c r="J583" t="s">
        <v>19</v>
      </c>
      <c r="K583" t="s">
        <v>20</v>
      </c>
      <c r="L583" t="s">
        <v>45</v>
      </c>
      <c r="M583" t="s">
        <v>73</v>
      </c>
      <c r="N583" t="s">
        <v>74</v>
      </c>
      <c r="O583" t="s">
        <v>35</v>
      </c>
      <c r="P583">
        <v>5</v>
      </c>
      <c r="Q583" s="2">
        <f>Ventas[[#This Row],[precio_base]]*Ventas[[#This Row],[cantidad]]</f>
        <v>359.96</v>
      </c>
      <c r="R583" s="2">
        <f>Ventas[[#This Row],[Total bruto (antes de descuento)]]-Ventas[[#This Row],[total_venta]]</f>
        <v>18</v>
      </c>
    </row>
    <row r="584" spans="1:18" x14ac:dyDescent="0.25">
      <c r="A584" t="s">
        <v>677</v>
      </c>
      <c r="B584" s="1">
        <v>45507</v>
      </c>
      <c r="C584" t="s">
        <v>89</v>
      </c>
      <c r="D584" t="s">
        <v>38</v>
      </c>
      <c r="E584">
        <v>3</v>
      </c>
      <c r="F584" s="2">
        <v>69.989999999999995</v>
      </c>
      <c r="G584">
        <v>5</v>
      </c>
      <c r="H584" s="2">
        <v>66.489999999999995</v>
      </c>
      <c r="I584" s="2">
        <v>199.47</v>
      </c>
      <c r="J584" t="s">
        <v>19</v>
      </c>
      <c r="K584" t="s">
        <v>20</v>
      </c>
      <c r="L584" t="s">
        <v>21</v>
      </c>
      <c r="M584" t="s">
        <v>123</v>
      </c>
      <c r="N584" t="s">
        <v>124</v>
      </c>
      <c r="O584" t="s">
        <v>24</v>
      </c>
      <c r="P584">
        <v>4</v>
      </c>
      <c r="Q584" s="2">
        <f>Ventas[[#This Row],[precio_base]]*Ventas[[#This Row],[cantidad]]</f>
        <v>209.96999999999997</v>
      </c>
      <c r="R584" s="2">
        <f>Ventas[[#This Row],[Total bruto (antes de descuento)]]-Ventas[[#This Row],[total_venta]]</f>
        <v>10.499999999999972</v>
      </c>
    </row>
    <row r="585" spans="1:18" x14ac:dyDescent="0.25">
      <c r="A585" t="s">
        <v>678</v>
      </c>
      <c r="B585" s="1">
        <v>45210</v>
      </c>
      <c r="C585" t="s">
        <v>143</v>
      </c>
      <c r="D585" t="s">
        <v>43</v>
      </c>
      <c r="E585">
        <v>3</v>
      </c>
      <c r="F585" s="2">
        <v>34.99</v>
      </c>
      <c r="G585">
        <v>0</v>
      </c>
      <c r="H585" s="2">
        <v>34.99</v>
      </c>
      <c r="I585" s="2">
        <v>104.97</v>
      </c>
      <c r="J585" t="s">
        <v>51</v>
      </c>
      <c r="K585" t="s">
        <v>52</v>
      </c>
      <c r="L585" t="s">
        <v>45</v>
      </c>
      <c r="M585" t="s">
        <v>123</v>
      </c>
      <c r="N585" t="s">
        <v>124</v>
      </c>
      <c r="O585" t="s">
        <v>24</v>
      </c>
      <c r="Q585" s="2">
        <f>Ventas[[#This Row],[precio_base]]*Ventas[[#This Row],[cantidad]]</f>
        <v>104.97</v>
      </c>
      <c r="R585" s="2">
        <f>Ventas[[#This Row],[Total bruto (antes de descuento)]]-Ventas[[#This Row],[total_venta]]</f>
        <v>0</v>
      </c>
    </row>
    <row r="586" spans="1:18" x14ac:dyDescent="0.25">
      <c r="A586" t="s">
        <v>679</v>
      </c>
      <c r="B586" s="1">
        <v>45294</v>
      </c>
      <c r="C586" t="s">
        <v>98</v>
      </c>
      <c r="D586" t="s">
        <v>31</v>
      </c>
      <c r="E586">
        <v>3</v>
      </c>
      <c r="F586" s="2">
        <v>99.99</v>
      </c>
      <c r="G586">
        <v>5</v>
      </c>
      <c r="H586" s="2">
        <v>94.99</v>
      </c>
      <c r="I586" s="2">
        <v>284.97000000000003</v>
      </c>
      <c r="J586" t="s">
        <v>19</v>
      </c>
      <c r="K586" t="s">
        <v>44</v>
      </c>
      <c r="L586" t="s">
        <v>21</v>
      </c>
      <c r="M586" t="s">
        <v>63</v>
      </c>
      <c r="N586" t="s">
        <v>34</v>
      </c>
      <c r="O586" t="s">
        <v>24</v>
      </c>
      <c r="P586">
        <v>3</v>
      </c>
      <c r="Q586" s="2">
        <f>Ventas[[#This Row],[precio_base]]*Ventas[[#This Row],[cantidad]]</f>
        <v>299.96999999999997</v>
      </c>
      <c r="R586" s="2">
        <f>Ventas[[#This Row],[Total bruto (antes de descuento)]]-Ventas[[#This Row],[total_venta]]</f>
        <v>14.999999999999943</v>
      </c>
    </row>
    <row r="587" spans="1:18" x14ac:dyDescent="0.25">
      <c r="A587" t="s">
        <v>680</v>
      </c>
      <c r="B587" s="1">
        <v>45070</v>
      </c>
      <c r="C587" t="s">
        <v>130</v>
      </c>
      <c r="D587" t="s">
        <v>43</v>
      </c>
      <c r="E587">
        <v>5</v>
      </c>
      <c r="F587" s="2">
        <v>24.99</v>
      </c>
      <c r="G587">
        <v>0</v>
      </c>
      <c r="H587" s="2">
        <v>24.99</v>
      </c>
      <c r="I587" s="2">
        <v>124.95</v>
      </c>
      <c r="J587" t="s">
        <v>19</v>
      </c>
      <c r="K587" t="s">
        <v>44</v>
      </c>
      <c r="L587" t="s">
        <v>28</v>
      </c>
      <c r="M587" t="s">
        <v>53</v>
      </c>
      <c r="N587" t="s">
        <v>54</v>
      </c>
      <c r="O587" t="s">
        <v>35</v>
      </c>
      <c r="P587">
        <v>1</v>
      </c>
      <c r="Q587" s="2">
        <f>Ventas[[#This Row],[precio_base]]*Ventas[[#This Row],[cantidad]]</f>
        <v>124.94999999999999</v>
      </c>
      <c r="R587" s="2">
        <f>Ventas[[#This Row],[Total bruto (antes de descuento)]]-Ventas[[#This Row],[total_venta]]</f>
        <v>0</v>
      </c>
    </row>
    <row r="588" spans="1:18" x14ac:dyDescent="0.25">
      <c r="A588" t="s">
        <v>681</v>
      </c>
      <c r="B588" s="1">
        <v>45446</v>
      </c>
      <c r="C588" t="s">
        <v>72</v>
      </c>
      <c r="D588" t="s">
        <v>31</v>
      </c>
      <c r="E588">
        <v>1</v>
      </c>
      <c r="F588" s="2">
        <v>29.99</v>
      </c>
      <c r="G588">
        <v>20</v>
      </c>
      <c r="H588" s="2">
        <v>23.99</v>
      </c>
      <c r="I588" s="2">
        <v>23.99</v>
      </c>
      <c r="J588" t="s">
        <v>19</v>
      </c>
      <c r="K588" t="s">
        <v>52</v>
      </c>
      <c r="L588" t="s">
        <v>21</v>
      </c>
      <c r="M588" t="s">
        <v>120</v>
      </c>
      <c r="N588" t="s">
        <v>23</v>
      </c>
      <c r="O588" t="s">
        <v>24</v>
      </c>
      <c r="P588">
        <v>1</v>
      </c>
      <c r="Q588" s="2">
        <f>Ventas[[#This Row],[precio_base]]*Ventas[[#This Row],[cantidad]]</f>
        <v>29.99</v>
      </c>
      <c r="R588" s="2">
        <f>Ventas[[#This Row],[Total bruto (antes de descuento)]]-Ventas[[#This Row],[total_venta]]</f>
        <v>6</v>
      </c>
    </row>
    <row r="589" spans="1:18" x14ac:dyDescent="0.25">
      <c r="A589" t="s">
        <v>682</v>
      </c>
      <c r="B589" s="1">
        <v>45491</v>
      </c>
      <c r="C589" t="s">
        <v>61</v>
      </c>
      <c r="D589" t="s">
        <v>38</v>
      </c>
      <c r="E589">
        <v>5</v>
      </c>
      <c r="F589" s="2">
        <v>19.989999999999998</v>
      </c>
      <c r="G589">
        <v>10</v>
      </c>
      <c r="H589" s="2">
        <v>17.989999999999998</v>
      </c>
      <c r="I589" s="2">
        <v>89.95</v>
      </c>
      <c r="J589" t="s">
        <v>19</v>
      </c>
      <c r="K589" t="s">
        <v>20</v>
      </c>
      <c r="L589" t="s">
        <v>45</v>
      </c>
      <c r="M589" t="s">
        <v>39</v>
      </c>
      <c r="N589" t="s">
        <v>40</v>
      </c>
      <c r="O589" t="s">
        <v>35</v>
      </c>
      <c r="P589">
        <v>5</v>
      </c>
      <c r="Q589" s="2">
        <f>Ventas[[#This Row],[precio_base]]*Ventas[[#This Row],[cantidad]]</f>
        <v>99.949999999999989</v>
      </c>
      <c r="R589" s="2">
        <f>Ventas[[#This Row],[Total bruto (antes de descuento)]]-Ventas[[#This Row],[total_venta]]</f>
        <v>9.9999999999999858</v>
      </c>
    </row>
    <row r="590" spans="1:18" x14ac:dyDescent="0.25">
      <c r="A590" t="s">
        <v>683</v>
      </c>
      <c r="B590" s="1">
        <v>45224</v>
      </c>
      <c r="C590" t="s">
        <v>78</v>
      </c>
      <c r="D590" t="s">
        <v>18</v>
      </c>
      <c r="E590">
        <v>4</v>
      </c>
      <c r="F590" s="2">
        <v>349.99</v>
      </c>
      <c r="G590">
        <v>10</v>
      </c>
      <c r="H590" s="2">
        <v>314.99</v>
      </c>
      <c r="I590" s="2">
        <v>1259.96</v>
      </c>
      <c r="J590" t="s">
        <v>19</v>
      </c>
      <c r="K590" t="s">
        <v>20</v>
      </c>
      <c r="L590" t="s">
        <v>21</v>
      </c>
      <c r="M590" t="s">
        <v>120</v>
      </c>
      <c r="N590" t="s">
        <v>23</v>
      </c>
      <c r="O590" t="s">
        <v>24</v>
      </c>
      <c r="P590">
        <v>2</v>
      </c>
      <c r="Q590" s="2">
        <f>Ventas[[#This Row],[precio_base]]*Ventas[[#This Row],[cantidad]]</f>
        <v>1399.96</v>
      </c>
      <c r="R590" s="2">
        <f>Ventas[[#This Row],[Total bruto (antes de descuento)]]-Ventas[[#This Row],[total_venta]]</f>
        <v>140</v>
      </c>
    </row>
    <row r="591" spans="1:18" x14ac:dyDescent="0.25">
      <c r="A591" t="s">
        <v>684</v>
      </c>
      <c r="B591" s="1">
        <v>45555</v>
      </c>
      <c r="C591" t="s">
        <v>81</v>
      </c>
      <c r="D591" t="s">
        <v>31</v>
      </c>
      <c r="E591">
        <v>2</v>
      </c>
      <c r="F591" s="2">
        <v>189.99</v>
      </c>
      <c r="G591">
        <v>20</v>
      </c>
      <c r="H591" s="2">
        <v>151.99</v>
      </c>
      <c r="I591" s="2">
        <v>303.98</v>
      </c>
      <c r="J591" t="s">
        <v>19</v>
      </c>
      <c r="K591" t="s">
        <v>20</v>
      </c>
      <c r="L591" t="s">
        <v>45</v>
      </c>
      <c r="M591" t="s">
        <v>101</v>
      </c>
      <c r="N591" t="s">
        <v>102</v>
      </c>
      <c r="O591" t="s">
        <v>35</v>
      </c>
      <c r="P591">
        <v>5</v>
      </c>
      <c r="Q591" s="2">
        <f>Ventas[[#This Row],[precio_base]]*Ventas[[#This Row],[cantidad]]</f>
        <v>379.98</v>
      </c>
      <c r="R591" s="2">
        <f>Ventas[[#This Row],[Total bruto (antes de descuento)]]-Ventas[[#This Row],[total_venta]]</f>
        <v>76</v>
      </c>
    </row>
    <row r="592" spans="1:18" x14ac:dyDescent="0.25">
      <c r="A592" t="s">
        <v>685</v>
      </c>
      <c r="B592" s="1">
        <v>45602</v>
      </c>
      <c r="C592" t="s">
        <v>42</v>
      </c>
      <c r="D592" t="s">
        <v>43</v>
      </c>
      <c r="E592">
        <v>2</v>
      </c>
      <c r="F592" s="2">
        <v>349.99</v>
      </c>
      <c r="G592">
        <v>15</v>
      </c>
      <c r="H592" s="2">
        <v>297.49</v>
      </c>
      <c r="I592" s="2">
        <v>594.98</v>
      </c>
      <c r="J592" t="s">
        <v>51</v>
      </c>
      <c r="K592" t="s">
        <v>20</v>
      </c>
      <c r="L592" t="s">
        <v>28</v>
      </c>
      <c r="M592" t="s">
        <v>123</v>
      </c>
      <c r="N592" t="s">
        <v>124</v>
      </c>
      <c r="O592" t="s">
        <v>24</v>
      </c>
      <c r="Q592" s="2">
        <f>Ventas[[#This Row],[precio_base]]*Ventas[[#This Row],[cantidad]]</f>
        <v>699.98</v>
      </c>
      <c r="R592" s="2">
        <f>Ventas[[#This Row],[Total bruto (antes de descuento)]]-Ventas[[#This Row],[total_venta]]</f>
        <v>105</v>
      </c>
    </row>
    <row r="593" spans="1:18" x14ac:dyDescent="0.25">
      <c r="A593" t="s">
        <v>686</v>
      </c>
      <c r="B593" s="1">
        <v>45164</v>
      </c>
      <c r="C593" t="s">
        <v>56</v>
      </c>
      <c r="D593" t="s">
        <v>18</v>
      </c>
      <c r="E593">
        <v>3</v>
      </c>
      <c r="F593" s="2">
        <v>89.99</v>
      </c>
      <c r="G593">
        <v>0</v>
      </c>
      <c r="H593" s="2">
        <v>89.99</v>
      </c>
      <c r="I593" s="2">
        <v>269.97000000000003</v>
      </c>
      <c r="J593" t="s">
        <v>19</v>
      </c>
      <c r="K593" t="s">
        <v>20</v>
      </c>
      <c r="L593" t="s">
        <v>152</v>
      </c>
      <c r="M593" t="s">
        <v>73</v>
      </c>
      <c r="N593" t="s">
        <v>74</v>
      </c>
      <c r="O593" t="s">
        <v>35</v>
      </c>
      <c r="P593">
        <v>3</v>
      </c>
      <c r="Q593" s="2">
        <f>Ventas[[#This Row],[precio_base]]*Ventas[[#This Row],[cantidad]]</f>
        <v>269.96999999999997</v>
      </c>
      <c r="R593" s="2">
        <f>Ventas[[#This Row],[Total bruto (antes de descuento)]]-Ventas[[#This Row],[total_venta]]</f>
        <v>0</v>
      </c>
    </row>
    <row r="594" spans="1:18" x14ac:dyDescent="0.25">
      <c r="A594" t="s">
        <v>687</v>
      </c>
      <c r="B594" s="1">
        <v>45324</v>
      </c>
      <c r="C594" t="s">
        <v>92</v>
      </c>
      <c r="D594" t="s">
        <v>27</v>
      </c>
      <c r="E594">
        <v>4</v>
      </c>
      <c r="F594" s="2">
        <v>79.989999999999995</v>
      </c>
      <c r="G594">
        <v>0</v>
      </c>
      <c r="H594" s="2">
        <v>79.989999999999995</v>
      </c>
      <c r="I594" s="2">
        <v>319.95999999999998</v>
      </c>
      <c r="J594" t="s">
        <v>19</v>
      </c>
      <c r="K594" t="s">
        <v>20</v>
      </c>
      <c r="L594" t="s">
        <v>28</v>
      </c>
      <c r="M594" t="s">
        <v>73</v>
      </c>
      <c r="N594" t="s">
        <v>74</v>
      </c>
      <c r="O594" t="s">
        <v>35</v>
      </c>
      <c r="P594">
        <v>5</v>
      </c>
      <c r="Q594" s="2">
        <f>Ventas[[#This Row],[precio_base]]*Ventas[[#This Row],[cantidad]]</f>
        <v>319.95999999999998</v>
      </c>
      <c r="R594" s="2">
        <f>Ventas[[#This Row],[Total bruto (antes de descuento)]]-Ventas[[#This Row],[total_venta]]</f>
        <v>0</v>
      </c>
    </row>
    <row r="595" spans="1:18" x14ac:dyDescent="0.25">
      <c r="A595" t="s">
        <v>688</v>
      </c>
      <c r="B595" s="1">
        <v>45575</v>
      </c>
      <c r="C595" t="s">
        <v>143</v>
      </c>
      <c r="D595" t="s">
        <v>43</v>
      </c>
      <c r="E595">
        <v>3</v>
      </c>
      <c r="F595" s="2">
        <v>34.99</v>
      </c>
      <c r="G595">
        <v>20</v>
      </c>
      <c r="H595" s="2">
        <v>27.99</v>
      </c>
      <c r="I595" s="2">
        <v>83.97</v>
      </c>
      <c r="J595" t="s">
        <v>51</v>
      </c>
      <c r="K595" t="s">
        <v>44</v>
      </c>
      <c r="L595" t="s">
        <v>21</v>
      </c>
      <c r="M595" t="s">
        <v>33</v>
      </c>
      <c r="N595" t="s">
        <v>34</v>
      </c>
      <c r="O595" t="s">
        <v>35</v>
      </c>
      <c r="Q595" s="2">
        <f>Ventas[[#This Row],[precio_base]]*Ventas[[#This Row],[cantidad]]</f>
        <v>104.97</v>
      </c>
      <c r="R595" s="2">
        <f>Ventas[[#This Row],[Total bruto (antes de descuento)]]-Ventas[[#This Row],[total_venta]]</f>
        <v>21</v>
      </c>
    </row>
    <row r="596" spans="1:18" x14ac:dyDescent="0.25">
      <c r="A596" t="s">
        <v>689</v>
      </c>
      <c r="B596" s="1">
        <v>45596</v>
      </c>
      <c r="C596" t="s">
        <v>109</v>
      </c>
      <c r="D596" t="s">
        <v>38</v>
      </c>
      <c r="E596">
        <v>3</v>
      </c>
      <c r="F596" s="2">
        <v>39.99</v>
      </c>
      <c r="G596">
        <v>10</v>
      </c>
      <c r="H596" s="2">
        <v>35.99</v>
      </c>
      <c r="I596" s="2">
        <v>107.97</v>
      </c>
      <c r="J596" t="s">
        <v>51</v>
      </c>
      <c r="K596" t="s">
        <v>20</v>
      </c>
      <c r="L596" t="s">
        <v>21</v>
      </c>
      <c r="M596" t="s">
        <v>67</v>
      </c>
      <c r="N596" t="s">
        <v>68</v>
      </c>
      <c r="O596" t="s">
        <v>35</v>
      </c>
      <c r="Q596" s="2">
        <f>Ventas[[#This Row],[precio_base]]*Ventas[[#This Row],[cantidad]]</f>
        <v>119.97</v>
      </c>
      <c r="R596" s="2">
        <f>Ventas[[#This Row],[Total bruto (antes de descuento)]]-Ventas[[#This Row],[total_venta]]</f>
        <v>12</v>
      </c>
    </row>
    <row r="597" spans="1:18" x14ac:dyDescent="0.25">
      <c r="A597" t="s">
        <v>690</v>
      </c>
      <c r="B597" s="1">
        <v>45155</v>
      </c>
      <c r="C597" t="s">
        <v>87</v>
      </c>
      <c r="D597" t="s">
        <v>27</v>
      </c>
      <c r="E597">
        <v>4</v>
      </c>
      <c r="F597" s="2">
        <v>249.99</v>
      </c>
      <c r="G597">
        <v>0</v>
      </c>
      <c r="H597" s="2">
        <v>249.99</v>
      </c>
      <c r="I597" s="2">
        <v>999.96</v>
      </c>
      <c r="J597" t="s">
        <v>62</v>
      </c>
      <c r="K597" t="s">
        <v>44</v>
      </c>
      <c r="L597" t="s">
        <v>45</v>
      </c>
      <c r="M597" t="s">
        <v>123</v>
      </c>
      <c r="N597" t="s">
        <v>124</v>
      </c>
      <c r="O597" t="s">
        <v>24</v>
      </c>
      <c r="Q597" s="2">
        <f>Ventas[[#This Row],[precio_base]]*Ventas[[#This Row],[cantidad]]</f>
        <v>999.96</v>
      </c>
      <c r="R597" s="2">
        <f>Ventas[[#This Row],[Total bruto (antes de descuento)]]-Ventas[[#This Row],[total_venta]]</f>
        <v>0</v>
      </c>
    </row>
    <row r="598" spans="1:18" x14ac:dyDescent="0.25">
      <c r="A598" t="s">
        <v>691</v>
      </c>
      <c r="B598" s="1">
        <v>45545</v>
      </c>
      <c r="C598" t="s">
        <v>104</v>
      </c>
      <c r="D598" t="s">
        <v>18</v>
      </c>
      <c r="E598">
        <v>5</v>
      </c>
      <c r="F598" s="2">
        <v>1199.99</v>
      </c>
      <c r="G598">
        <v>0</v>
      </c>
      <c r="H598" s="2">
        <v>1199.99</v>
      </c>
      <c r="I598" s="2">
        <v>5999.95</v>
      </c>
      <c r="J598" t="s">
        <v>19</v>
      </c>
      <c r="K598" t="s">
        <v>20</v>
      </c>
      <c r="L598" t="s">
        <v>28</v>
      </c>
      <c r="M598" t="s">
        <v>22</v>
      </c>
      <c r="N598" t="s">
        <v>23</v>
      </c>
      <c r="O598" t="s">
        <v>24</v>
      </c>
      <c r="P598">
        <v>2</v>
      </c>
      <c r="Q598" s="2">
        <f>Ventas[[#This Row],[precio_base]]*Ventas[[#This Row],[cantidad]]</f>
        <v>5999.95</v>
      </c>
      <c r="R598" s="2">
        <f>Ventas[[#This Row],[Total bruto (antes de descuento)]]-Ventas[[#This Row],[total_venta]]</f>
        <v>0</v>
      </c>
    </row>
    <row r="599" spans="1:18" x14ac:dyDescent="0.25">
      <c r="A599" t="s">
        <v>692</v>
      </c>
      <c r="B599" s="1">
        <v>45080</v>
      </c>
      <c r="C599" t="s">
        <v>205</v>
      </c>
      <c r="D599" t="s">
        <v>18</v>
      </c>
      <c r="E599">
        <v>2</v>
      </c>
      <c r="F599" s="2">
        <v>129.99</v>
      </c>
      <c r="G599">
        <v>0</v>
      </c>
      <c r="H599" s="2">
        <v>129.99</v>
      </c>
      <c r="I599" s="2">
        <v>259.98</v>
      </c>
      <c r="J599" t="s">
        <v>51</v>
      </c>
      <c r="K599" t="s">
        <v>20</v>
      </c>
      <c r="L599" t="s">
        <v>21</v>
      </c>
      <c r="M599" t="s">
        <v>67</v>
      </c>
      <c r="N599" t="s">
        <v>68</v>
      </c>
      <c r="O599" t="s">
        <v>35</v>
      </c>
      <c r="Q599" s="2">
        <f>Ventas[[#This Row],[precio_base]]*Ventas[[#This Row],[cantidad]]</f>
        <v>259.98</v>
      </c>
      <c r="R599" s="2">
        <f>Ventas[[#This Row],[Total bruto (antes de descuento)]]-Ventas[[#This Row],[total_venta]]</f>
        <v>0</v>
      </c>
    </row>
    <row r="600" spans="1:18" x14ac:dyDescent="0.25">
      <c r="A600" t="s">
        <v>693</v>
      </c>
      <c r="B600" s="1">
        <v>45265</v>
      </c>
      <c r="C600" t="s">
        <v>76</v>
      </c>
      <c r="D600" t="s">
        <v>31</v>
      </c>
      <c r="E600">
        <v>1</v>
      </c>
      <c r="F600" s="2">
        <v>69.989999999999995</v>
      </c>
      <c r="G600">
        <v>5</v>
      </c>
      <c r="H600" s="2">
        <v>66.489999999999995</v>
      </c>
      <c r="I600" s="2">
        <v>66.489999999999995</v>
      </c>
      <c r="J600" t="s">
        <v>51</v>
      </c>
      <c r="K600" t="s">
        <v>20</v>
      </c>
      <c r="L600" t="s">
        <v>21</v>
      </c>
      <c r="M600" t="s">
        <v>101</v>
      </c>
      <c r="N600" t="s">
        <v>102</v>
      </c>
      <c r="O600" t="s">
        <v>35</v>
      </c>
      <c r="Q600" s="2">
        <f>Ventas[[#This Row],[precio_base]]*Ventas[[#This Row],[cantidad]]</f>
        <v>69.989999999999995</v>
      </c>
      <c r="R600" s="2">
        <f>Ventas[[#This Row],[Total bruto (antes de descuento)]]-Ventas[[#This Row],[total_venta]]</f>
        <v>3.5</v>
      </c>
    </row>
    <row r="601" spans="1:18" x14ac:dyDescent="0.25">
      <c r="A601" t="s">
        <v>694</v>
      </c>
      <c r="B601" s="1">
        <v>45347</v>
      </c>
      <c r="C601" t="s">
        <v>104</v>
      </c>
      <c r="D601" t="s">
        <v>18</v>
      </c>
      <c r="E601">
        <v>2</v>
      </c>
      <c r="F601" s="2">
        <v>1199.99</v>
      </c>
      <c r="G601">
        <v>0</v>
      </c>
      <c r="H601" s="2">
        <v>1199.99</v>
      </c>
      <c r="I601" s="2">
        <v>2399.98</v>
      </c>
      <c r="J601" t="s">
        <v>19</v>
      </c>
      <c r="K601" t="s">
        <v>20</v>
      </c>
      <c r="L601" t="s">
        <v>28</v>
      </c>
      <c r="M601" t="s">
        <v>33</v>
      </c>
      <c r="N601" t="s">
        <v>34</v>
      </c>
      <c r="O601" t="s">
        <v>35</v>
      </c>
      <c r="P601">
        <v>1</v>
      </c>
      <c r="Q601" s="2">
        <f>Ventas[[#This Row],[precio_base]]*Ventas[[#This Row],[cantidad]]</f>
        <v>2399.98</v>
      </c>
      <c r="R601" s="2">
        <f>Ventas[[#This Row],[Total bruto (antes de descuento)]]-Ventas[[#This Row],[total_venta]]</f>
        <v>0</v>
      </c>
    </row>
    <row r="602" spans="1:18" x14ac:dyDescent="0.25">
      <c r="A602" t="s">
        <v>695</v>
      </c>
      <c r="B602" s="1">
        <v>45513</v>
      </c>
      <c r="C602" t="s">
        <v>78</v>
      </c>
      <c r="D602" t="s">
        <v>18</v>
      </c>
      <c r="E602">
        <v>1</v>
      </c>
      <c r="F602" s="2">
        <v>349.99</v>
      </c>
      <c r="G602">
        <v>0</v>
      </c>
      <c r="H602" s="2">
        <v>349.99</v>
      </c>
      <c r="I602" s="2">
        <v>349.99</v>
      </c>
      <c r="J602" t="s">
        <v>19</v>
      </c>
      <c r="K602" t="s">
        <v>44</v>
      </c>
      <c r="L602" t="s">
        <v>45</v>
      </c>
      <c r="M602" t="s">
        <v>63</v>
      </c>
      <c r="N602" t="s">
        <v>34</v>
      </c>
      <c r="O602" t="s">
        <v>24</v>
      </c>
      <c r="P602">
        <v>5</v>
      </c>
      <c r="Q602" s="2">
        <f>Ventas[[#This Row],[precio_base]]*Ventas[[#This Row],[cantidad]]</f>
        <v>349.99</v>
      </c>
      <c r="R602" s="2">
        <f>Ventas[[#This Row],[Total bruto (antes de descuento)]]-Ventas[[#This Row],[total_venta]]</f>
        <v>0</v>
      </c>
    </row>
    <row r="603" spans="1:18" x14ac:dyDescent="0.25">
      <c r="A603" t="s">
        <v>696</v>
      </c>
      <c r="B603" s="1">
        <v>45579</v>
      </c>
      <c r="C603" t="s">
        <v>104</v>
      </c>
      <c r="D603" t="s">
        <v>18</v>
      </c>
      <c r="E603">
        <v>3</v>
      </c>
      <c r="F603" s="2">
        <v>1199.99</v>
      </c>
      <c r="G603">
        <v>0</v>
      </c>
      <c r="H603" s="2">
        <v>1199.99</v>
      </c>
      <c r="I603" s="2">
        <v>3599.97</v>
      </c>
      <c r="J603" t="s">
        <v>19</v>
      </c>
      <c r="K603" t="s">
        <v>57</v>
      </c>
      <c r="L603" t="s">
        <v>32</v>
      </c>
      <c r="M603" t="s">
        <v>33</v>
      </c>
      <c r="N603" t="s">
        <v>34</v>
      </c>
      <c r="O603" t="s">
        <v>35</v>
      </c>
      <c r="P603">
        <v>2</v>
      </c>
      <c r="Q603" s="2">
        <f>Ventas[[#This Row],[precio_base]]*Ventas[[#This Row],[cantidad]]</f>
        <v>3599.9700000000003</v>
      </c>
      <c r="R603" s="2">
        <f>Ventas[[#This Row],[Total bruto (antes de descuento)]]-Ventas[[#This Row],[total_venta]]</f>
        <v>0</v>
      </c>
    </row>
    <row r="604" spans="1:18" x14ac:dyDescent="0.25">
      <c r="A604" t="s">
        <v>697</v>
      </c>
      <c r="B604" s="1">
        <v>45151</v>
      </c>
      <c r="C604" t="s">
        <v>143</v>
      </c>
      <c r="D604" t="s">
        <v>43</v>
      </c>
      <c r="E604">
        <v>4</v>
      </c>
      <c r="F604" s="2">
        <v>34.99</v>
      </c>
      <c r="G604">
        <v>10</v>
      </c>
      <c r="H604" s="2">
        <v>31.49</v>
      </c>
      <c r="I604" s="2">
        <v>125.96</v>
      </c>
      <c r="J604" t="s">
        <v>19</v>
      </c>
      <c r="K604" t="s">
        <v>52</v>
      </c>
      <c r="L604" t="s">
        <v>21</v>
      </c>
      <c r="M604" t="s">
        <v>33</v>
      </c>
      <c r="N604" t="s">
        <v>34</v>
      </c>
      <c r="O604" t="s">
        <v>35</v>
      </c>
      <c r="P604">
        <v>5</v>
      </c>
      <c r="Q604" s="2">
        <f>Ventas[[#This Row],[precio_base]]*Ventas[[#This Row],[cantidad]]</f>
        <v>139.96</v>
      </c>
      <c r="R604" s="2">
        <f>Ventas[[#This Row],[Total bruto (antes de descuento)]]-Ventas[[#This Row],[total_venta]]</f>
        <v>14.000000000000014</v>
      </c>
    </row>
    <row r="605" spans="1:18" x14ac:dyDescent="0.25">
      <c r="A605" t="s">
        <v>698</v>
      </c>
      <c r="B605" s="1">
        <v>45197</v>
      </c>
      <c r="C605" t="s">
        <v>205</v>
      </c>
      <c r="D605" t="s">
        <v>18</v>
      </c>
      <c r="E605">
        <v>3</v>
      </c>
      <c r="F605" s="2">
        <v>129.99</v>
      </c>
      <c r="G605">
        <v>5</v>
      </c>
      <c r="H605" s="2">
        <v>123.49</v>
      </c>
      <c r="I605" s="2">
        <v>370.47</v>
      </c>
      <c r="J605" t="s">
        <v>19</v>
      </c>
      <c r="K605" t="s">
        <v>20</v>
      </c>
      <c r="L605" t="s">
        <v>45</v>
      </c>
      <c r="M605" t="s">
        <v>95</v>
      </c>
      <c r="N605" t="s">
        <v>96</v>
      </c>
      <c r="O605" t="s">
        <v>48</v>
      </c>
      <c r="P605">
        <v>1</v>
      </c>
      <c r="Q605" s="2">
        <f>Ventas[[#This Row],[precio_base]]*Ventas[[#This Row],[cantidad]]</f>
        <v>389.97</v>
      </c>
      <c r="R605" s="2">
        <f>Ventas[[#This Row],[Total bruto (antes de descuento)]]-Ventas[[#This Row],[total_venta]]</f>
        <v>19.5</v>
      </c>
    </row>
    <row r="606" spans="1:18" x14ac:dyDescent="0.25">
      <c r="A606" t="s">
        <v>699</v>
      </c>
      <c r="B606" s="1">
        <v>44943</v>
      </c>
      <c r="C606" t="s">
        <v>115</v>
      </c>
      <c r="D606" t="s">
        <v>18</v>
      </c>
      <c r="E606">
        <v>5</v>
      </c>
      <c r="F606" s="2">
        <v>799.99</v>
      </c>
      <c r="G606">
        <v>20</v>
      </c>
      <c r="H606" s="2">
        <v>639.99</v>
      </c>
      <c r="I606" s="2">
        <v>3199.95</v>
      </c>
      <c r="J606" t="s">
        <v>90</v>
      </c>
      <c r="K606" t="s">
        <v>20</v>
      </c>
      <c r="L606" t="s">
        <v>21</v>
      </c>
      <c r="M606" t="s">
        <v>73</v>
      </c>
      <c r="N606" t="s">
        <v>74</v>
      </c>
      <c r="O606" t="s">
        <v>35</v>
      </c>
      <c r="Q606" s="2">
        <f>Ventas[[#This Row],[precio_base]]*Ventas[[#This Row],[cantidad]]</f>
        <v>3999.95</v>
      </c>
      <c r="R606" s="2">
        <f>Ventas[[#This Row],[Total bruto (antes de descuento)]]-Ventas[[#This Row],[total_venta]]</f>
        <v>800</v>
      </c>
    </row>
    <row r="607" spans="1:18" x14ac:dyDescent="0.25">
      <c r="A607" t="s">
        <v>700</v>
      </c>
      <c r="B607" s="1">
        <v>45025</v>
      </c>
      <c r="C607" t="s">
        <v>205</v>
      </c>
      <c r="D607" t="s">
        <v>18</v>
      </c>
      <c r="E607">
        <v>4</v>
      </c>
      <c r="F607" s="2">
        <v>129.99</v>
      </c>
      <c r="G607">
        <v>10</v>
      </c>
      <c r="H607" s="2">
        <v>116.99</v>
      </c>
      <c r="I607" s="2">
        <v>467.96</v>
      </c>
      <c r="J607" t="s">
        <v>19</v>
      </c>
      <c r="K607" t="s">
        <v>52</v>
      </c>
      <c r="L607" t="s">
        <v>45</v>
      </c>
      <c r="M607" t="s">
        <v>53</v>
      </c>
      <c r="N607" t="s">
        <v>54</v>
      </c>
      <c r="O607" t="s">
        <v>35</v>
      </c>
      <c r="P607">
        <v>1</v>
      </c>
      <c r="Q607" s="2">
        <f>Ventas[[#This Row],[precio_base]]*Ventas[[#This Row],[cantidad]]</f>
        <v>519.96</v>
      </c>
      <c r="R607" s="2">
        <f>Ventas[[#This Row],[Total bruto (antes de descuento)]]-Ventas[[#This Row],[total_venta]]</f>
        <v>52.000000000000057</v>
      </c>
    </row>
    <row r="608" spans="1:18" x14ac:dyDescent="0.25">
      <c r="A608" t="s">
        <v>701</v>
      </c>
      <c r="B608" s="1">
        <v>45022</v>
      </c>
      <c r="C608" t="s">
        <v>92</v>
      </c>
      <c r="D608" t="s">
        <v>27</v>
      </c>
      <c r="E608">
        <v>2</v>
      </c>
      <c r="F608" s="2">
        <v>79.989999999999995</v>
      </c>
      <c r="G608">
        <v>10</v>
      </c>
      <c r="H608" s="2">
        <v>71.989999999999995</v>
      </c>
      <c r="I608" s="2">
        <v>143.97999999999999</v>
      </c>
      <c r="J608" t="s">
        <v>19</v>
      </c>
      <c r="K608" t="s">
        <v>52</v>
      </c>
      <c r="L608" t="s">
        <v>28</v>
      </c>
      <c r="M608" t="s">
        <v>46</v>
      </c>
      <c r="N608" t="s">
        <v>47</v>
      </c>
      <c r="O608" t="s">
        <v>48</v>
      </c>
      <c r="P608">
        <v>4</v>
      </c>
      <c r="Q608" s="2">
        <f>Ventas[[#This Row],[precio_base]]*Ventas[[#This Row],[cantidad]]</f>
        <v>159.97999999999999</v>
      </c>
      <c r="R608" s="2">
        <f>Ventas[[#This Row],[Total bruto (antes de descuento)]]-Ventas[[#This Row],[total_venta]]</f>
        <v>16</v>
      </c>
    </row>
    <row r="609" spans="1:18" x14ac:dyDescent="0.25">
      <c r="A609" t="s">
        <v>702</v>
      </c>
      <c r="B609" s="1">
        <v>45461</v>
      </c>
      <c r="C609" t="s">
        <v>37</v>
      </c>
      <c r="D609" t="s">
        <v>38</v>
      </c>
      <c r="E609">
        <v>3</v>
      </c>
      <c r="F609" s="2">
        <v>34.99</v>
      </c>
      <c r="G609">
        <v>20</v>
      </c>
      <c r="H609" s="2">
        <v>27.99</v>
      </c>
      <c r="I609" s="2">
        <v>83.97</v>
      </c>
      <c r="J609" t="s">
        <v>19</v>
      </c>
      <c r="K609" t="s">
        <v>20</v>
      </c>
      <c r="L609" t="s">
        <v>152</v>
      </c>
      <c r="M609" t="s">
        <v>65</v>
      </c>
      <c r="N609" t="s">
        <v>54</v>
      </c>
      <c r="O609" t="s">
        <v>35</v>
      </c>
      <c r="P609">
        <v>4</v>
      </c>
      <c r="Q609" s="2">
        <f>Ventas[[#This Row],[precio_base]]*Ventas[[#This Row],[cantidad]]</f>
        <v>104.97</v>
      </c>
      <c r="R609" s="2">
        <f>Ventas[[#This Row],[Total bruto (antes de descuento)]]-Ventas[[#This Row],[total_venta]]</f>
        <v>21</v>
      </c>
    </row>
    <row r="610" spans="1:18" x14ac:dyDescent="0.25">
      <c r="A610" t="s">
        <v>703</v>
      </c>
      <c r="B610" s="1">
        <v>45317</v>
      </c>
      <c r="C610" t="s">
        <v>89</v>
      </c>
      <c r="D610" t="s">
        <v>38</v>
      </c>
      <c r="E610">
        <v>5</v>
      </c>
      <c r="F610" s="2">
        <v>69.989999999999995</v>
      </c>
      <c r="G610">
        <v>20</v>
      </c>
      <c r="H610" s="2">
        <v>55.99</v>
      </c>
      <c r="I610" s="2">
        <v>279.95</v>
      </c>
      <c r="J610" t="s">
        <v>51</v>
      </c>
      <c r="K610" t="s">
        <v>52</v>
      </c>
      <c r="L610" t="s">
        <v>45</v>
      </c>
      <c r="M610" t="s">
        <v>39</v>
      </c>
      <c r="N610" t="s">
        <v>40</v>
      </c>
      <c r="O610" t="s">
        <v>35</v>
      </c>
      <c r="Q610" s="2">
        <f>Ventas[[#This Row],[precio_base]]*Ventas[[#This Row],[cantidad]]</f>
        <v>349.95</v>
      </c>
      <c r="R610" s="2">
        <f>Ventas[[#This Row],[Total bruto (antes de descuento)]]-Ventas[[#This Row],[total_venta]]</f>
        <v>70</v>
      </c>
    </row>
    <row r="611" spans="1:18" x14ac:dyDescent="0.25">
      <c r="A611" t="s">
        <v>704</v>
      </c>
      <c r="B611" s="1">
        <v>45362</v>
      </c>
      <c r="C611" t="s">
        <v>78</v>
      </c>
      <c r="D611" t="s">
        <v>18</v>
      </c>
      <c r="E611">
        <v>3</v>
      </c>
      <c r="F611" s="2">
        <v>349.99</v>
      </c>
      <c r="G611">
        <v>5</v>
      </c>
      <c r="H611" s="2">
        <v>332.49</v>
      </c>
      <c r="I611" s="2">
        <v>997.47</v>
      </c>
      <c r="J611" t="s">
        <v>51</v>
      </c>
      <c r="K611" t="s">
        <v>52</v>
      </c>
      <c r="L611" t="s">
        <v>21</v>
      </c>
      <c r="M611" t="s">
        <v>53</v>
      </c>
      <c r="N611" t="s">
        <v>54</v>
      </c>
      <c r="O611" t="s">
        <v>35</v>
      </c>
      <c r="Q611" s="2">
        <f>Ventas[[#This Row],[precio_base]]*Ventas[[#This Row],[cantidad]]</f>
        <v>1049.97</v>
      </c>
      <c r="R611" s="2">
        <f>Ventas[[#This Row],[Total bruto (antes de descuento)]]-Ventas[[#This Row],[total_venta]]</f>
        <v>52.5</v>
      </c>
    </row>
    <row r="612" spans="1:18" x14ac:dyDescent="0.25">
      <c r="A612" t="s">
        <v>705</v>
      </c>
      <c r="B612" s="1">
        <v>45483</v>
      </c>
      <c r="C612" t="s">
        <v>37</v>
      </c>
      <c r="D612" t="s">
        <v>38</v>
      </c>
      <c r="E612">
        <v>3</v>
      </c>
      <c r="F612" s="2">
        <v>34.99</v>
      </c>
      <c r="G612">
        <v>0</v>
      </c>
      <c r="H612" s="2">
        <v>34.99</v>
      </c>
      <c r="I612" s="2">
        <v>104.97</v>
      </c>
      <c r="J612" t="s">
        <v>19</v>
      </c>
      <c r="K612" t="s">
        <v>52</v>
      </c>
      <c r="L612" t="s">
        <v>45</v>
      </c>
      <c r="M612" t="s">
        <v>84</v>
      </c>
      <c r="N612" t="s">
        <v>85</v>
      </c>
      <c r="O612" t="s">
        <v>35</v>
      </c>
      <c r="P612">
        <v>1</v>
      </c>
      <c r="Q612" s="2">
        <f>Ventas[[#This Row],[precio_base]]*Ventas[[#This Row],[cantidad]]</f>
        <v>104.97</v>
      </c>
      <c r="R612" s="2">
        <f>Ventas[[#This Row],[Total bruto (antes de descuento)]]-Ventas[[#This Row],[total_venta]]</f>
        <v>0</v>
      </c>
    </row>
    <row r="613" spans="1:18" x14ac:dyDescent="0.25">
      <c r="A613" t="s">
        <v>706</v>
      </c>
      <c r="B613" s="1">
        <v>45459</v>
      </c>
      <c r="C613" t="s">
        <v>104</v>
      </c>
      <c r="D613" t="s">
        <v>18</v>
      </c>
      <c r="E613">
        <v>4</v>
      </c>
      <c r="F613" s="2">
        <v>1199.99</v>
      </c>
      <c r="G613">
        <v>15</v>
      </c>
      <c r="H613" s="2">
        <v>1019.99</v>
      </c>
      <c r="I613" s="2">
        <v>4079.96</v>
      </c>
      <c r="J613" t="s">
        <v>19</v>
      </c>
      <c r="K613" t="s">
        <v>20</v>
      </c>
      <c r="L613" t="s">
        <v>45</v>
      </c>
      <c r="M613" t="s">
        <v>39</v>
      </c>
      <c r="N613" t="s">
        <v>40</v>
      </c>
      <c r="O613" t="s">
        <v>35</v>
      </c>
      <c r="P613">
        <v>2</v>
      </c>
      <c r="Q613" s="2">
        <f>Ventas[[#This Row],[precio_base]]*Ventas[[#This Row],[cantidad]]</f>
        <v>4799.96</v>
      </c>
      <c r="R613" s="2">
        <f>Ventas[[#This Row],[Total bruto (antes de descuento)]]-Ventas[[#This Row],[total_venta]]</f>
        <v>720</v>
      </c>
    </row>
    <row r="614" spans="1:18" x14ac:dyDescent="0.25">
      <c r="A614" t="s">
        <v>707</v>
      </c>
      <c r="B614" s="1">
        <v>45363</v>
      </c>
      <c r="C614" t="s">
        <v>72</v>
      </c>
      <c r="D614" t="s">
        <v>31</v>
      </c>
      <c r="E614">
        <v>5</v>
      </c>
      <c r="F614" s="2">
        <v>29.99</v>
      </c>
      <c r="G614">
        <v>0</v>
      </c>
      <c r="H614" s="2">
        <v>29.99</v>
      </c>
      <c r="I614" s="2">
        <v>149.94999999999999</v>
      </c>
      <c r="J614" t="s">
        <v>19</v>
      </c>
      <c r="K614" t="s">
        <v>20</v>
      </c>
      <c r="L614" t="s">
        <v>45</v>
      </c>
      <c r="M614" t="s">
        <v>65</v>
      </c>
      <c r="N614" t="s">
        <v>54</v>
      </c>
      <c r="O614" t="s">
        <v>35</v>
      </c>
      <c r="P614">
        <v>3</v>
      </c>
      <c r="Q614" s="2">
        <f>Ventas[[#This Row],[precio_base]]*Ventas[[#This Row],[cantidad]]</f>
        <v>149.94999999999999</v>
      </c>
      <c r="R614" s="2">
        <f>Ventas[[#This Row],[Total bruto (antes de descuento)]]-Ventas[[#This Row],[total_venta]]</f>
        <v>0</v>
      </c>
    </row>
    <row r="615" spans="1:18" x14ac:dyDescent="0.25">
      <c r="A615" t="s">
        <v>708</v>
      </c>
      <c r="B615" s="1">
        <v>45623</v>
      </c>
      <c r="C615" t="s">
        <v>109</v>
      </c>
      <c r="D615" t="s">
        <v>38</v>
      </c>
      <c r="E615">
        <v>2</v>
      </c>
      <c r="F615" s="2">
        <v>39.99</v>
      </c>
      <c r="G615">
        <v>5</v>
      </c>
      <c r="H615" s="2">
        <v>37.99</v>
      </c>
      <c r="I615" s="2">
        <v>75.98</v>
      </c>
      <c r="J615" t="s">
        <v>19</v>
      </c>
      <c r="K615" t="s">
        <v>44</v>
      </c>
      <c r="L615" t="s">
        <v>45</v>
      </c>
      <c r="M615" t="s">
        <v>65</v>
      </c>
      <c r="N615" t="s">
        <v>54</v>
      </c>
      <c r="O615" t="s">
        <v>35</v>
      </c>
      <c r="P615">
        <v>5</v>
      </c>
      <c r="Q615" s="2">
        <f>Ventas[[#This Row],[precio_base]]*Ventas[[#This Row],[cantidad]]</f>
        <v>79.98</v>
      </c>
      <c r="R615" s="2">
        <f>Ventas[[#This Row],[Total bruto (antes de descuento)]]-Ventas[[#This Row],[total_venta]]</f>
        <v>4</v>
      </c>
    </row>
    <row r="616" spans="1:18" x14ac:dyDescent="0.25">
      <c r="A616" t="s">
        <v>709</v>
      </c>
      <c r="B616" s="1">
        <v>45422</v>
      </c>
      <c r="C616" t="s">
        <v>61</v>
      </c>
      <c r="D616" t="s">
        <v>38</v>
      </c>
      <c r="E616">
        <v>3</v>
      </c>
      <c r="F616" s="2">
        <v>19.989999999999998</v>
      </c>
      <c r="G616">
        <v>10</v>
      </c>
      <c r="H616" s="2">
        <v>17.989999999999998</v>
      </c>
      <c r="I616" s="2">
        <v>53.97</v>
      </c>
      <c r="J616" t="s">
        <v>19</v>
      </c>
      <c r="K616" t="s">
        <v>20</v>
      </c>
      <c r="L616" t="s">
        <v>21</v>
      </c>
      <c r="M616" t="s">
        <v>84</v>
      </c>
      <c r="N616" t="s">
        <v>85</v>
      </c>
      <c r="O616" t="s">
        <v>35</v>
      </c>
      <c r="P616">
        <v>1</v>
      </c>
      <c r="Q616" s="2">
        <f>Ventas[[#This Row],[precio_base]]*Ventas[[#This Row],[cantidad]]</f>
        <v>59.97</v>
      </c>
      <c r="R616" s="2">
        <f>Ventas[[#This Row],[Total bruto (antes de descuento)]]-Ventas[[#This Row],[total_venta]]</f>
        <v>6</v>
      </c>
    </row>
    <row r="617" spans="1:18" x14ac:dyDescent="0.25">
      <c r="A617" t="s">
        <v>710</v>
      </c>
      <c r="B617" s="1">
        <v>45162</v>
      </c>
      <c r="C617" t="s">
        <v>151</v>
      </c>
      <c r="D617" t="s">
        <v>27</v>
      </c>
      <c r="E617">
        <v>2</v>
      </c>
      <c r="F617" s="2">
        <v>599.99</v>
      </c>
      <c r="G617">
        <v>0</v>
      </c>
      <c r="H617" s="2">
        <v>599.99</v>
      </c>
      <c r="I617" s="2">
        <v>1199.98</v>
      </c>
      <c r="J617" t="s">
        <v>19</v>
      </c>
      <c r="K617" t="s">
        <v>52</v>
      </c>
      <c r="L617" t="s">
        <v>32</v>
      </c>
      <c r="M617" t="s">
        <v>120</v>
      </c>
      <c r="N617" t="s">
        <v>23</v>
      </c>
      <c r="O617" t="s">
        <v>24</v>
      </c>
      <c r="P617">
        <v>5</v>
      </c>
      <c r="Q617" s="2">
        <f>Ventas[[#This Row],[precio_base]]*Ventas[[#This Row],[cantidad]]</f>
        <v>1199.98</v>
      </c>
      <c r="R617" s="2">
        <f>Ventas[[#This Row],[Total bruto (antes de descuento)]]-Ventas[[#This Row],[total_venta]]</f>
        <v>0</v>
      </c>
    </row>
    <row r="618" spans="1:18" x14ac:dyDescent="0.25">
      <c r="A618" t="s">
        <v>711</v>
      </c>
      <c r="B618" s="1">
        <v>45640</v>
      </c>
      <c r="C618" t="s">
        <v>81</v>
      </c>
      <c r="D618" t="s">
        <v>31</v>
      </c>
      <c r="E618">
        <v>1</v>
      </c>
      <c r="F618" s="2">
        <v>189.99</v>
      </c>
      <c r="G618">
        <v>0</v>
      </c>
      <c r="H618" s="2">
        <v>189.99</v>
      </c>
      <c r="I618" s="2">
        <v>189.99</v>
      </c>
      <c r="J618" t="s">
        <v>19</v>
      </c>
      <c r="K618" t="s">
        <v>20</v>
      </c>
      <c r="L618" t="s">
        <v>21</v>
      </c>
      <c r="M618" t="s">
        <v>73</v>
      </c>
      <c r="N618" t="s">
        <v>74</v>
      </c>
      <c r="O618" t="s">
        <v>35</v>
      </c>
      <c r="P618">
        <v>2</v>
      </c>
      <c r="Q618" s="2">
        <f>Ventas[[#This Row],[precio_base]]*Ventas[[#This Row],[cantidad]]</f>
        <v>189.99</v>
      </c>
      <c r="R618" s="2">
        <f>Ventas[[#This Row],[Total bruto (antes de descuento)]]-Ventas[[#This Row],[total_venta]]</f>
        <v>0</v>
      </c>
    </row>
    <row r="619" spans="1:18" x14ac:dyDescent="0.25">
      <c r="A619" t="s">
        <v>712</v>
      </c>
      <c r="B619" s="1">
        <v>45409</v>
      </c>
      <c r="C619" t="s">
        <v>122</v>
      </c>
      <c r="D619" t="s">
        <v>43</v>
      </c>
      <c r="E619">
        <v>5</v>
      </c>
      <c r="F619" s="2">
        <v>44.99</v>
      </c>
      <c r="G619">
        <v>5</v>
      </c>
      <c r="H619" s="2">
        <v>42.74</v>
      </c>
      <c r="I619" s="2">
        <v>213.7</v>
      </c>
      <c r="J619" t="s">
        <v>19</v>
      </c>
      <c r="K619" t="s">
        <v>20</v>
      </c>
      <c r="L619" t="s">
        <v>21</v>
      </c>
      <c r="M619" t="s">
        <v>58</v>
      </c>
      <c r="N619" t="s">
        <v>59</v>
      </c>
      <c r="O619" t="s">
        <v>24</v>
      </c>
      <c r="P619">
        <v>1</v>
      </c>
      <c r="Q619" s="2">
        <f>Ventas[[#This Row],[precio_base]]*Ventas[[#This Row],[cantidad]]</f>
        <v>224.95000000000002</v>
      </c>
      <c r="R619" s="2">
        <f>Ventas[[#This Row],[Total bruto (antes de descuento)]]-Ventas[[#This Row],[total_venta]]</f>
        <v>11.250000000000028</v>
      </c>
    </row>
    <row r="620" spans="1:18" x14ac:dyDescent="0.25">
      <c r="A620" t="s">
        <v>713</v>
      </c>
      <c r="B620" s="1">
        <v>45320</v>
      </c>
      <c r="C620" t="s">
        <v>122</v>
      </c>
      <c r="D620" t="s">
        <v>43</v>
      </c>
      <c r="E620">
        <v>4</v>
      </c>
      <c r="F620" s="2">
        <v>44.99</v>
      </c>
      <c r="G620">
        <v>10</v>
      </c>
      <c r="H620" s="2">
        <v>40.49</v>
      </c>
      <c r="I620" s="2">
        <v>161.96</v>
      </c>
      <c r="J620" t="s">
        <v>51</v>
      </c>
      <c r="K620" t="s">
        <v>44</v>
      </c>
      <c r="L620" t="s">
        <v>45</v>
      </c>
      <c r="M620" t="s">
        <v>58</v>
      </c>
      <c r="N620" t="s">
        <v>59</v>
      </c>
      <c r="O620" t="s">
        <v>24</v>
      </c>
      <c r="Q620" s="2">
        <f>Ventas[[#This Row],[precio_base]]*Ventas[[#This Row],[cantidad]]</f>
        <v>179.96</v>
      </c>
      <c r="R620" s="2">
        <f>Ventas[[#This Row],[Total bruto (antes de descuento)]]-Ventas[[#This Row],[total_venta]]</f>
        <v>18</v>
      </c>
    </row>
    <row r="621" spans="1:18" x14ac:dyDescent="0.25">
      <c r="A621" t="s">
        <v>714</v>
      </c>
      <c r="B621" s="1">
        <v>45106</v>
      </c>
      <c r="C621" t="s">
        <v>72</v>
      </c>
      <c r="D621" t="s">
        <v>31</v>
      </c>
      <c r="E621">
        <v>4</v>
      </c>
      <c r="F621" s="2">
        <v>29.99</v>
      </c>
      <c r="G621">
        <v>5</v>
      </c>
      <c r="H621" s="2">
        <v>28.49</v>
      </c>
      <c r="I621" s="2">
        <v>113.96</v>
      </c>
      <c r="J621" t="s">
        <v>19</v>
      </c>
      <c r="K621" t="s">
        <v>44</v>
      </c>
      <c r="L621" t="s">
        <v>32</v>
      </c>
      <c r="M621" t="s">
        <v>67</v>
      </c>
      <c r="N621" t="s">
        <v>68</v>
      </c>
      <c r="O621" t="s">
        <v>35</v>
      </c>
      <c r="P621">
        <v>3</v>
      </c>
      <c r="Q621" s="2">
        <f>Ventas[[#This Row],[precio_base]]*Ventas[[#This Row],[cantidad]]</f>
        <v>119.96</v>
      </c>
      <c r="R621" s="2">
        <f>Ventas[[#This Row],[Total bruto (antes de descuento)]]-Ventas[[#This Row],[total_venta]]</f>
        <v>6</v>
      </c>
    </row>
    <row r="622" spans="1:18" x14ac:dyDescent="0.25">
      <c r="A622" t="s">
        <v>715</v>
      </c>
      <c r="B622" s="1">
        <v>45126</v>
      </c>
      <c r="C622" t="s">
        <v>94</v>
      </c>
      <c r="D622" t="s">
        <v>18</v>
      </c>
      <c r="E622">
        <v>5</v>
      </c>
      <c r="F622" s="2">
        <v>899.99</v>
      </c>
      <c r="G622">
        <v>10</v>
      </c>
      <c r="H622" s="2">
        <v>809.99</v>
      </c>
      <c r="I622" s="2">
        <v>4049.95</v>
      </c>
      <c r="J622" t="s">
        <v>19</v>
      </c>
      <c r="K622" t="s">
        <v>44</v>
      </c>
      <c r="L622" t="s">
        <v>28</v>
      </c>
      <c r="M622" t="s">
        <v>22</v>
      </c>
      <c r="N622" t="s">
        <v>23</v>
      </c>
      <c r="O622" t="s">
        <v>24</v>
      </c>
      <c r="P622">
        <v>3</v>
      </c>
      <c r="Q622" s="2">
        <f>Ventas[[#This Row],[precio_base]]*Ventas[[#This Row],[cantidad]]</f>
        <v>4499.95</v>
      </c>
      <c r="R622" s="2">
        <f>Ventas[[#This Row],[Total bruto (antes de descuento)]]-Ventas[[#This Row],[total_venta]]</f>
        <v>450</v>
      </c>
    </row>
    <row r="623" spans="1:18" x14ac:dyDescent="0.25">
      <c r="A623" t="s">
        <v>716</v>
      </c>
      <c r="B623" s="1">
        <v>45171</v>
      </c>
      <c r="C623" t="s">
        <v>72</v>
      </c>
      <c r="D623" t="s">
        <v>31</v>
      </c>
      <c r="E623">
        <v>1</v>
      </c>
      <c r="F623" s="2">
        <v>29.99</v>
      </c>
      <c r="G623">
        <v>0</v>
      </c>
      <c r="H623" s="2">
        <v>29.99</v>
      </c>
      <c r="I623" s="2">
        <v>29.99</v>
      </c>
      <c r="J623" t="s">
        <v>19</v>
      </c>
      <c r="K623" t="s">
        <v>52</v>
      </c>
      <c r="L623" t="s">
        <v>45</v>
      </c>
      <c r="M623" t="s">
        <v>58</v>
      </c>
      <c r="N623" t="s">
        <v>59</v>
      </c>
      <c r="O623" t="s">
        <v>24</v>
      </c>
      <c r="P623">
        <v>4</v>
      </c>
      <c r="Q623" s="2">
        <f>Ventas[[#This Row],[precio_base]]*Ventas[[#This Row],[cantidad]]</f>
        <v>29.99</v>
      </c>
      <c r="R623" s="2">
        <f>Ventas[[#This Row],[Total bruto (antes de descuento)]]-Ventas[[#This Row],[total_venta]]</f>
        <v>0</v>
      </c>
    </row>
    <row r="624" spans="1:18" x14ac:dyDescent="0.25">
      <c r="A624" t="s">
        <v>717</v>
      </c>
      <c r="B624" s="1">
        <v>45342</v>
      </c>
      <c r="C624" t="s">
        <v>26</v>
      </c>
      <c r="D624" t="s">
        <v>27</v>
      </c>
      <c r="E624">
        <v>2</v>
      </c>
      <c r="F624" s="2">
        <v>399.99</v>
      </c>
      <c r="G624">
        <v>10</v>
      </c>
      <c r="H624" s="2">
        <v>359.99</v>
      </c>
      <c r="I624" s="2">
        <v>719.98</v>
      </c>
      <c r="J624" t="s">
        <v>19</v>
      </c>
      <c r="K624" t="s">
        <v>20</v>
      </c>
      <c r="L624" t="s">
        <v>21</v>
      </c>
      <c r="M624" t="s">
        <v>84</v>
      </c>
      <c r="N624" t="s">
        <v>85</v>
      </c>
      <c r="O624" t="s">
        <v>35</v>
      </c>
      <c r="P624">
        <v>3</v>
      </c>
      <c r="Q624" s="2">
        <f>Ventas[[#This Row],[precio_base]]*Ventas[[#This Row],[cantidad]]</f>
        <v>799.98</v>
      </c>
      <c r="R624" s="2">
        <f>Ventas[[#This Row],[Total bruto (antes de descuento)]]-Ventas[[#This Row],[total_venta]]</f>
        <v>80</v>
      </c>
    </row>
    <row r="625" spans="1:18" x14ac:dyDescent="0.25">
      <c r="A625" t="s">
        <v>718</v>
      </c>
      <c r="B625" s="1">
        <v>45499</v>
      </c>
      <c r="C625" t="s">
        <v>122</v>
      </c>
      <c r="D625" t="s">
        <v>43</v>
      </c>
      <c r="E625">
        <v>5</v>
      </c>
      <c r="F625" s="2">
        <v>44.99</v>
      </c>
      <c r="G625">
        <v>0</v>
      </c>
      <c r="H625" s="2">
        <v>44.99</v>
      </c>
      <c r="I625" s="2">
        <v>224.95</v>
      </c>
      <c r="J625" t="s">
        <v>19</v>
      </c>
      <c r="K625" t="s">
        <v>20</v>
      </c>
      <c r="L625" t="s">
        <v>28</v>
      </c>
      <c r="M625" t="s">
        <v>67</v>
      </c>
      <c r="N625" t="s">
        <v>68</v>
      </c>
      <c r="O625" t="s">
        <v>35</v>
      </c>
      <c r="P625">
        <v>2</v>
      </c>
      <c r="Q625" s="2">
        <f>Ventas[[#This Row],[precio_base]]*Ventas[[#This Row],[cantidad]]</f>
        <v>224.95000000000002</v>
      </c>
      <c r="R625" s="2">
        <f>Ventas[[#This Row],[Total bruto (antes de descuento)]]-Ventas[[#This Row],[total_venta]]</f>
        <v>0</v>
      </c>
    </row>
    <row r="626" spans="1:18" x14ac:dyDescent="0.25">
      <c r="A626" t="s">
        <v>719</v>
      </c>
      <c r="B626" s="1">
        <v>45392</v>
      </c>
      <c r="C626" t="s">
        <v>122</v>
      </c>
      <c r="D626" t="s">
        <v>43</v>
      </c>
      <c r="E626">
        <v>4</v>
      </c>
      <c r="F626" s="2">
        <v>44.99</v>
      </c>
      <c r="G626">
        <v>10</v>
      </c>
      <c r="H626" s="2">
        <v>40.49</v>
      </c>
      <c r="I626" s="2">
        <v>161.96</v>
      </c>
      <c r="J626" t="s">
        <v>19</v>
      </c>
      <c r="K626" t="s">
        <v>20</v>
      </c>
      <c r="L626" t="s">
        <v>21</v>
      </c>
      <c r="M626" t="s">
        <v>63</v>
      </c>
      <c r="N626" t="s">
        <v>34</v>
      </c>
      <c r="O626" t="s">
        <v>24</v>
      </c>
      <c r="P626">
        <v>1</v>
      </c>
      <c r="Q626" s="2">
        <f>Ventas[[#This Row],[precio_base]]*Ventas[[#This Row],[cantidad]]</f>
        <v>179.96</v>
      </c>
      <c r="R626" s="2">
        <f>Ventas[[#This Row],[Total bruto (antes de descuento)]]-Ventas[[#This Row],[total_venta]]</f>
        <v>18</v>
      </c>
    </row>
    <row r="627" spans="1:18" x14ac:dyDescent="0.25">
      <c r="A627" t="s">
        <v>720</v>
      </c>
      <c r="B627" s="1">
        <v>45442</v>
      </c>
      <c r="C627" t="s">
        <v>83</v>
      </c>
      <c r="D627" t="s">
        <v>38</v>
      </c>
      <c r="E627">
        <v>3</v>
      </c>
      <c r="F627" s="2">
        <v>49.99</v>
      </c>
      <c r="G627">
        <v>0</v>
      </c>
      <c r="H627" s="2">
        <v>49.99</v>
      </c>
      <c r="I627" s="2">
        <v>149.97</v>
      </c>
      <c r="J627" t="s">
        <v>62</v>
      </c>
      <c r="K627" t="s">
        <v>52</v>
      </c>
      <c r="L627" t="s">
        <v>32</v>
      </c>
      <c r="M627" t="s">
        <v>58</v>
      </c>
      <c r="N627" t="s">
        <v>59</v>
      </c>
      <c r="O627" t="s">
        <v>24</v>
      </c>
      <c r="Q627" s="2">
        <f>Ventas[[#This Row],[precio_base]]*Ventas[[#This Row],[cantidad]]</f>
        <v>149.97</v>
      </c>
      <c r="R627" s="2">
        <f>Ventas[[#This Row],[Total bruto (antes de descuento)]]-Ventas[[#This Row],[total_venta]]</f>
        <v>0</v>
      </c>
    </row>
    <row r="628" spans="1:18" x14ac:dyDescent="0.25">
      <c r="A628" t="s">
        <v>721</v>
      </c>
      <c r="B628" s="1">
        <v>45515</v>
      </c>
      <c r="C628" t="s">
        <v>61</v>
      </c>
      <c r="D628" t="s">
        <v>38</v>
      </c>
      <c r="E628">
        <v>4</v>
      </c>
      <c r="F628" s="2">
        <v>19.989999999999998</v>
      </c>
      <c r="G628">
        <v>5</v>
      </c>
      <c r="H628" s="2">
        <v>18.989999999999998</v>
      </c>
      <c r="I628" s="2">
        <v>75.959999999999994</v>
      </c>
      <c r="J628" t="s">
        <v>19</v>
      </c>
      <c r="K628" t="s">
        <v>20</v>
      </c>
      <c r="L628" t="s">
        <v>21</v>
      </c>
      <c r="M628" t="s">
        <v>39</v>
      </c>
      <c r="N628" t="s">
        <v>40</v>
      </c>
      <c r="O628" t="s">
        <v>35</v>
      </c>
      <c r="P628">
        <v>4</v>
      </c>
      <c r="Q628" s="2">
        <f>Ventas[[#This Row],[precio_base]]*Ventas[[#This Row],[cantidad]]</f>
        <v>79.959999999999994</v>
      </c>
      <c r="R628" s="2">
        <f>Ventas[[#This Row],[Total bruto (antes de descuento)]]-Ventas[[#This Row],[total_venta]]</f>
        <v>4</v>
      </c>
    </row>
    <row r="629" spans="1:18" x14ac:dyDescent="0.25">
      <c r="A629" t="s">
        <v>722</v>
      </c>
      <c r="B629" s="1">
        <v>45624</v>
      </c>
      <c r="C629" t="s">
        <v>151</v>
      </c>
      <c r="D629" t="s">
        <v>27</v>
      </c>
      <c r="E629">
        <v>5</v>
      </c>
      <c r="F629" s="2">
        <v>599.99</v>
      </c>
      <c r="G629">
        <v>20</v>
      </c>
      <c r="H629" s="2">
        <v>479.99</v>
      </c>
      <c r="I629" s="2">
        <v>2399.9499999999998</v>
      </c>
      <c r="J629" t="s">
        <v>19</v>
      </c>
      <c r="K629" t="s">
        <v>20</v>
      </c>
      <c r="L629" t="s">
        <v>45</v>
      </c>
      <c r="M629" t="s">
        <v>95</v>
      </c>
      <c r="N629" t="s">
        <v>96</v>
      </c>
      <c r="O629" t="s">
        <v>48</v>
      </c>
      <c r="P629">
        <v>2</v>
      </c>
      <c r="Q629" s="2">
        <f>Ventas[[#This Row],[precio_base]]*Ventas[[#This Row],[cantidad]]</f>
        <v>2999.95</v>
      </c>
      <c r="R629" s="2">
        <f>Ventas[[#This Row],[Total bruto (antes de descuento)]]-Ventas[[#This Row],[total_venta]]</f>
        <v>600</v>
      </c>
    </row>
    <row r="630" spans="1:18" x14ac:dyDescent="0.25">
      <c r="A630" t="s">
        <v>723</v>
      </c>
      <c r="B630" s="1">
        <v>45620</v>
      </c>
      <c r="C630" t="s">
        <v>30</v>
      </c>
      <c r="D630" t="s">
        <v>31</v>
      </c>
      <c r="E630">
        <v>2</v>
      </c>
      <c r="F630" s="2">
        <v>299.99</v>
      </c>
      <c r="G630">
        <v>20</v>
      </c>
      <c r="H630" s="2">
        <v>239.99</v>
      </c>
      <c r="I630" s="2">
        <v>479.98</v>
      </c>
      <c r="J630" t="s">
        <v>19</v>
      </c>
      <c r="K630" t="s">
        <v>44</v>
      </c>
      <c r="L630" t="s">
        <v>21</v>
      </c>
      <c r="M630" t="s">
        <v>123</v>
      </c>
      <c r="N630" t="s">
        <v>124</v>
      </c>
      <c r="O630" t="s">
        <v>24</v>
      </c>
      <c r="P630">
        <v>3</v>
      </c>
      <c r="Q630" s="2">
        <f>Ventas[[#This Row],[precio_base]]*Ventas[[#This Row],[cantidad]]</f>
        <v>599.98</v>
      </c>
      <c r="R630" s="2">
        <f>Ventas[[#This Row],[Total bruto (antes de descuento)]]-Ventas[[#This Row],[total_venta]]</f>
        <v>120</v>
      </c>
    </row>
    <row r="631" spans="1:18" x14ac:dyDescent="0.25">
      <c r="A631" t="s">
        <v>724</v>
      </c>
      <c r="B631" s="1">
        <v>45181</v>
      </c>
      <c r="C631" t="s">
        <v>83</v>
      </c>
      <c r="D631" t="s">
        <v>38</v>
      </c>
      <c r="E631">
        <v>1</v>
      </c>
      <c r="F631" s="2">
        <v>49.99</v>
      </c>
      <c r="G631">
        <v>5</v>
      </c>
      <c r="H631" s="2">
        <v>47.49</v>
      </c>
      <c r="I631" s="2">
        <v>47.49</v>
      </c>
      <c r="J631" t="s">
        <v>51</v>
      </c>
      <c r="K631" t="s">
        <v>20</v>
      </c>
      <c r="L631" t="s">
        <v>45</v>
      </c>
      <c r="M631" t="s">
        <v>67</v>
      </c>
      <c r="N631" t="s">
        <v>68</v>
      </c>
      <c r="O631" t="s">
        <v>35</v>
      </c>
      <c r="Q631" s="2">
        <f>Ventas[[#This Row],[precio_base]]*Ventas[[#This Row],[cantidad]]</f>
        <v>49.99</v>
      </c>
      <c r="R631" s="2">
        <f>Ventas[[#This Row],[Total bruto (antes de descuento)]]-Ventas[[#This Row],[total_venta]]</f>
        <v>2.5</v>
      </c>
    </row>
    <row r="632" spans="1:18" x14ac:dyDescent="0.25">
      <c r="A632" t="s">
        <v>725</v>
      </c>
      <c r="B632" s="1">
        <v>45109</v>
      </c>
      <c r="C632" t="s">
        <v>92</v>
      </c>
      <c r="D632" t="s">
        <v>27</v>
      </c>
      <c r="E632">
        <v>3</v>
      </c>
      <c r="F632" s="2">
        <v>79.989999999999995</v>
      </c>
      <c r="G632">
        <v>0</v>
      </c>
      <c r="H632" s="2">
        <v>79.989999999999995</v>
      </c>
      <c r="I632" s="2">
        <v>239.97</v>
      </c>
      <c r="J632" t="s">
        <v>19</v>
      </c>
      <c r="K632" t="s">
        <v>20</v>
      </c>
      <c r="L632" t="s">
        <v>152</v>
      </c>
      <c r="M632" t="s">
        <v>33</v>
      </c>
      <c r="N632" t="s">
        <v>34</v>
      </c>
      <c r="O632" t="s">
        <v>35</v>
      </c>
      <c r="P632">
        <v>2</v>
      </c>
      <c r="Q632" s="2">
        <f>Ventas[[#This Row],[precio_base]]*Ventas[[#This Row],[cantidad]]</f>
        <v>239.96999999999997</v>
      </c>
      <c r="R632" s="2">
        <f>Ventas[[#This Row],[Total bruto (antes de descuento)]]-Ventas[[#This Row],[total_venta]]</f>
        <v>0</v>
      </c>
    </row>
    <row r="633" spans="1:18" x14ac:dyDescent="0.25">
      <c r="A633" t="s">
        <v>726</v>
      </c>
      <c r="B633" s="1">
        <v>45437</v>
      </c>
      <c r="C633" t="s">
        <v>76</v>
      </c>
      <c r="D633" t="s">
        <v>31</v>
      </c>
      <c r="E633">
        <v>2</v>
      </c>
      <c r="F633" s="2">
        <v>69.989999999999995</v>
      </c>
      <c r="G633">
        <v>0</v>
      </c>
      <c r="H633" s="2">
        <v>69.989999999999995</v>
      </c>
      <c r="I633" s="2">
        <v>139.97999999999999</v>
      </c>
      <c r="J633" t="s">
        <v>51</v>
      </c>
      <c r="K633" t="s">
        <v>20</v>
      </c>
      <c r="L633" t="s">
        <v>21</v>
      </c>
      <c r="M633" t="s">
        <v>67</v>
      </c>
      <c r="N633" t="s">
        <v>68</v>
      </c>
      <c r="O633" t="s">
        <v>35</v>
      </c>
      <c r="Q633" s="2">
        <f>Ventas[[#This Row],[precio_base]]*Ventas[[#This Row],[cantidad]]</f>
        <v>139.97999999999999</v>
      </c>
      <c r="R633" s="2">
        <f>Ventas[[#This Row],[Total bruto (antes de descuento)]]-Ventas[[#This Row],[total_venta]]</f>
        <v>0</v>
      </c>
    </row>
    <row r="634" spans="1:18" x14ac:dyDescent="0.25">
      <c r="A634" t="s">
        <v>727</v>
      </c>
      <c r="B634" s="1">
        <v>45182</v>
      </c>
      <c r="C634" t="s">
        <v>143</v>
      </c>
      <c r="D634" t="s">
        <v>43</v>
      </c>
      <c r="E634">
        <v>5</v>
      </c>
      <c r="F634" s="2">
        <v>34.99</v>
      </c>
      <c r="G634">
        <v>0</v>
      </c>
      <c r="H634" s="2">
        <v>34.99</v>
      </c>
      <c r="I634" s="2">
        <v>174.95</v>
      </c>
      <c r="J634" t="s">
        <v>19</v>
      </c>
      <c r="K634" t="s">
        <v>20</v>
      </c>
      <c r="L634" t="s">
        <v>21</v>
      </c>
      <c r="M634" t="s">
        <v>95</v>
      </c>
      <c r="N634" t="s">
        <v>96</v>
      </c>
      <c r="O634" t="s">
        <v>48</v>
      </c>
      <c r="P634">
        <v>4</v>
      </c>
      <c r="Q634" s="2">
        <f>Ventas[[#This Row],[precio_base]]*Ventas[[#This Row],[cantidad]]</f>
        <v>174.95000000000002</v>
      </c>
      <c r="R634" s="2">
        <f>Ventas[[#This Row],[Total bruto (antes de descuento)]]-Ventas[[#This Row],[total_venta]]</f>
        <v>0</v>
      </c>
    </row>
    <row r="635" spans="1:18" x14ac:dyDescent="0.25">
      <c r="A635" t="s">
        <v>728</v>
      </c>
      <c r="B635" s="1">
        <v>45555</v>
      </c>
      <c r="C635" t="s">
        <v>104</v>
      </c>
      <c r="D635" t="s">
        <v>18</v>
      </c>
      <c r="E635">
        <v>5</v>
      </c>
      <c r="F635" s="2">
        <v>1199.99</v>
      </c>
      <c r="G635">
        <v>0</v>
      </c>
      <c r="H635" s="2">
        <v>1199.99</v>
      </c>
      <c r="I635" s="2">
        <v>5999.95</v>
      </c>
      <c r="J635" t="s">
        <v>62</v>
      </c>
      <c r="K635" t="s">
        <v>44</v>
      </c>
      <c r="L635" t="s">
        <v>45</v>
      </c>
      <c r="M635" t="s">
        <v>123</v>
      </c>
      <c r="N635" t="s">
        <v>124</v>
      </c>
      <c r="O635" t="s">
        <v>24</v>
      </c>
      <c r="Q635" s="2">
        <f>Ventas[[#This Row],[precio_base]]*Ventas[[#This Row],[cantidad]]</f>
        <v>5999.95</v>
      </c>
      <c r="R635" s="2">
        <f>Ventas[[#This Row],[Total bruto (antes de descuento)]]-Ventas[[#This Row],[total_venta]]</f>
        <v>0</v>
      </c>
    </row>
    <row r="636" spans="1:18" x14ac:dyDescent="0.25">
      <c r="A636" t="s">
        <v>729</v>
      </c>
      <c r="B636" s="1">
        <v>45515</v>
      </c>
      <c r="C636" t="s">
        <v>42</v>
      </c>
      <c r="D636" t="s">
        <v>43</v>
      </c>
      <c r="E636">
        <v>3</v>
      </c>
      <c r="F636" s="2">
        <v>349.99</v>
      </c>
      <c r="G636">
        <v>5</v>
      </c>
      <c r="H636" s="2">
        <v>332.49</v>
      </c>
      <c r="I636" s="2">
        <v>997.47</v>
      </c>
      <c r="J636" t="s">
        <v>19</v>
      </c>
      <c r="K636" t="s">
        <v>52</v>
      </c>
      <c r="L636" t="s">
        <v>21</v>
      </c>
      <c r="M636" t="s">
        <v>39</v>
      </c>
      <c r="N636" t="s">
        <v>40</v>
      </c>
      <c r="O636" t="s">
        <v>35</v>
      </c>
      <c r="P636">
        <v>2</v>
      </c>
      <c r="Q636" s="2">
        <f>Ventas[[#This Row],[precio_base]]*Ventas[[#This Row],[cantidad]]</f>
        <v>1049.97</v>
      </c>
      <c r="R636" s="2">
        <f>Ventas[[#This Row],[Total bruto (antes de descuento)]]-Ventas[[#This Row],[total_venta]]</f>
        <v>52.5</v>
      </c>
    </row>
    <row r="637" spans="1:18" x14ac:dyDescent="0.25">
      <c r="A637" t="s">
        <v>730</v>
      </c>
      <c r="B637" s="1">
        <v>45517</v>
      </c>
      <c r="C637" t="s">
        <v>78</v>
      </c>
      <c r="D637" t="s">
        <v>18</v>
      </c>
      <c r="E637">
        <v>1</v>
      </c>
      <c r="F637" s="2">
        <v>349.99</v>
      </c>
      <c r="G637">
        <v>10</v>
      </c>
      <c r="H637" s="2">
        <v>314.99</v>
      </c>
      <c r="I637" s="2">
        <v>314.99</v>
      </c>
      <c r="J637" t="s">
        <v>51</v>
      </c>
      <c r="K637" t="s">
        <v>52</v>
      </c>
      <c r="L637" t="s">
        <v>21</v>
      </c>
      <c r="M637" t="s">
        <v>101</v>
      </c>
      <c r="N637" t="s">
        <v>102</v>
      </c>
      <c r="O637" t="s">
        <v>35</v>
      </c>
      <c r="Q637" s="2">
        <f>Ventas[[#This Row],[precio_base]]*Ventas[[#This Row],[cantidad]]</f>
        <v>349.99</v>
      </c>
      <c r="R637" s="2">
        <f>Ventas[[#This Row],[Total bruto (antes de descuento)]]-Ventas[[#This Row],[total_venta]]</f>
        <v>35</v>
      </c>
    </row>
    <row r="638" spans="1:18" x14ac:dyDescent="0.25">
      <c r="A638" t="s">
        <v>731</v>
      </c>
      <c r="B638" s="1">
        <v>45282</v>
      </c>
      <c r="C638" t="s">
        <v>109</v>
      </c>
      <c r="D638" t="s">
        <v>38</v>
      </c>
      <c r="E638">
        <v>2</v>
      </c>
      <c r="F638" s="2">
        <v>39.99</v>
      </c>
      <c r="G638">
        <v>5</v>
      </c>
      <c r="H638" s="2">
        <v>37.99</v>
      </c>
      <c r="I638" s="2">
        <v>75.98</v>
      </c>
      <c r="J638" t="s">
        <v>116</v>
      </c>
      <c r="K638" t="s">
        <v>44</v>
      </c>
      <c r="L638" t="s">
        <v>21</v>
      </c>
      <c r="M638" t="s">
        <v>84</v>
      </c>
      <c r="N638" t="s">
        <v>85</v>
      </c>
      <c r="O638" t="s">
        <v>35</v>
      </c>
      <c r="Q638" s="2">
        <f>Ventas[[#This Row],[precio_base]]*Ventas[[#This Row],[cantidad]]</f>
        <v>79.98</v>
      </c>
      <c r="R638" s="2">
        <f>Ventas[[#This Row],[Total bruto (antes de descuento)]]-Ventas[[#This Row],[total_venta]]</f>
        <v>4</v>
      </c>
    </row>
    <row r="639" spans="1:18" x14ac:dyDescent="0.25">
      <c r="A639" t="s">
        <v>732</v>
      </c>
      <c r="B639" s="1">
        <v>44935</v>
      </c>
      <c r="C639" t="s">
        <v>104</v>
      </c>
      <c r="D639" t="s">
        <v>18</v>
      </c>
      <c r="E639">
        <v>2</v>
      </c>
      <c r="F639" s="2">
        <v>1199.99</v>
      </c>
      <c r="G639">
        <v>5</v>
      </c>
      <c r="H639" s="2">
        <v>1139.99</v>
      </c>
      <c r="I639" s="2">
        <v>2279.98</v>
      </c>
      <c r="J639" t="s">
        <v>19</v>
      </c>
      <c r="K639" t="s">
        <v>20</v>
      </c>
      <c r="L639" t="s">
        <v>32</v>
      </c>
      <c r="M639" t="s">
        <v>123</v>
      </c>
      <c r="N639" t="s">
        <v>124</v>
      </c>
      <c r="O639" t="s">
        <v>24</v>
      </c>
      <c r="P639">
        <v>2</v>
      </c>
      <c r="Q639" s="2">
        <f>Ventas[[#This Row],[precio_base]]*Ventas[[#This Row],[cantidad]]</f>
        <v>2399.98</v>
      </c>
      <c r="R639" s="2">
        <f>Ventas[[#This Row],[Total bruto (antes de descuento)]]-Ventas[[#This Row],[total_venta]]</f>
        <v>120</v>
      </c>
    </row>
    <row r="640" spans="1:18" x14ac:dyDescent="0.25">
      <c r="A640" t="s">
        <v>733</v>
      </c>
      <c r="B640" s="1">
        <v>45488</v>
      </c>
      <c r="C640" t="s">
        <v>61</v>
      </c>
      <c r="D640" t="s">
        <v>38</v>
      </c>
      <c r="E640">
        <v>2</v>
      </c>
      <c r="F640" s="2">
        <v>19.989999999999998</v>
      </c>
      <c r="G640">
        <v>0</v>
      </c>
      <c r="H640" s="2">
        <v>19.989999999999998</v>
      </c>
      <c r="I640" s="2">
        <v>39.979999999999997</v>
      </c>
      <c r="J640" t="s">
        <v>19</v>
      </c>
      <c r="K640" t="s">
        <v>20</v>
      </c>
      <c r="L640" t="s">
        <v>21</v>
      </c>
      <c r="M640" t="s">
        <v>33</v>
      </c>
      <c r="N640" t="s">
        <v>34</v>
      </c>
      <c r="O640" t="s">
        <v>35</v>
      </c>
      <c r="P640">
        <v>4</v>
      </c>
      <c r="Q640" s="2">
        <f>Ventas[[#This Row],[precio_base]]*Ventas[[#This Row],[cantidad]]</f>
        <v>39.979999999999997</v>
      </c>
      <c r="R640" s="2">
        <f>Ventas[[#This Row],[Total bruto (antes de descuento)]]-Ventas[[#This Row],[total_venta]]</f>
        <v>0</v>
      </c>
    </row>
    <row r="641" spans="1:18" x14ac:dyDescent="0.25">
      <c r="A641" t="s">
        <v>734</v>
      </c>
      <c r="B641" s="1">
        <v>45142</v>
      </c>
      <c r="C641" t="s">
        <v>37</v>
      </c>
      <c r="D641" t="s">
        <v>38</v>
      </c>
      <c r="E641">
        <v>3</v>
      </c>
      <c r="F641" s="2">
        <v>34.99</v>
      </c>
      <c r="G641">
        <v>0</v>
      </c>
      <c r="H641" s="2">
        <v>34.99</v>
      </c>
      <c r="I641" s="2">
        <v>104.97</v>
      </c>
      <c r="J641" t="s">
        <v>62</v>
      </c>
      <c r="K641" t="s">
        <v>44</v>
      </c>
      <c r="L641" t="s">
        <v>45</v>
      </c>
      <c r="M641" t="s">
        <v>58</v>
      </c>
      <c r="N641" t="s">
        <v>59</v>
      </c>
      <c r="O641" t="s">
        <v>24</v>
      </c>
      <c r="Q641" s="2">
        <f>Ventas[[#This Row],[precio_base]]*Ventas[[#This Row],[cantidad]]</f>
        <v>104.97</v>
      </c>
      <c r="R641" s="2">
        <f>Ventas[[#This Row],[Total bruto (antes de descuento)]]-Ventas[[#This Row],[total_venta]]</f>
        <v>0</v>
      </c>
    </row>
    <row r="642" spans="1:18" x14ac:dyDescent="0.25">
      <c r="A642" t="s">
        <v>735</v>
      </c>
      <c r="B642" s="1">
        <v>45516</v>
      </c>
      <c r="C642" t="s">
        <v>81</v>
      </c>
      <c r="D642" t="s">
        <v>31</v>
      </c>
      <c r="E642">
        <v>2</v>
      </c>
      <c r="F642" s="2">
        <v>189.99</v>
      </c>
      <c r="G642">
        <v>20</v>
      </c>
      <c r="H642" s="2">
        <v>151.99</v>
      </c>
      <c r="I642" s="2">
        <v>303.98</v>
      </c>
      <c r="J642" t="s">
        <v>19</v>
      </c>
      <c r="K642" t="s">
        <v>52</v>
      </c>
      <c r="L642" t="s">
        <v>45</v>
      </c>
      <c r="M642" t="s">
        <v>58</v>
      </c>
      <c r="N642" t="s">
        <v>59</v>
      </c>
      <c r="O642" t="s">
        <v>24</v>
      </c>
      <c r="P642">
        <v>4</v>
      </c>
      <c r="Q642" s="2">
        <f>Ventas[[#This Row],[precio_base]]*Ventas[[#This Row],[cantidad]]</f>
        <v>379.98</v>
      </c>
      <c r="R642" s="2">
        <f>Ventas[[#This Row],[Total bruto (antes de descuento)]]-Ventas[[#This Row],[total_venta]]</f>
        <v>76</v>
      </c>
    </row>
    <row r="643" spans="1:18" x14ac:dyDescent="0.25">
      <c r="A643" t="s">
        <v>736</v>
      </c>
      <c r="B643" s="1">
        <v>45127</v>
      </c>
      <c r="C643" t="s">
        <v>78</v>
      </c>
      <c r="D643" t="s">
        <v>18</v>
      </c>
      <c r="E643">
        <v>2</v>
      </c>
      <c r="F643" s="2">
        <v>349.99</v>
      </c>
      <c r="G643">
        <v>5</v>
      </c>
      <c r="H643" s="2">
        <v>332.49</v>
      </c>
      <c r="I643" s="2">
        <v>664.98</v>
      </c>
      <c r="J643" t="s">
        <v>62</v>
      </c>
      <c r="K643" t="s">
        <v>20</v>
      </c>
      <c r="L643" t="s">
        <v>21</v>
      </c>
      <c r="M643" t="s">
        <v>63</v>
      </c>
      <c r="N643" t="s">
        <v>34</v>
      </c>
      <c r="O643" t="s">
        <v>24</v>
      </c>
      <c r="Q643" s="2">
        <f>Ventas[[#This Row],[precio_base]]*Ventas[[#This Row],[cantidad]]</f>
        <v>699.98</v>
      </c>
      <c r="R643" s="2">
        <f>Ventas[[#This Row],[Total bruto (antes de descuento)]]-Ventas[[#This Row],[total_venta]]</f>
        <v>35</v>
      </c>
    </row>
    <row r="644" spans="1:18" x14ac:dyDescent="0.25">
      <c r="A644" t="s">
        <v>737</v>
      </c>
      <c r="B644" s="1">
        <v>45572</v>
      </c>
      <c r="C644" t="s">
        <v>87</v>
      </c>
      <c r="D644" t="s">
        <v>27</v>
      </c>
      <c r="E644">
        <v>5</v>
      </c>
      <c r="F644" s="2">
        <v>249.99</v>
      </c>
      <c r="G644">
        <v>15</v>
      </c>
      <c r="H644" s="2">
        <v>212.49</v>
      </c>
      <c r="I644" s="2">
        <v>1062.45</v>
      </c>
      <c r="J644" t="s">
        <v>19</v>
      </c>
      <c r="K644" t="s">
        <v>20</v>
      </c>
      <c r="L644" t="s">
        <v>45</v>
      </c>
      <c r="M644" t="s">
        <v>101</v>
      </c>
      <c r="N644" t="s">
        <v>102</v>
      </c>
      <c r="O644" t="s">
        <v>35</v>
      </c>
      <c r="P644">
        <v>5</v>
      </c>
      <c r="Q644" s="2">
        <f>Ventas[[#This Row],[precio_base]]*Ventas[[#This Row],[cantidad]]</f>
        <v>1249.95</v>
      </c>
      <c r="R644" s="2">
        <f>Ventas[[#This Row],[Total bruto (antes de descuento)]]-Ventas[[#This Row],[total_venta]]</f>
        <v>187.5</v>
      </c>
    </row>
    <row r="645" spans="1:18" x14ac:dyDescent="0.25">
      <c r="A645" t="s">
        <v>738</v>
      </c>
      <c r="B645" s="1">
        <v>44975</v>
      </c>
      <c r="C645" t="s">
        <v>109</v>
      </c>
      <c r="D645" t="s">
        <v>38</v>
      </c>
      <c r="E645">
        <v>1</v>
      </c>
      <c r="F645" s="2">
        <v>39.99</v>
      </c>
      <c r="G645">
        <v>15</v>
      </c>
      <c r="H645" s="2">
        <v>33.99</v>
      </c>
      <c r="I645" s="2">
        <v>33.99</v>
      </c>
      <c r="J645" t="s">
        <v>19</v>
      </c>
      <c r="K645" t="s">
        <v>52</v>
      </c>
      <c r="L645" t="s">
        <v>45</v>
      </c>
      <c r="M645" t="s">
        <v>22</v>
      </c>
      <c r="N645" t="s">
        <v>23</v>
      </c>
      <c r="O645" t="s">
        <v>24</v>
      </c>
      <c r="P645">
        <v>1</v>
      </c>
      <c r="Q645" s="2">
        <f>Ventas[[#This Row],[precio_base]]*Ventas[[#This Row],[cantidad]]</f>
        <v>39.99</v>
      </c>
      <c r="R645" s="2">
        <f>Ventas[[#This Row],[Total bruto (antes de descuento)]]-Ventas[[#This Row],[total_venta]]</f>
        <v>6</v>
      </c>
    </row>
    <row r="646" spans="1:18" x14ac:dyDescent="0.25">
      <c r="A646" t="s">
        <v>739</v>
      </c>
      <c r="B646" s="1">
        <v>45387</v>
      </c>
      <c r="C646" t="s">
        <v>76</v>
      </c>
      <c r="D646" t="s">
        <v>31</v>
      </c>
      <c r="E646">
        <v>3</v>
      </c>
      <c r="F646" s="2">
        <v>69.989999999999995</v>
      </c>
      <c r="G646">
        <v>0</v>
      </c>
      <c r="H646" s="2">
        <v>69.989999999999995</v>
      </c>
      <c r="I646" s="2">
        <v>209.97</v>
      </c>
      <c r="J646" t="s">
        <v>19</v>
      </c>
      <c r="K646" t="s">
        <v>44</v>
      </c>
      <c r="L646" t="s">
        <v>32</v>
      </c>
      <c r="M646" t="s">
        <v>65</v>
      </c>
      <c r="N646" t="s">
        <v>54</v>
      </c>
      <c r="O646" t="s">
        <v>35</v>
      </c>
      <c r="P646">
        <v>3</v>
      </c>
      <c r="Q646" s="2">
        <f>Ventas[[#This Row],[precio_base]]*Ventas[[#This Row],[cantidad]]</f>
        <v>209.96999999999997</v>
      </c>
      <c r="R646" s="2">
        <f>Ventas[[#This Row],[Total bruto (antes de descuento)]]-Ventas[[#This Row],[total_venta]]</f>
        <v>0</v>
      </c>
    </row>
    <row r="647" spans="1:18" x14ac:dyDescent="0.25">
      <c r="A647" t="s">
        <v>740</v>
      </c>
      <c r="B647" s="1">
        <v>44947</v>
      </c>
      <c r="C647" t="s">
        <v>37</v>
      </c>
      <c r="D647" t="s">
        <v>38</v>
      </c>
      <c r="E647">
        <v>1</v>
      </c>
      <c r="F647" s="2">
        <v>34.99</v>
      </c>
      <c r="G647">
        <v>0</v>
      </c>
      <c r="H647" s="2">
        <v>34.99</v>
      </c>
      <c r="I647" s="2">
        <v>34.99</v>
      </c>
      <c r="J647" t="s">
        <v>62</v>
      </c>
      <c r="K647" t="s">
        <v>20</v>
      </c>
      <c r="L647" t="s">
        <v>45</v>
      </c>
      <c r="M647" t="s">
        <v>33</v>
      </c>
      <c r="N647" t="s">
        <v>34</v>
      </c>
      <c r="O647" t="s">
        <v>35</v>
      </c>
      <c r="Q647" s="2">
        <f>Ventas[[#This Row],[precio_base]]*Ventas[[#This Row],[cantidad]]</f>
        <v>34.99</v>
      </c>
      <c r="R647" s="2">
        <f>Ventas[[#This Row],[Total bruto (antes de descuento)]]-Ventas[[#This Row],[total_venta]]</f>
        <v>0</v>
      </c>
    </row>
    <row r="648" spans="1:18" x14ac:dyDescent="0.25">
      <c r="A648" t="s">
        <v>741</v>
      </c>
      <c r="B648" s="1">
        <v>45591</v>
      </c>
      <c r="C648" t="s">
        <v>50</v>
      </c>
      <c r="D648" t="s">
        <v>27</v>
      </c>
      <c r="E648">
        <v>2</v>
      </c>
      <c r="F648" s="2">
        <v>149.99</v>
      </c>
      <c r="G648">
        <v>20</v>
      </c>
      <c r="H648" s="2">
        <v>119.99</v>
      </c>
      <c r="I648" s="2">
        <v>239.98</v>
      </c>
      <c r="J648" t="s">
        <v>19</v>
      </c>
      <c r="K648" t="s">
        <v>44</v>
      </c>
      <c r="L648" t="s">
        <v>45</v>
      </c>
      <c r="M648" t="s">
        <v>123</v>
      </c>
      <c r="N648" t="s">
        <v>124</v>
      </c>
      <c r="O648" t="s">
        <v>24</v>
      </c>
      <c r="P648">
        <v>4</v>
      </c>
      <c r="Q648" s="2">
        <f>Ventas[[#This Row],[precio_base]]*Ventas[[#This Row],[cantidad]]</f>
        <v>299.98</v>
      </c>
      <c r="R648" s="2">
        <f>Ventas[[#This Row],[Total bruto (antes de descuento)]]-Ventas[[#This Row],[total_venta]]</f>
        <v>60.000000000000028</v>
      </c>
    </row>
    <row r="649" spans="1:18" x14ac:dyDescent="0.25">
      <c r="A649" t="s">
        <v>742</v>
      </c>
      <c r="B649" s="1">
        <v>45007</v>
      </c>
      <c r="C649" t="s">
        <v>109</v>
      </c>
      <c r="D649" t="s">
        <v>38</v>
      </c>
      <c r="E649">
        <v>5</v>
      </c>
      <c r="F649" s="2">
        <v>39.99</v>
      </c>
      <c r="G649">
        <v>0</v>
      </c>
      <c r="H649" s="2">
        <v>39.99</v>
      </c>
      <c r="I649" s="2">
        <v>199.95</v>
      </c>
      <c r="J649" t="s">
        <v>19</v>
      </c>
      <c r="K649" t="s">
        <v>52</v>
      </c>
      <c r="L649" t="s">
        <v>28</v>
      </c>
      <c r="M649" t="s">
        <v>63</v>
      </c>
      <c r="N649" t="s">
        <v>34</v>
      </c>
      <c r="O649" t="s">
        <v>24</v>
      </c>
      <c r="P649">
        <v>3</v>
      </c>
      <c r="Q649" s="2">
        <f>Ventas[[#This Row],[precio_base]]*Ventas[[#This Row],[cantidad]]</f>
        <v>199.95000000000002</v>
      </c>
      <c r="R649" s="2">
        <f>Ventas[[#This Row],[Total bruto (antes de descuento)]]-Ventas[[#This Row],[total_venta]]</f>
        <v>0</v>
      </c>
    </row>
    <row r="650" spans="1:18" x14ac:dyDescent="0.25">
      <c r="A650" t="s">
        <v>743</v>
      </c>
      <c r="B650" s="1">
        <v>45358</v>
      </c>
      <c r="C650" t="s">
        <v>72</v>
      </c>
      <c r="D650" t="s">
        <v>31</v>
      </c>
      <c r="E650">
        <v>5</v>
      </c>
      <c r="F650" s="2">
        <v>29.99</v>
      </c>
      <c r="G650">
        <v>10</v>
      </c>
      <c r="H650" s="2">
        <v>26.99</v>
      </c>
      <c r="I650" s="2">
        <v>134.94999999999999</v>
      </c>
      <c r="J650" t="s">
        <v>19</v>
      </c>
      <c r="K650" t="s">
        <v>20</v>
      </c>
      <c r="L650" t="s">
        <v>21</v>
      </c>
      <c r="M650" t="s">
        <v>53</v>
      </c>
      <c r="N650" t="s">
        <v>54</v>
      </c>
      <c r="O650" t="s">
        <v>35</v>
      </c>
      <c r="P650">
        <v>2</v>
      </c>
      <c r="Q650" s="2">
        <f>Ventas[[#This Row],[precio_base]]*Ventas[[#This Row],[cantidad]]</f>
        <v>149.94999999999999</v>
      </c>
      <c r="R650" s="2">
        <f>Ventas[[#This Row],[Total bruto (antes de descuento)]]-Ventas[[#This Row],[total_venta]]</f>
        <v>15</v>
      </c>
    </row>
    <row r="651" spans="1:18" x14ac:dyDescent="0.25">
      <c r="A651" t="s">
        <v>744</v>
      </c>
      <c r="B651" s="1">
        <v>45248</v>
      </c>
      <c r="C651" t="s">
        <v>141</v>
      </c>
      <c r="D651" t="s">
        <v>38</v>
      </c>
      <c r="E651">
        <v>3</v>
      </c>
      <c r="F651" s="2">
        <v>89.99</v>
      </c>
      <c r="G651">
        <v>15</v>
      </c>
      <c r="H651" s="2">
        <v>76.489999999999995</v>
      </c>
      <c r="I651" s="2">
        <v>229.47</v>
      </c>
      <c r="J651" t="s">
        <v>19</v>
      </c>
      <c r="K651" t="s">
        <v>20</v>
      </c>
      <c r="L651" t="s">
        <v>32</v>
      </c>
      <c r="M651" t="s">
        <v>73</v>
      </c>
      <c r="N651" t="s">
        <v>74</v>
      </c>
      <c r="O651" t="s">
        <v>35</v>
      </c>
      <c r="P651">
        <v>3</v>
      </c>
      <c r="Q651" s="2">
        <f>Ventas[[#This Row],[precio_base]]*Ventas[[#This Row],[cantidad]]</f>
        <v>269.96999999999997</v>
      </c>
      <c r="R651" s="2">
        <f>Ventas[[#This Row],[Total bruto (antes de descuento)]]-Ventas[[#This Row],[total_venta]]</f>
        <v>40.499999999999972</v>
      </c>
    </row>
    <row r="652" spans="1:18" x14ac:dyDescent="0.25">
      <c r="A652" t="s">
        <v>745</v>
      </c>
      <c r="B652" s="1">
        <v>45528</v>
      </c>
      <c r="C652" t="s">
        <v>87</v>
      </c>
      <c r="D652" t="s">
        <v>27</v>
      </c>
      <c r="E652">
        <v>4</v>
      </c>
      <c r="F652" s="2">
        <v>249.99</v>
      </c>
      <c r="G652">
        <v>5</v>
      </c>
      <c r="H652" s="2">
        <v>237.49</v>
      </c>
      <c r="I652" s="2">
        <v>949.96</v>
      </c>
      <c r="J652" t="s">
        <v>19</v>
      </c>
      <c r="K652" t="s">
        <v>20</v>
      </c>
      <c r="L652" t="s">
        <v>28</v>
      </c>
      <c r="M652" t="s">
        <v>67</v>
      </c>
      <c r="N652" t="s">
        <v>68</v>
      </c>
      <c r="O652" t="s">
        <v>35</v>
      </c>
      <c r="P652">
        <v>3</v>
      </c>
      <c r="Q652" s="2">
        <f>Ventas[[#This Row],[precio_base]]*Ventas[[#This Row],[cantidad]]</f>
        <v>999.96</v>
      </c>
      <c r="R652" s="2">
        <f>Ventas[[#This Row],[Total bruto (antes de descuento)]]-Ventas[[#This Row],[total_venta]]</f>
        <v>50</v>
      </c>
    </row>
    <row r="653" spans="1:18" x14ac:dyDescent="0.25">
      <c r="A653" t="s">
        <v>746</v>
      </c>
      <c r="B653" s="1">
        <v>45644</v>
      </c>
      <c r="C653" t="s">
        <v>76</v>
      </c>
      <c r="D653" t="s">
        <v>31</v>
      </c>
      <c r="E653">
        <v>1</v>
      </c>
      <c r="F653" s="2">
        <v>69.989999999999995</v>
      </c>
      <c r="G653">
        <v>0</v>
      </c>
      <c r="H653" s="2">
        <v>69.989999999999995</v>
      </c>
      <c r="I653" s="2">
        <v>69.989999999999995</v>
      </c>
      <c r="J653" t="s">
        <v>19</v>
      </c>
      <c r="K653" t="s">
        <v>20</v>
      </c>
      <c r="L653" t="s">
        <v>152</v>
      </c>
      <c r="M653" t="s">
        <v>95</v>
      </c>
      <c r="N653" t="s">
        <v>96</v>
      </c>
      <c r="O653" t="s">
        <v>48</v>
      </c>
      <c r="P653">
        <v>4</v>
      </c>
      <c r="Q653" s="2">
        <f>Ventas[[#This Row],[precio_base]]*Ventas[[#This Row],[cantidad]]</f>
        <v>69.989999999999995</v>
      </c>
      <c r="R653" s="2">
        <f>Ventas[[#This Row],[Total bruto (antes de descuento)]]-Ventas[[#This Row],[total_venta]]</f>
        <v>0</v>
      </c>
    </row>
    <row r="654" spans="1:18" x14ac:dyDescent="0.25">
      <c r="A654" t="s">
        <v>747</v>
      </c>
      <c r="B654" s="1">
        <v>45488</v>
      </c>
      <c r="C654" t="s">
        <v>94</v>
      </c>
      <c r="D654" t="s">
        <v>18</v>
      </c>
      <c r="E654">
        <v>1</v>
      </c>
      <c r="F654" s="2">
        <v>899.99</v>
      </c>
      <c r="G654">
        <v>20</v>
      </c>
      <c r="H654" s="2">
        <v>719.99</v>
      </c>
      <c r="I654" s="2">
        <v>719.99</v>
      </c>
      <c r="J654" t="s">
        <v>19</v>
      </c>
      <c r="K654" t="s">
        <v>57</v>
      </c>
      <c r="L654" t="s">
        <v>21</v>
      </c>
      <c r="M654" t="s">
        <v>39</v>
      </c>
      <c r="N654" t="s">
        <v>40</v>
      </c>
      <c r="O654" t="s">
        <v>35</v>
      </c>
      <c r="P654">
        <v>5</v>
      </c>
      <c r="Q654" s="2">
        <f>Ventas[[#This Row],[precio_base]]*Ventas[[#This Row],[cantidad]]</f>
        <v>899.99</v>
      </c>
      <c r="R654" s="2">
        <f>Ventas[[#This Row],[Total bruto (antes de descuento)]]-Ventas[[#This Row],[total_venta]]</f>
        <v>180</v>
      </c>
    </row>
    <row r="655" spans="1:18" x14ac:dyDescent="0.25">
      <c r="A655" t="s">
        <v>748</v>
      </c>
      <c r="B655" s="1">
        <v>45086</v>
      </c>
      <c r="C655" t="s">
        <v>56</v>
      </c>
      <c r="D655" t="s">
        <v>18</v>
      </c>
      <c r="E655">
        <v>4</v>
      </c>
      <c r="F655" s="2">
        <v>89.99</v>
      </c>
      <c r="G655">
        <v>0</v>
      </c>
      <c r="H655" s="2">
        <v>89.99</v>
      </c>
      <c r="I655" s="2">
        <v>359.96</v>
      </c>
      <c r="J655" t="s">
        <v>19</v>
      </c>
      <c r="K655" t="s">
        <v>20</v>
      </c>
      <c r="L655" t="s">
        <v>28</v>
      </c>
      <c r="M655" t="s">
        <v>84</v>
      </c>
      <c r="N655" t="s">
        <v>85</v>
      </c>
      <c r="O655" t="s">
        <v>35</v>
      </c>
      <c r="P655">
        <v>2</v>
      </c>
      <c r="Q655" s="2">
        <f>Ventas[[#This Row],[precio_base]]*Ventas[[#This Row],[cantidad]]</f>
        <v>359.96</v>
      </c>
      <c r="R655" s="2">
        <f>Ventas[[#This Row],[Total bruto (antes de descuento)]]-Ventas[[#This Row],[total_venta]]</f>
        <v>0</v>
      </c>
    </row>
    <row r="656" spans="1:18" x14ac:dyDescent="0.25">
      <c r="A656" t="s">
        <v>749</v>
      </c>
      <c r="B656" s="1">
        <v>45466</v>
      </c>
      <c r="C656" t="s">
        <v>143</v>
      </c>
      <c r="D656" t="s">
        <v>43</v>
      </c>
      <c r="E656">
        <v>2</v>
      </c>
      <c r="F656" s="2">
        <v>34.99</v>
      </c>
      <c r="G656">
        <v>0</v>
      </c>
      <c r="H656" s="2">
        <v>34.99</v>
      </c>
      <c r="I656" s="2">
        <v>69.98</v>
      </c>
      <c r="J656" t="s">
        <v>19</v>
      </c>
      <c r="K656" t="s">
        <v>52</v>
      </c>
      <c r="L656" t="s">
        <v>21</v>
      </c>
      <c r="M656" t="s">
        <v>123</v>
      </c>
      <c r="N656" t="s">
        <v>124</v>
      </c>
      <c r="O656" t="s">
        <v>24</v>
      </c>
      <c r="P656">
        <v>4</v>
      </c>
      <c r="Q656" s="2">
        <f>Ventas[[#This Row],[precio_base]]*Ventas[[#This Row],[cantidad]]</f>
        <v>69.98</v>
      </c>
      <c r="R656" s="2">
        <f>Ventas[[#This Row],[Total bruto (antes de descuento)]]-Ventas[[#This Row],[total_venta]]</f>
        <v>0</v>
      </c>
    </row>
    <row r="657" spans="1:18" x14ac:dyDescent="0.25">
      <c r="A657" t="s">
        <v>750</v>
      </c>
      <c r="B657" s="1">
        <v>45405</v>
      </c>
      <c r="C657" t="s">
        <v>42</v>
      </c>
      <c r="D657" t="s">
        <v>43</v>
      </c>
      <c r="E657">
        <v>5</v>
      </c>
      <c r="F657" s="2">
        <v>349.99</v>
      </c>
      <c r="G657">
        <v>0</v>
      </c>
      <c r="H657" s="2">
        <v>349.99</v>
      </c>
      <c r="I657" s="2">
        <v>1749.95</v>
      </c>
      <c r="J657" t="s">
        <v>19</v>
      </c>
      <c r="K657" t="s">
        <v>57</v>
      </c>
      <c r="L657" t="s">
        <v>28</v>
      </c>
      <c r="M657" t="s">
        <v>63</v>
      </c>
      <c r="N657" t="s">
        <v>34</v>
      </c>
      <c r="O657" t="s">
        <v>24</v>
      </c>
      <c r="P657">
        <v>2</v>
      </c>
      <c r="Q657" s="2">
        <f>Ventas[[#This Row],[precio_base]]*Ventas[[#This Row],[cantidad]]</f>
        <v>1749.95</v>
      </c>
      <c r="R657" s="2">
        <f>Ventas[[#This Row],[Total bruto (antes de descuento)]]-Ventas[[#This Row],[total_venta]]</f>
        <v>0</v>
      </c>
    </row>
    <row r="658" spans="1:18" x14ac:dyDescent="0.25">
      <c r="A658" t="s">
        <v>751</v>
      </c>
      <c r="B658" s="1">
        <v>45532</v>
      </c>
      <c r="C658" t="s">
        <v>156</v>
      </c>
      <c r="D658" t="s">
        <v>27</v>
      </c>
      <c r="E658">
        <v>4</v>
      </c>
      <c r="F658" s="2">
        <v>49.99</v>
      </c>
      <c r="G658">
        <v>15</v>
      </c>
      <c r="H658" s="2">
        <v>42.49</v>
      </c>
      <c r="I658" s="2">
        <v>169.96</v>
      </c>
      <c r="J658" t="s">
        <v>51</v>
      </c>
      <c r="K658" t="s">
        <v>44</v>
      </c>
      <c r="L658" t="s">
        <v>45</v>
      </c>
      <c r="M658" t="s">
        <v>53</v>
      </c>
      <c r="N658" t="s">
        <v>54</v>
      </c>
      <c r="O658" t="s">
        <v>35</v>
      </c>
      <c r="Q658" s="2">
        <f>Ventas[[#This Row],[precio_base]]*Ventas[[#This Row],[cantidad]]</f>
        <v>199.96</v>
      </c>
      <c r="R658" s="2">
        <f>Ventas[[#This Row],[Total bruto (antes de descuento)]]-Ventas[[#This Row],[total_venta]]</f>
        <v>30</v>
      </c>
    </row>
    <row r="659" spans="1:18" x14ac:dyDescent="0.25">
      <c r="A659" t="s">
        <v>752</v>
      </c>
      <c r="B659" s="1">
        <v>45581</v>
      </c>
      <c r="C659" t="s">
        <v>50</v>
      </c>
      <c r="D659" t="s">
        <v>27</v>
      </c>
      <c r="E659">
        <v>3</v>
      </c>
      <c r="F659" s="2">
        <v>149.99</v>
      </c>
      <c r="G659">
        <v>0</v>
      </c>
      <c r="H659" s="2">
        <v>149.99</v>
      </c>
      <c r="I659" s="2">
        <v>449.97</v>
      </c>
      <c r="J659" t="s">
        <v>19</v>
      </c>
      <c r="K659" t="s">
        <v>52</v>
      </c>
      <c r="L659" t="s">
        <v>45</v>
      </c>
      <c r="M659" t="s">
        <v>22</v>
      </c>
      <c r="N659" t="s">
        <v>23</v>
      </c>
      <c r="O659" t="s">
        <v>24</v>
      </c>
      <c r="P659">
        <v>3</v>
      </c>
      <c r="Q659" s="2">
        <f>Ventas[[#This Row],[precio_base]]*Ventas[[#This Row],[cantidad]]</f>
        <v>449.97</v>
      </c>
      <c r="R659" s="2">
        <f>Ventas[[#This Row],[Total bruto (antes de descuento)]]-Ventas[[#This Row],[total_venta]]</f>
        <v>0</v>
      </c>
    </row>
    <row r="660" spans="1:18" x14ac:dyDescent="0.25">
      <c r="A660" t="s">
        <v>753</v>
      </c>
      <c r="B660" s="1">
        <v>45349</v>
      </c>
      <c r="C660" t="s">
        <v>61</v>
      </c>
      <c r="D660" t="s">
        <v>38</v>
      </c>
      <c r="E660">
        <v>2</v>
      </c>
      <c r="F660" s="2">
        <v>19.989999999999998</v>
      </c>
      <c r="G660">
        <v>0</v>
      </c>
      <c r="H660" s="2">
        <v>19.989999999999998</v>
      </c>
      <c r="I660" s="2">
        <v>39.979999999999997</v>
      </c>
      <c r="J660" t="s">
        <v>19</v>
      </c>
      <c r="K660" t="s">
        <v>52</v>
      </c>
      <c r="L660" t="s">
        <v>32</v>
      </c>
      <c r="M660" t="s">
        <v>65</v>
      </c>
      <c r="N660" t="s">
        <v>54</v>
      </c>
      <c r="O660" t="s">
        <v>35</v>
      </c>
      <c r="P660">
        <v>3</v>
      </c>
      <c r="Q660" s="2">
        <f>Ventas[[#This Row],[precio_base]]*Ventas[[#This Row],[cantidad]]</f>
        <v>39.979999999999997</v>
      </c>
      <c r="R660" s="2">
        <f>Ventas[[#This Row],[Total bruto (antes de descuento)]]-Ventas[[#This Row],[total_venta]]</f>
        <v>0</v>
      </c>
    </row>
    <row r="661" spans="1:18" x14ac:dyDescent="0.25">
      <c r="A661" t="s">
        <v>754</v>
      </c>
      <c r="B661" s="1">
        <v>45220</v>
      </c>
      <c r="C661" t="s">
        <v>92</v>
      </c>
      <c r="D661" t="s">
        <v>27</v>
      </c>
      <c r="E661">
        <v>5</v>
      </c>
      <c r="F661" s="2">
        <v>79.989999999999995</v>
      </c>
      <c r="G661">
        <v>0</v>
      </c>
      <c r="H661" s="2">
        <v>79.989999999999995</v>
      </c>
      <c r="I661" s="2">
        <v>399.95</v>
      </c>
      <c r="J661" t="s">
        <v>51</v>
      </c>
      <c r="K661" t="s">
        <v>52</v>
      </c>
      <c r="L661" t="s">
        <v>45</v>
      </c>
      <c r="M661" t="s">
        <v>101</v>
      </c>
      <c r="N661" t="s">
        <v>102</v>
      </c>
      <c r="O661" t="s">
        <v>35</v>
      </c>
      <c r="Q661" s="2">
        <f>Ventas[[#This Row],[precio_base]]*Ventas[[#This Row],[cantidad]]</f>
        <v>399.95</v>
      </c>
      <c r="R661" s="2">
        <f>Ventas[[#This Row],[Total bruto (antes de descuento)]]-Ventas[[#This Row],[total_venta]]</f>
        <v>0</v>
      </c>
    </row>
    <row r="662" spans="1:18" x14ac:dyDescent="0.25">
      <c r="A662" t="s">
        <v>755</v>
      </c>
      <c r="B662" s="1">
        <v>44936</v>
      </c>
      <c r="C662" t="s">
        <v>98</v>
      </c>
      <c r="D662" t="s">
        <v>31</v>
      </c>
      <c r="E662">
        <v>4</v>
      </c>
      <c r="F662" s="2">
        <v>99.99</v>
      </c>
      <c r="G662">
        <v>20</v>
      </c>
      <c r="H662" s="2">
        <v>79.989999999999995</v>
      </c>
      <c r="I662" s="2">
        <v>319.95999999999998</v>
      </c>
      <c r="J662" t="s">
        <v>19</v>
      </c>
      <c r="K662" t="s">
        <v>52</v>
      </c>
      <c r="L662" t="s">
        <v>45</v>
      </c>
      <c r="M662" t="s">
        <v>22</v>
      </c>
      <c r="N662" t="s">
        <v>23</v>
      </c>
      <c r="O662" t="s">
        <v>24</v>
      </c>
      <c r="P662">
        <v>2</v>
      </c>
      <c r="Q662" s="2">
        <f>Ventas[[#This Row],[precio_base]]*Ventas[[#This Row],[cantidad]]</f>
        <v>399.96</v>
      </c>
      <c r="R662" s="2">
        <f>Ventas[[#This Row],[Total bruto (antes de descuento)]]-Ventas[[#This Row],[total_venta]]</f>
        <v>80</v>
      </c>
    </row>
    <row r="663" spans="1:18" x14ac:dyDescent="0.25">
      <c r="A663" t="s">
        <v>756</v>
      </c>
      <c r="B663" s="1">
        <v>45348</v>
      </c>
      <c r="C663" t="s">
        <v>130</v>
      </c>
      <c r="D663" t="s">
        <v>43</v>
      </c>
      <c r="E663">
        <v>5</v>
      </c>
      <c r="F663" s="2">
        <v>24.99</v>
      </c>
      <c r="G663">
        <v>5</v>
      </c>
      <c r="H663" s="2">
        <v>23.74</v>
      </c>
      <c r="I663" s="2">
        <v>118.7</v>
      </c>
      <c r="J663" t="s">
        <v>19</v>
      </c>
      <c r="K663" t="s">
        <v>44</v>
      </c>
      <c r="L663" t="s">
        <v>28</v>
      </c>
      <c r="M663" t="s">
        <v>63</v>
      </c>
      <c r="N663" t="s">
        <v>34</v>
      </c>
      <c r="O663" t="s">
        <v>24</v>
      </c>
      <c r="P663">
        <v>4</v>
      </c>
      <c r="Q663" s="2">
        <f>Ventas[[#This Row],[precio_base]]*Ventas[[#This Row],[cantidad]]</f>
        <v>124.94999999999999</v>
      </c>
      <c r="R663" s="2">
        <f>Ventas[[#This Row],[Total bruto (antes de descuento)]]-Ventas[[#This Row],[total_venta]]</f>
        <v>6.2499999999999858</v>
      </c>
    </row>
    <row r="664" spans="1:18" x14ac:dyDescent="0.25">
      <c r="A664" t="s">
        <v>757</v>
      </c>
      <c r="B664" s="1">
        <v>45152</v>
      </c>
      <c r="C664" t="s">
        <v>61</v>
      </c>
      <c r="D664" t="s">
        <v>38</v>
      </c>
      <c r="E664">
        <v>1</v>
      </c>
      <c r="F664" s="2">
        <v>19.989999999999998</v>
      </c>
      <c r="G664">
        <v>5</v>
      </c>
      <c r="H664" s="2">
        <v>18.989999999999998</v>
      </c>
      <c r="I664" s="2">
        <v>18.989999999999998</v>
      </c>
      <c r="J664" t="s">
        <v>51</v>
      </c>
      <c r="K664" t="s">
        <v>52</v>
      </c>
      <c r="L664" t="s">
        <v>152</v>
      </c>
      <c r="M664" t="s">
        <v>65</v>
      </c>
      <c r="N664" t="s">
        <v>54</v>
      </c>
      <c r="O664" t="s">
        <v>35</v>
      </c>
      <c r="Q664" s="2">
        <f>Ventas[[#This Row],[precio_base]]*Ventas[[#This Row],[cantidad]]</f>
        <v>19.989999999999998</v>
      </c>
      <c r="R664" s="2">
        <f>Ventas[[#This Row],[Total bruto (antes de descuento)]]-Ventas[[#This Row],[total_venta]]</f>
        <v>1</v>
      </c>
    </row>
    <row r="665" spans="1:18" x14ac:dyDescent="0.25">
      <c r="A665" t="s">
        <v>758</v>
      </c>
      <c r="B665" s="1">
        <v>45637</v>
      </c>
      <c r="C665" t="s">
        <v>81</v>
      </c>
      <c r="D665" t="s">
        <v>31</v>
      </c>
      <c r="E665">
        <v>3</v>
      </c>
      <c r="F665" s="2">
        <v>189.99</v>
      </c>
      <c r="G665">
        <v>0</v>
      </c>
      <c r="H665" s="2">
        <v>189.99</v>
      </c>
      <c r="I665" s="2">
        <v>569.97</v>
      </c>
      <c r="J665" t="s">
        <v>51</v>
      </c>
      <c r="K665" t="s">
        <v>52</v>
      </c>
      <c r="L665" t="s">
        <v>45</v>
      </c>
      <c r="M665" t="s">
        <v>65</v>
      </c>
      <c r="N665" t="s">
        <v>54</v>
      </c>
      <c r="O665" t="s">
        <v>35</v>
      </c>
      <c r="Q665" s="2">
        <f>Ventas[[#This Row],[precio_base]]*Ventas[[#This Row],[cantidad]]</f>
        <v>569.97</v>
      </c>
      <c r="R665" s="2">
        <f>Ventas[[#This Row],[Total bruto (antes de descuento)]]-Ventas[[#This Row],[total_venta]]</f>
        <v>0</v>
      </c>
    </row>
    <row r="666" spans="1:18" x14ac:dyDescent="0.25">
      <c r="A666" t="s">
        <v>759</v>
      </c>
      <c r="B666" s="1">
        <v>44997</v>
      </c>
      <c r="C666" t="s">
        <v>205</v>
      </c>
      <c r="D666" t="s">
        <v>18</v>
      </c>
      <c r="E666">
        <v>2</v>
      </c>
      <c r="F666" s="2">
        <v>129.99</v>
      </c>
      <c r="G666">
        <v>0</v>
      </c>
      <c r="H666" s="2">
        <v>129.99</v>
      </c>
      <c r="I666" s="2">
        <v>259.98</v>
      </c>
      <c r="J666" t="s">
        <v>19</v>
      </c>
      <c r="K666" t="s">
        <v>44</v>
      </c>
      <c r="L666" t="s">
        <v>21</v>
      </c>
      <c r="M666" t="s">
        <v>101</v>
      </c>
      <c r="N666" t="s">
        <v>102</v>
      </c>
      <c r="O666" t="s">
        <v>35</v>
      </c>
      <c r="P666">
        <v>5</v>
      </c>
      <c r="Q666" s="2">
        <f>Ventas[[#This Row],[precio_base]]*Ventas[[#This Row],[cantidad]]</f>
        <v>259.98</v>
      </c>
      <c r="R666" s="2">
        <f>Ventas[[#This Row],[Total bruto (antes de descuento)]]-Ventas[[#This Row],[total_venta]]</f>
        <v>0</v>
      </c>
    </row>
    <row r="667" spans="1:18" x14ac:dyDescent="0.25">
      <c r="A667" t="s">
        <v>760</v>
      </c>
      <c r="B667" s="1">
        <v>45430</v>
      </c>
      <c r="C667" t="s">
        <v>115</v>
      </c>
      <c r="D667" t="s">
        <v>18</v>
      </c>
      <c r="E667">
        <v>3</v>
      </c>
      <c r="F667" s="2">
        <v>799.99</v>
      </c>
      <c r="G667">
        <v>0</v>
      </c>
      <c r="H667" s="2">
        <v>799.99</v>
      </c>
      <c r="I667" s="2">
        <v>2399.9699999999998</v>
      </c>
      <c r="J667" t="s">
        <v>19</v>
      </c>
      <c r="K667" t="s">
        <v>20</v>
      </c>
      <c r="L667" t="s">
        <v>152</v>
      </c>
      <c r="M667" t="s">
        <v>65</v>
      </c>
      <c r="N667" t="s">
        <v>54</v>
      </c>
      <c r="O667" t="s">
        <v>35</v>
      </c>
      <c r="P667">
        <v>3</v>
      </c>
      <c r="Q667" s="2">
        <f>Ventas[[#This Row],[precio_base]]*Ventas[[#This Row],[cantidad]]</f>
        <v>2399.9700000000003</v>
      </c>
      <c r="R667" s="2">
        <f>Ventas[[#This Row],[Total bruto (antes de descuento)]]-Ventas[[#This Row],[total_venta]]</f>
        <v>0</v>
      </c>
    </row>
    <row r="668" spans="1:18" x14ac:dyDescent="0.25">
      <c r="A668" t="s">
        <v>761</v>
      </c>
      <c r="B668" s="1">
        <v>45202</v>
      </c>
      <c r="C668" t="s">
        <v>78</v>
      </c>
      <c r="D668" t="s">
        <v>18</v>
      </c>
      <c r="E668">
        <v>4</v>
      </c>
      <c r="F668" s="2">
        <v>349.99</v>
      </c>
      <c r="G668">
        <v>15</v>
      </c>
      <c r="H668" s="2">
        <v>297.49</v>
      </c>
      <c r="I668" s="2">
        <v>1189.96</v>
      </c>
      <c r="J668" t="s">
        <v>19</v>
      </c>
      <c r="K668" t="s">
        <v>20</v>
      </c>
      <c r="L668" t="s">
        <v>45</v>
      </c>
      <c r="M668" t="s">
        <v>95</v>
      </c>
      <c r="N668" t="s">
        <v>96</v>
      </c>
      <c r="O668" t="s">
        <v>48</v>
      </c>
      <c r="P668">
        <v>3</v>
      </c>
      <c r="Q668" s="2">
        <f>Ventas[[#This Row],[precio_base]]*Ventas[[#This Row],[cantidad]]</f>
        <v>1399.96</v>
      </c>
      <c r="R668" s="2">
        <f>Ventas[[#This Row],[Total bruto (antes de descuento)]]-Ventas[[#This Row],[total_venta]]</f>
        <v>210</v>
      </c>
    </row>
    <row r="669" spans="1:18" x14ac:dyDescent="0.25">
      <c r="A669" t="s">
        <v>762</v>
      </c>
      <c r="B669" s="1">
        <v>45357</v>
      </c>
      <c r="C669" t="s">
        <v>83</v>
      </c>
      <c r="D669" t="s">
        <v>38</v>
      </c>
      <c r="E669">
        <v>4</v>
      </c>
      <c r="F669" s="2">
        <v>49.99</v>
      </c>
      <c r="G669">
        <v>0</v>
      </c>
      <c r="H669" s="2">
        <v>49.99</v>
      </c>
      <c r="I669" s="2">
        <v>199.96</v>
      </c>
      <c r="J669" t="s">
        <v>19</v>
      </c>
      <c r="K669" t="s">
        <v>20</v>
      </c>
      <c r="L669" t="s">
        <v>21</v>
      </c>
      <c r="M669" t="s">
        <v>39</v>
      </c>
      <c r="N669" t="s">
        <v>40</v>
      </c>
      <c r="O669" t="s">
        <v>35</v>
      </c>
      <c r="P669">
        <v>2</v>
      </c>
      <c r="Q669" s="2">
        <f>Ventas[[#This Row],[precio_base]]*Ventas[[#This Row],[cantidad]]</f>
        <v>199.96</v>
      </c>
      <c r="R669" s="2">
        <f>Ventas[[#This Row],[Total bruto (antes de descuento)]]-Ventas[[#This Row],[total_venta]]</f>
        <v>0</v>
      </c>
    </row>
    <row r="670" spans="1:18" x14ac:dyDescent="0.25">
      <c r="A670" t="s">
        <v>763</v>
      </c>
      <c r="B670" s="1">
        <v>44984</v>
      </c>
      <c r="C670" t="s">
        <v>61</v>
      </c>
      <c r="D670" t="s">
        <v>38</v>
      </c>
      <c r="E670">
        <v>4</v>
      </c>
      <c r="F670" s="2">
        <v>19.989999999999998</v>
      </c>
      <c r="G670">
        <v>0</v>
      </c>
      <c r="H670" s="2">
        <v>19.989999999999998</v>
      </c>
      <c r="I670" s="2">
        <v>79.959999999999994</v>
      </c>
      <c r="J670" t="s">
        <v>19</v>
      </c>
      <c r="K670" t="s">
        <v>20</v>
      </c>
      <c r="L670" t="s">
        <v>32</v>
      </c>
      <c r="M670" t="s">
        <v>63</v>
      </c>
      <c r="N670" t="s">
        <v>34</v>
      </c>
      <c r="O670" t="s">
        <v>24</v>
      </c>
      <c r="P670">
        <v>4</v>
      </c>
      <c r="Q670" s="2">
        <f>Ventas[[#This Row],[precio_base]]*Ventas[[#This Row],[cantidad]]</f>
        <v>79.959999999999994</v>
      </c>
      <c r="R670" s="2">
        <f>Ventas[[#This Row],[Total bruto (antes de descuento)]]-Ventas[[#This Row],[total_venta]]</f>
        <v>0</v>
      </c>
    </row>
    <row r="671" spans="1:18" x14ac:dyDescent="0.25">
      <c r="A671" t="s">
        <v>764</v>
      </c>
      <c r="B671" s="1">
        <v>44939</v>
      </c>
      <c r="C671" t="s">
        <v>17</v>
      </c>
      <c r="D671" t="s">
        <v>18</v>
      </c>
      <c r="E671">
        <v>2</v>
      </c>
      <c r="F671" s="2">
        <v>45.99</v>
      </c>
      <c r="G671">
        <v>5</v>
      </c>
      <c r="H671" s="2">
        <v>43.69</v>
      </c>
      <c r="I671" s="2">
        <v>87.38</v>
      </c>
      <c r="J671" t="s">
        <v>51</v>
      </c>
      <c r="K671" t="s">
        <v>20</v>
      </c>
      <c r="L671" t="s">
        <v>152</v>
      </c>
      <c r="M671" t="s">
        <v>101</v>
      </c>
      <c r="N671" t="s">
        <v>102</v>
      </c>
      <c r="O671" t="s">
        <v>35</v>
      </c>
      <c r="Q671" s="2">
        <f>Ventas[[#This Row],[precio_base]]*Ventas[[#This Row],[cantidad]]</f>
        <v>91.98</v>
      </c>
      <c r="R671" s="2">
        <f>Ventas[[#This Row],[Total bruto (antes de descuento)]]-Ventas[[#This Row],[total_venta]]</f>
        <v>4.6000000000000085</v>
      </c>
    </row>
    <row r="672" spans="1:18" x14ac:dyDescent="0.25">
      <c r="A672" t="s">
        <v>765</v>
      </c>
      <c r="B672" s="1">
        <v>45130</v>
      </c>
      <c r="C672" t="s">
        <v>151</v>
      </c>
      <c r="D672" t="s">
        <v>27</v>
      </c>
      <c r="E672">
        <v>1</v>
      </c>
      <c r="F672" s="2">
        <v>599.99</v>
      </c>
      <c r="G672">
        <v>10</v>
      </c>
      <c r="H672" s="2">
        <v>539.99</v>
      </c>
      <c r="I672" s="2">
        <v>539.99</v>
      </c>
      <c r="J672" t="s">
        <v>51</v>
      </c>
      <c r="K672" t="s">
        <v>44</v>
      </c>
      <c r="L672" t="s">
        <v>28</v>
      </c>
      <c r="M672" t="s">
        <v>22</v>
      </c>
      <c r="N672" t="s">
        <v>23</v>
      </c>
      <c r="O672" t="s">
        <v>24</v>
      </c>
      <c r="Q672" s="2">
        <f>Ventas[[#This Row],[precio_base]]*Ventas[[#This Row],[cantidad]]</f>
        <v>599.99</v>
      </c>
      <c r="R672" s="2">
        <f>Ventas[[#This Row],[Total bruto (antes de descuento)]]-Ventas[[#This Row],[total_venta]]</f>
        <v>60</v>
      </c>
    </row>
    <row r="673" spans="1:18" x14ac:dyDescent="0.25">
      <c r="A673" t="s">
        <v>766</v>
      </c>
      <c r="B673" s="1">
        <v>45246</v>
      </c>
      <c r="C673" t="s">
        <v>122</v>
      </c>
      <c r="D673" t="s">
        <v>43</v>
      </c>
      <c r="E673">
        <v>3</v>
      </c>
      <c r="F673" s="2">
        <v>44.99</v>
      </c>
      <c r="G673">
        <v>0</v>
      </c>
      <c r="H673" s="2">
        <v>44.99</v>
      </c>
      <c r="I673" s="2">
        <v>134.97</v>
      </c>
      <c r="J673" t="s">
        <v>51</v>
      </c>
      <c r="K673" t="s">
        <v>44</v>
      </c>
      <c r="L673" t="s">
        <v>45</v>
      </c>
      <c r="M673" t="s">
        <v>46</v>
      </c>
      <c r="N673" t="s">
        <v>47</v>
      </c>
      <c r="O673" t="s">
        <v>48</v>
      </c>
      <c r="Q673" s="2">
        <f>Ventas[[#This Row],[precio_base]]*Ventas[[#This Row],[cantidad]]</f>
        <v>134.97</v>
      </c>
      <c r="R673" s="2">
        <f>Ventas[[#This Row],[Total bruto (antes de descuento)]]-Ventas[[#This Row],[total_venta]]</f>
        <v>0</v>
      </c>
    </row>
    <row r="674" spans="1:18" x14ac:dyDescent="0.25">
      <c r="A674" t="s">
        <v>767</v>
      </c>
      <c r="B674" s="1">
        <v>45052</v>
      </c>
      <c r="C674" t="s">
        <v>61</v>
      </c>
      <c r="D674" t="s">
        <v>38</v>
      </c>
      <c r="E674">
        <v>4</v>
      </c>
      <c r="F674" s="2">
        <v>19.989999999999998</v>
      </c>
      <c r="G674">
        <v>15</v>
      </c>
      <c r="H674" s="2">
        <v>16.989999999999998</v>
      </c>
      <c r="I674" s="2">
        <v>67.959999999999994</v>
      </c>
      <c r="J674" t="s">
        <v>19</v>
      </c>
      <c r="K674" t="s">
        <v>52</v>
      </c>
      <c r="L674" t="s">
        <v>32</v>
      </c>
      <c r="M674" t="s">
        <v>123</v>
      </c>
      <c r="N674" t="s">
        <v>124</v>
      </c>
      <c r="O674" t="s">
        <v>24</v>
      </c>
      <c r="P674">
        <v>2</v>
      </c>
      <c r="Q674" s="2">
        <f>Ventas[[#This Row],[precio_base]]*Ventas[[#This Row],[cantidad]]</f>
        <v>79.959999999999994</v>
      </c>
      <c r="R674" s="2">
        <f>Ventas[[#This Row],[Total bruto (antes de descuento)]]-Ventas[[#This Row],[total_venta]]</f>
        <v>12</v>
      </c>
    </row>
    <row r="675" spans="1:18" x14ac:dyDescent="0.25">
      <c r="A675" t="s">
        <v>768</v>
      </c>
      <c r="B675" s="1">
        <v>45042</v>
      </c>
      <c r="C675" t="s">
        <v>163</v>
      </c>
      <c r="D675" t="s">
        <v>18</v>
      </c>
      <c r="E675">
        <v>4</v>
      </c>
      <c r="F675" s="2">
        <v>499.99</v>
      </c>
      <c r="G675">
        <v>0</v>
      </c>
      <c r="H675" s="2">
        <v>499.99</v>
      </c>
      <c r="I675" s="2">
        <v>1999.96</v>
      </c>
      <c r="J675" t="s">
        <v>19</v>
      </c>
      <c r="K675" t="s">
        <v>20</v>
      </c>
      <c r="L675" t="s">
        <v>21</v>
      </c>
      <c r="M675" t="s">
        <v>39</v>
      </c>
      <c r="N675" t="s">
        <v>40</v>
      </c>
      <c r="O675" t="s">
        <v>35</v>
      </c>
      <c r="P675">
        <v>2</v>
      </c>
      <c r="Q675" s="2">
        <f>Ventas[[#This Row],[precio_base]]*Ventas[[#This Row],[cantidad]]</f>
        <v>1999.96</v>
      </c>
      <c r="R675" s="2">
        <f>Ventas[[#This Row],[Total bruto (antes de descuento)]]-Ventas[[#This Row],[total_venta]]</f>
        <v>0</v>
      </c>
    </row>
    <row r="676" spans="1:18" x14ac:dyDescent="0.25">
      <c r="A676" t="s">
        <v>769</v>
      </c>
      <c r="B676" s="1">
        <v>44936</v>
      </c>
      <c r="C676" t="s">
        <v>94</v>
      </c>
      <c r="D676" t="s">
        <v>18</v>
      </c>
      <c r="E676">
        <v>5</v>
      </c>
      <c r="F676" s="2">
        <v>899.99</v>
      </c>
      <c r="G676">
        <v>20</v>
      </c>
      <c r="H676" s="2">
        <v>719.99</v>
      </c>
      <c r="I676" s="2">
        <v>3599.95</v>
      </c>
      <c r="J676" t="s">
        <v>51</v>
      </c>
      <c r="K676" t="s">
        <v>44</v>
      </c>
      <c r="L676" t="s">
        <v>45</v>
      </c>
      <c r="M676" t="s">
        <v>84</v>
      </c>
      <c r="N676" t="s">
        <v>85</v>
      </c>
      <c r="O676" t="s">
        <v>35</v>
      </c>
      <c r="Q676" s="2">
        <f>Ventas[[#This Row],[precio_base]]*Ventas[[#This Row],[cantidad]]</f>
        <v>4499.95</v>
      </c>
      <c r="R676" s="2">
        <f>Ventas[[#This Row],[Total bruto (antes de descuento)]]-Ventas[[#This Row],[total_venta]]</f>
        <v>900</v>
      </c>
    </row>
    <row r="677" spans="1:18" x14ac:dyDescent="0.25">
      <c r="A677" t="s">
        <v>770</v>
      </c>
      <c r="B677" s="1">
        <v>45018</v>
      </c>
      <c r="C677" t="s">
        <v>163</v>
      </c>
      <c r="D677" t="s">
        <v>18</v>
      </c>
      <c r="E677">
        <v>2</v>
      </c>
      <c r="F677" s="2">
        <v>499.99</v>
      </c>
      <c r="G677">
        <v>5</v>
      </c>
      <c r="H677" s="2">
        <v>474.99</v>
      </c>
      <c r="I677" s="2">
        <v>949.98</v>
      </c>
      <c r="J677" t="s">
        <v>19</v>
      </c>
      <c r="K677" t="s">
        <v>20</v>
      </c>
      <c r="L677" t="s">
        <v>152</v>
      </c>
      <c r="M677" t="s">
        <v>33</v>
      </c>
      <c r="N677" t="s">
        <v>34</v>
      </c>
      <c r="O677" t="s">
        <v>35</v>
      </c>
      <c r="P677">
        <v>1</v>
      </c>
      <c r="Q677" s="2">
        <f>Ventas[[#This Row],[precio_base]]*Ventas[[#This Row],[cantidad]]</f>
        <v>999.98</v>
      </c>
      <c r="R677" s="2">
        <f>Ventas[[#This Row],[Total bruto (antes de descuento)]]-Ventas[[#This Row],[total_venta]]</f>
        <v>50</v>
      </c>
    </row>
    <row r="678" spans="1:18" x14ac:dyDescent="0.25">
      <c r="A678" t="s">
        <v>771</v>
      </c>
      <c r="B678" s="1">
        <v>44988</v>
      </c>
      <c r="C678" t="s">
        <v>89</v>
      </c>
      <c r="D678" t="s">
        <v>38</v>
      </c>
      <c r="E678">
        <v>2</v>
      </c>
      <c r="F678" s="2">
        <v>69.989999999999995</v>
      </c>
      <c r="G678">
        <v>15</v>
      </c>
      <c r="H678" s="2">
        <v>59.49</v>
      </c>
      <c r="I678" s="2">
        <v>118.98</v>
      </c>
      <c r="J678" t="s">
        <v>19</v>
      </c>
      <c r="K678" t="s">
        <v>20</v>
      </c>
      <c r="L678" t="s">
        <v>21</v>
      </c>
      <c r="M678" t="s">
        <v>95</v>
      </c>
      <c r="N678" t="s">
        <v>96</v>
      </c>
      <c r="O678" t="s">
        <v>48</v>
      </c>
      <c r="P678">
        <v>5</v>
      </c>
      <c r="Q678" s="2">
        <f>Ventas[[#This Row],[precio_base]]*Ventas[[#This Row],[cantidad]]</f>
        <v>139.97999999999999</v>
      </c>
      <c r="R678" s="2">
        <f>Ventas[[#This Row],[Total bruto (antes de descuento)]]-Ventas[[#This Row],[total_venta]]</f>
        <v>20.999999999999986</v>
      </c>
    </row>
    <row r="679" spans="1:18" x14ac:dyDescent="0.25">
      <c r="A679" t="s">
        <v>772</v>
      </c>
      <c r="B679" s="1">
        <v>45587</v>
      </c>
      <c r="C679" t="s">
        <v>98</v>
      </c>
      <c r="D679" t="s">
        <v>31</v>
      </c>
      <c r="E679">
        <v>3</v>
      </c>
      <c r="F679" s="2">
        <v>99.99</v>
      </c>
      <c r="G679">
        <v>20</v>
      </c>
      <c r="H679" s="2">
        <v>79.989999999999995</v>
      </c>
      <c r="I679" s="2">
        <v>239.97</v>
      </c>
      <c r="J679" t="s">
        <v>62</v>
      </c>
      <c r="K679" t="s">
        <v>20</v>
      </c>
      <c r="L679" t="s">
        <v>28</v>
      </c>
      <c r="M679" t="s">
        <v>84</v>
      </c>
      <c r="N679" t="s">
        <v>85</v>
      </c>
      <c r="O679" t="s">
        <v>35</v>
      </c>
      <c r="Q679" s="2">
        <f>Ventas[[#This Row],[precio_base]]*Ventas[[#This Row],[cantidad]]</f>
        <v>299.96999999999997</v>
      </c>
      <c r="R679" s="2">
        <f>Ventas[[#This Row],[Total bruto (antes de descuento)]]-Ventas[[#This Row],[total_venta]]</f>
        <v>59.999999999999972</v>
      </c>
    </row>
    <row r="680" spans="1:18" x14ac:dyDescent="0.25">
      <c r="A680" t="s">
        <v>773</v>
      </c>
      <c r="B680" s="1">
        <v>45293</v>
      </c>
      <c r="C680" t="s">
        <v>76</v>
      </c>
      <c r="D680" t="s">
        <v>31</v>
      </c>
      <c r="E680">
        <v>2</v>
      </c>
      <c r="F680" s="2">
        <v>69.989999999999995</v>
      </c>
      <c r="G680">
        <v>0</v>
      </c>
      <c r="H680" s="2">
        <v>69.989999999999995</v>
      </c>
      <c r="I680" s="2">
        <v>139.97999999999999</v>
      </c>
      <c r="J680" t="s">
        <v>62</v>
      </c>
      <c r="K680" t="s">
        <v>44</v>
      </c>
      <c r="L680" t="s">
        <v>45</v>
      </c>
      <c r="M680" t="s">
        <v>101</v>
      </c>
      <c r="N680" t="s">
        <v>102</v>
      </c>
      <c r="O680" t="s">
        <v>35</v>
      </c>
      <c r="Q680" s="2">
        <f>Ventas[[#This Row],[precio_base]]*Ventas[[#This Row],[cantidad]]</f>
        <v>139.97999999999999</v>
      </c>
      <c r="R680" s="2">
        <f>Ventas[[#This Row],[Total bruto (antes de descuento)]]-Ventas[[#This Row],[total_venta]]</f>
        <v>0</v>
      </c>
    </row>
    <row r="681" spans="1:18" x14ac:dyDescent="0.25">
      <c r="A681" t="s">
        <v>774</v>
      </c>
      <c r="B681" s="1">
        <v>45482</v>
      </c>
      <c r="C681" t="s">
        <v>30</v>
      </c>
      <c r="D681" t="s">
        <v>31</v>
      </c>
      <c r="E681">
        <v>4</v>
      </c>
      <c r="F681" s="2">
        <v>299.99</v>
      </c>
      <c r="G681">
        <v>0</v>
      </c>
      <c r="H681" s="2">
        <v>299.99</v>
      </c>
      <c r="I681" s="2">
        <v>1199.96</v>
      </c>
      <c r="J681" t="s">
        <v>19</v>
      </c>
      <c r="K681" t="s">
        <v>20</v>
      </c>
      <c r="L681" t="s">
        <v>28</v>
      </c>
      <c r="M681" t="s">
        <v>65</v>
      </c>
      <c r="N681" t="s">
        <v>54</v>
      </c>
      <c r="O681" t="s">
        <v>35</v>
      </c>
      <c r="P681">
        <v>3</v>
      </c>
      <c r="Q681" s="2">
        <f>Ventas[[#This Row],[precio_base]]*Ventas[[#This Row],[cantidad]]</f>
        <v>1199.96</v>
      </c>
      <c r="R681" s="2">
        <f>Ventas[[#This Row],[Total bruto (antes de descuento)]]-Ventas[[#This Row],[total_venta]]</f>
        <v>0</v>
      </c>
    </row>
    <row r="682" spans="1:18" x14ac:dyDescent="0.25">
      <c r="A682" t="s">
        <v>775</v>
      </c>
      <c r="B682" s="1">
        <v>45540</v>
      </c>
      <c r="C682" t="s">
        <v>122</v>
      </c>
      <c r="D682" t="s">
        <v>43</v>
      </c>
      <c r="E682">
        <v>5</v>
      </c>
      <c r="F682" s="2">
        <v>44.99</v>
      </c>
      <c r="G682">
        <v>0</v>
      </c>
      <c r="H682" s="2">
        <v>44.99</v>
      </c>
      <c r="I682" s="2">
        <v>224.95</v>
      </c>
      <c r="J682" t="s">
        <v>19</v>
      </c>
      <c r="K682" t="s">
        <v>20</v>
      </c>
      <c r="L682" t="s">
        <v>32</v>
      </c>
      <c r="M682" t="s">
        <v>63</v>
      </c>
      <c r="N682" t="s">
        <v>34</v>
      </c>
      <c r="O682" t="s">
        <v>24</v>
      </c>
      <c r="P682">
        <v>5</v>
      </c>
      <c r="Q682" s="2">
        <f>Ventas[[#This Row],[precio_base]]*Ventas[[#This Row],[cantidad]]</f>
        <v>224.95000000000002</v>
      </c>
      <c r="R682" s="2">
        <f>Ventas[[#This Row],[Total bruto (antes de descuento)]]-Ventas[[#This Row],[total_venta]]</f>
        <v>0</v>
      </c>
    </row>
    <row r="683" spans="1:18" x14ac:dyDescent="0.25">
      <c r="A683" t="s">
        <v>776</v>
      </c>
      <c r="B683" s="1">
        <v>45302</v>
      </c>
      <c r="C683" t="s">
        <v>151</v>
      </c>
      <c r="D683" t="s">
        <v>27</v>
      </c>
      <c r="E683">
        <v>1</v>
      </c>
      <c r="F683" s="2">
        <v>599.99</v>
      </c>
      <c r="G683">
        <v>20</v>
      </c>
      <c r="H683" s="2">
        <v>479.99</v>
      </c>
      <c r="I683" s="2">
        <v>479.99</v>
      </c>
      <c r="J683" t="s">
        <v>51</v>
      </c>
      <c r="K683" t="s">
        <v>44</v>
      </c>
      <c r="L683" t="s">
        <v>32</v>
      </c>
      <c r="M683" t="s">
        <v>120</v>
      </c>
      <c r="N683" t="s">
        <v>23</v>
      </c>
      <c r="O683" t="s">
        <v>24</v>
      </c>
      <c r="Q683" s="2">
        <f>Ventas[[#This Row],[precio_base]]*Ventas[[#This Row],[cantidad]]</f>
        <v>599.99</v>
      </c>
      <c r="R683" s="2">
        <f>Ventas[[#This Row],[Total bruto (antes de descuento)]]-Ventas[[#This Row],[total_venta]]</f>
        <v>120</v>
      </c>
    </row>
    <row r="684" spans="1:18" x14ac:dyDescent="0.25">
      <c r="A684" t="s">
        <v>777</v>
      </c>
      <c r="B684" s="1">
        <v>45561</v>
      </c>
      <c r="C684" t="s">
        <v>42</v>
      </c>
      <c r="D684" t="s">
        <v>43</v>
      </c>
      <c r="E684">
        <v>3</v>
      </c>
      <c r="F684" s="2">
        <v>349.99</v>
      </c>
      <c r="G684">
        <v>20</v>
      </c>
      <c r="H684" s="2">
        <v>279.99</v>
      </c>
      <c r="I684" s="2">
        <v>839.97</v>
      </c>
      <c r="J684" t="s">
        <v>51</v>
      </c>
      <c r="K684" t="s">
        <v>44</v>
      </c>
      <c r="L684" t="s">
        <v>28</v>
      </c>
      <c r="M684" t="s">
        <v>123</v>
      </c>
      <c r="N684" t="s">
        <v>124</v>
      </c>
      <c r="O684" t="s">
        <v>24</v>
      </c>
      <c r="Q684" s="2">
        <f>Ventas[[#This Row],[precio_base]]*Ventas[[#This Row],[cantidad]]</f>
        <v>1049.97</v>
      </c>
      <c r="R684" s="2">
        <f>Ventas[[#This Row],[Total bruto (antes de descuento)]]-Ventas[[#This Row],[total_venta]]</f>
        <v>210</v>
      </c>
    </row>
    <row r="685" spans="1:18" x14ac:dyDescent="0.25">
      <c r="A685" t="s">
        <v>778</v>
      </c>
      <c r="B685" s="1">
        <v>45478</v>
      </c>
      <c r="C685" t="s">
        <v>143</v>
      </c>
      <c r="D685" t="s">
        <v>43</v>
      </c>
      <c r="E685">
        <v>4</v>
      </c>
      <c r="F685" s="2">
        <v>34.99</v>
      </c>
      <c r="G685">
        <v>0</v>
      </c>
      <c r="H685" s="2">
        <v>34.99</v>
      </c>
      <c r="I685" s="2">
        <v>139.96</v>
      </c>
      <c r="J685" t="s">
        <v>19</v>
      </c>
      <c r="K685" t="s">
        <v>52</v>
      </c>
      <c r="L685" t="s">
        <v>21</v>
      </c>
      <c r="M685" t="s">
        <v>101</v>
      </c>
      <c r="N685" t="s">
        <v>102</v>
      </c>
      <c r="O685" t="s">
        <v>35</v>
      </c>
      <c r="P685">
        <v>3</v>
      </c>
      <c r="Q685" s="2">
        <f>Ventas[[#This Row],[precio_base]]*Ventas[[#This Row],[cantidad]]</f>
        <v>139.96</v>
      </c>
      <c r="R685" s="2">
        <f>Ventas[[#This Row],[Total bruto (antes de descuento)]]-Ventas[[#This Row],[total_venta]]</f>
        <v>0</v>
      </c>
    </row>
    <row r="686" spans="1:18" x14ac:dyDescent="0.25">
      <c r="A686" t="s">
        <v>779</v>
      </c>
      <c r="B686" s="1">
        <v>45257</v>
      </c>
      <c r="C686" t="s">
        <v>37</v>
      </c>
      <c r="D686" t="s">
        <v>38</v>
      </c>
      <c r="E686">
        <v>3</v>
      </c>
      <c r="F686" s="2">
        <v>34.99</v>
      </c>
      <c r="G686">
        <v>0</v>
      </c>
      <c r="H686" s="2">
        <v>34.99</v>
      </c>
      <c r="I686" s="2">
        <v>104.97</v>
      </c>
      <c r="J686" t="s">
        <v>19</v>
      </c>
      <c r="K686" t="s">
        <v>20</v>
      </c>
      <c r="L686" t="s">
        <v>32</v>
      </c>
      <c r="M686" t="s">
        <v>73</v>
      </c>
      <c r="N686" t="s">
        <v>74</v>
      </c>
      <c r="O686" t="s">
        <v>35</v>
      </c>
      <c r="P686">
        <v>2</v>
      </c>
      <c r="Q686" s="2">
        <f>Ventas[[#This Row],[precio_base]]*Ventas[[#This Row],[cantidad]]</f>
        <v>104.97</v>
      </c>
      <c r="R686" s="2">
        <f>Ventas[[#This Row],[Total bruto (antes de descuento)]]-Ventas[[#This Row],[total_venta]]</f>
        <v>0</v>
      </c>
    </row>
    <row r="687" spans="1:18" x14ac:dyDescent="0.25">
      <c r="A687" t="s">
        <v>780</v>
      </c>
      <c r="B687" s="1">
        <v>45109</v>
      </c>
      <c r="C687" t="s">
        <v>42</v>
      </c>
      <c r="D687" t="s">
        <v>43</v>
      </c>
      <c r="E687">
        <v>1</v>
      </c>
      <c r="F687" s="2">
        <v>349.99</v>
      </c>
      <c r="G687">
        <v>0</v>
      </c>
      <c r="H687" s="2">
        <v>349.99</v>
      </c>
      <c r="I687" s="2">
        <v>349.99</v>
      </c>
      <c r="J687" t="s">
        <v>19</v>
      </c>
      <c r="K687" t="s">
        <v>20</v>
      </c>
      <c r="L687" t="s">
        <v>45</v>
      </c>
      <c r="M687" t="s">
        <v>22</v>
      </c>
      <c r="N687" t="s">
        <v>23</v>
      </c>
      <c r="O687" t="s">
        <v>24</v>
      </c>
      <c r="P687">
        <v>4</v>
      </c>
      <c r="Q687" s="2">
        <f>Ventas[[#This Row],[precio_base]]*Ventas[[#This Row],[cantidad]]</f>
        <v>349.99</v>
      </c>
      <c r="R687" s="2">
        <f>Ventas[[#This Row],[Total bruto (antes de descuento)]]-Ventas[[#This Row],[total_venta]]</f>
        <v>0</v>
      </c>
    </row>
    <row r="688" spans="1:18" x14ac:dyDescent="0.25">
      <c r="A688" t="s">
        <v>781</v>
      </c>
      <c r="B688" s="1">
        <v>45600</v>
      </c>
      <c r="C688" t="s">
        <v>92</v>
      </c>
      <c r="D688" t="s">
        <v>27</v>
      </c>
      <c r="E688">
        <v>5</v>
      </c>
      <c r="F688" s="2">
        <v>79.989999999999995</v>
      </c>
      <c r="G688">
        <v>10</v>
      </c>
      <c r="H688" s="2">
        <v>71.989999999999995</v>
      </c>
      <c r="I688" s="2">
        <v>359.95</v>
      </c>
      <c r="J688" t="s">
        <v>51</v>
      </c>
      <c r="K688" t="s">
        <v>20</v>
      </c>
      <c r="L688" t="s">
        <v>21</v>
      </c>
      <c r="M688" t="s">
        <v>58</v>
      </c>
      <c r="N688" t="s">
        <v>59</v>
      </c>
      <c r="O688" t="s">
        <v>24</v>
      </c>
      <c r="Q688" s="2">
        <f>Ventas[[#This Row],[precio_base]]*Ventas[[#This Row],[cantidad]]</f>
        <v>399.95</v>
      </c>
      <c r="R688" s="2">
        <f>Ventas[[#This Row],[Total bruto (antes de descuento)]]-Ventas[[#This Row],[total_venta]]</f>
        <v>40</v>
      </c>
    </row>
    <row r="689" spans="1:18" x14ac:dyDescent="0.25">
      <c r="A689" t="s">
        <v>782</v>
      </c>
      <c r="B689" s="1">
        <v>44999</v>
      </c>
      <c r="C689" t="s">
        <v>104</v>
      </c>
      <c r="D689" t="s">
        <v>18</v>
      </c>
      <c r="E689">
        <v>2</v>
      </c>
      <c r="F689" s="2">
        <v>1199.99</v>
      </c>
      <c r="G689">
        <v>15</v>
      </c>
      <c r="H689" s="2">
        <v>1019.99</v>
      </c>
      <c r="I689" s="2">
        <v>2039.98</v>
      </c>
      <c r="J689" t="s">
        <v>19</v>
      </c>
      <c r="K689" t="s">
        <v>52</v>
      </c>
      <c r="L689" t="s">
        <v>45</v>
      </c>
      <c r="M689" t="s">
        <v>53</v>
      </c>
      <c r="N689" t="s">
        <v>54</v>
      </c>
      <c r="O689" t="s">
        <v>35</v>
      </c>
      <c r="P689">
        <v>1</v>
      </c>
      <c r="Q689" s="2">
        <f>Ventas[[#This Row],[precio_base]]*Ventas[[#This Row],[cantidad]]</f>
        <v>2399.98</v>
      </c>
      <c r="R689" s="2">
        <f>Ventas[[#This Row],[Total bruto (antes de descuento)]]-Ventas[[#This Row],[total_venta]]</f>
        <v>360</v>
      </c>
    </row>
    <row r="690" spans="1:18" x14ac:dyDescent="0.25">
      <c r="A690" t="s">
        <v>783</v>
      </c>
      <c r="B690" s="1">
        <v>45296</v>
      </c>
      <c r="C690" t="s">
        <v>50</v>
      </c>
      <c r="D690" t="s">
        <v>27</v>
      </c>
      <c r="E690">
        <v>4</v>
      </c>
      <c r="F690" s="2">
        <v>149.99</v>
      </c>
      <c r="G690">
        <v>20</v>
      </c>
      <c r="H690" s="2">
        <v>119.99</v>
      </c>
      <c r="I690" s="2">
        <v>479.96</v>
      </c>
      <c r="J690" t="s">
        <v>19</v>
      </c>
      <c r="K690" t="s">
        <v>20</v>
      </c>
      <c r="L690" t="s">
        <v>28</v>
      </c>
      <c r="M690" t="s">
        <v>84</v>
      </c>
      <c r="N690" t="s">
        <v>85</v>
      </c>
      <c r="O690" t="s">
        <v>35</v>
      </c>
      <c r="P690">
        <v>5</v>
      </c>
      <c r="Q690" s="2">
        <f>Ventas[[#This Row],[precio_base]]*Ventas[[#This Row],[cantidad]]</f>
        <v>599.96</v>
      </c>
      <c r="R690" s="2">
        <f>Ventas[[#This Row],[Total bruto (antes de descuento)]]-Ventas[[#This Row],[total_venta]]</f>
        <v>120.00000000000006</v>
      </c>
    </row>
    <row r="691" spans="1:18" x14ac:dyDescent="0.25">
      <c r="A691" t="s">
        <v>784</v>
      </c>
      <c r="B691" s="1">
        <v>44968</v>
      </c>
      <c r="C691" t="s">
        <v>76</v>
      </c>
      <c r="D691" t="s">
        <v>31</v>
      </c>
      <c r="E691">
        <v>1</v>
      </c>
      <c r="F691" s="2">
        <v>69.989999999999995</v>
      </c>
      <c r="G691">
        <v>20</v>
      </c>
      <c r="H691" s="2">
        <v>55.99</v>
      </c>
      <c r="I691" s="2">
        <v>55.99</v>
      </c>
      <c r="J691" t="s">
        <v>19</v>
      </c>
      <c r="K691" t="s">
        <v>57</v>
      </c>
      <c r="L691" t="s">
        <v>21</v>
      </c>
      <c r="M691" t="s">
        <v>22</v>
      </c>
      <c r="N691" t="s">
        <v>23</v>
      </c>
      <c r="O691" t="s">
        <v>24</v>
      </c>
      <c r="P691">
        <v>2</v>
      </c>
      <c r="Q691" s="2">
        <f>Ventas[[#This Row],[precio_base]]*Ventas[[#This Row],[cantidad]]</f>
        <v>69.989999999999995</v>
      </c>
      <c r="R691" s="2">
        <f>Ventas[[#This Row],[Total bruto (antes de descuento)]]-Ventas[[#This Row],[total_venta]]</f>
        <v>13.999999999999993</v>
      </c>
    </row>
    <row r="692" spans="1:18" x14ac:dyDescent="0.25">
      <c r="A692" t="s">
        <v>785</v>
      </c>
      <c r="B692" s="1">
        <v>45471</v>
      </c>
      <c r="C692" t="s">
        <v>109</v>
      </c>
      <c r="D692" t="s">
        <v>38</v>
      </c>
      <c r="E692">
        <v>2</v>
      </c>
      <c r="F692" s="2">
        <v>39.99</v>
      </c>
      <c r="G692">
        <v>0</v>
      </c>
      <c r="H692" s="2">
        <v>39.99</v>
      </c>
      <c r="I692" s="2">
        <v>79.98</v>
      </c>
      <c r="J692" t="s">
        <v>19</v>
      </c>
      <c r="K692" t="s">
        <v>44</v>
      </c>
      <c r="L692" t="s">
        <v>152</v>
      </c>
      <c r="M692" t="s">
        <v>22</v>
      </c>
      <c r="N692" t="s">
        <v>23</v>
      </c>
      <c r="O692" t="s">
        <v>24</v>
      </c>
      <c r="P692">
        <v>5</v>
      </c>
      <c r="Q692" s="2">
        <f>Ventas[[#This Row],[precio_base]]*Ventas[[#This Row],[cantidad]]</f>
        <v>79.98</v>
      </c>
      <c r="R692" s="2">
        <f>Ventas[[#This Row],[Total bruto (antes de descuento)]]-Ventas[[#This Row],[total_venta]]</f>
        <v>0</v>
      </c>
    </row>
    <row r="693" spans="1:18" x14ac:dyDescent="0.25">
      <c r="A693" t="s">
        <v>786</v>
      </c>
      <c r="B693" s="1">
        <v>45498</v>
      </c>
      <c r="C693" t="s">
        <v>37</v>
      </c>
      <c r="D693" t="s">
        <v>38</v>
      </c>
      <c r="E693">
        <v>1</v>
      </c>
      <c r="F693" s="2">
        <v>34.99</v>
      </c>
      <c r="G693">
        <v>20</v>
      </c>
      <c r="H693" s="2">
        <v>27.99</v>
      </c>
      <c r="I693" s="2">
        <v>27.99</v>
      </c>
      <c r="J693" t="s">
        <v>51</v>
      </c>
      <c r="K693" t="s">
        <v>44</v>
      </c>
      <c r="L693" t="s">
        <v>28</v>
      </c>
      <c r="M693" t="s">
        <v>123</v>
      </c>
      <c r="N693" t="s">
        <v>124</v>
      </c>
      <c r="O693" t="s">
        <v>24</v>
      </c>
      <c r="Q693" s="2">
        <f>Ventas[[#This Row],[precio_base]]*Ventas[[#This Row],[cantidad]]</f>
        <v>34.99</v>
      </c>
      <c r="R693" s="2">
        <f>Ventas[[#This Row],[Total bruto (antes de descuento)]]-Ventas[[#This Row],[total_venta]]</f>
        <v>7.0000000000000036</v>
      </c>
    </row>
    <row r="694" spans="1:18" x14ac:dyDescent="0.25">
      <c r="A694" t="s">
        <v>787</v>
      </c>
      <c r="B694" s="1">
        <v>45364</v>
      </c>
      <c r="C694" t="s">
        <v>130</v>
      </c>
      <c r="D694" t="s">
        <v>43</v>
      </c>
      <c r="E694">
        <v>1</v>
      </c>
      <c r="F694" s="2">
        <v>24.99</v>
      </c>
      <c r="G694">
        <v>0</v>
      </c>
      <c r="H694" s="2">
        <v>24.99</v>
      </c>
      <c r="I694" s="2">
        <v>24.99</v>
      </c>
      <c r="J694" t="s">
        <v>51</v>
      </c>
      <c r="K694" t="s">
        <v>20</v>
      </c>
      <c r="L694" t="s">
        <v>21</v>
      </c>
      <c r="M694" t="s">
        <v>65</v>
      </c>
      <c r="N694" t="s">
        <v>54</v>
      </c>
      <c r="O694" t="s">
        <v>35</v>
      </c>
      <c r="Q694" s="2">
        <f>Ventas[[#This Row],[precio_base]]*Ventas[[#This Row],[cantidad]]</f>
        <v>24.99</v>
      </c>
      <c r="R694" s="2">
        <f>Ventas[[#This Row],[Total bruto (antes de descuento)]]-Ventas[[#This Row],[total_venta]]</f>
        <v>0</v>
      </c>
    </row>
    <row r="695" spans="1:18" x14ac:dyDescent="0.25">
      <c r="A695" t="s">
        <v>788</v>
      </c>
      <c r="B695" s="1">
        <v>45088</v>
      </c>
      <c r="C695" t="s">
        <v>50</v>
      </c>
      <c r="D695" t="s">
        <v>27</v>
      </c>
      <c r="E695">
        <v>5</v>
      </c>
      <c r="F695" s="2">
        <v>149.99</v>
      </c>
      <c r="G695">
        <v>5</v>
      </c>
      <c r="H695" s="2">
        <v>142.49</v>
      </c>
      <c r="I695" s="2">
        <v>712.45</v>
      </c>
      <c r="J695" t="s">
        <v>90</v>
      </c>
      <c r="K695" t="s">
        <v>20</v>
      </c>
      <c r="L695" t="s">
        <v>152</v>
      </c>
      <c r="M695" t="s">
        <v>53</v>
      </c>
      <c r="N695" t="s">
        <v>54</v>
      </c>
      <c r="O695" t="s">
        <v>35</v>
      </c>
      <c r="Q695" s="2">
        <f>Ventas[[#This Row],[precio_base]]*Ventas[[#This Row],[cantidad]]</f>
        <v>749.95</v>
      </c>
      <c r="R695" s="2">
        <f>Ventas[[#This Row],[Total bruto (antes de descuento)]]-Ventas[[#This Row],[total_venta]]</f>
        <v>37.5</v>
      </c>
    </row>
    <row r="696" spans="1:18" x14ac:dyDescent="0.25">
      <c r="A696" t="s">
        <v>789</v>
      </c>
      <c r="B696" s="1">
        <v>45259</v>
      </c>
      <c r="C696" t="s">
        <v>42</v>
      </c>
      <c r="D696" t="s">
        <v>43</v>
      </c>
      <c r="E696">
        <v>3</v>
      </c>
      <c r="F696" s="2">
        <v>349.99</v>
      </c>
      <c r="G696">
        <v>5</v>
      </c>
      <c r="H696" s="2">
        <v>332.49</v>
      </c>
      <c r="I696" s="2">
        <v>997.47</v>
      </c>
      <c r="J696" t="s">
        <v>51</v>
      </c>
      <c r="K696" t="s">
        <v>52</v>
      </c>
      <c r="L696" t="s">
        <v>21</v>
      </c>
      <c r="M696" t="s">
        <v>120</v>
      </c>
      <c r="N696" t="s">
        <v>23</v>
      </c>
      <c r="O696" t="s">
        <v>24</v>
      </c>
      <c r="Q696" s="2">
        <f>Ventas[[#This Row],[precio_base]]*Ventas[[#This Row],[cantidad]]</f>
        <v>1049.97</v>
      </c>
      <c r="R696" s="2">
        <f>Ventas[[#This Row],[Total bruto (antes de descuento)]]-Ventas[[#This Row],[total_venta]]</f>
        <v>52.5</v>
      </c>
    </row>
    <row r="697" spans="1:18" x14ac:dyDescent="0.25">
      <c r="A697" t="s">
        <v>790</v>
      </c>
      <c r="B697" s="1">
        <v>45173</v>
      </c>
      <c r="C697" t="s">
        <v>26</v>
      </c>
      <c r="D697" t="s">
        <v>27</v>
      </c>
      <c r="E697">
        <v>5</v>
      </c>
      <c r="F697" s="2">
        <v>399.99</v>
      </c>
      <c r="G697">
        <v>0</v>
      </c>
      <c r="H697" s="2">
        <v>399.99</v>
      </c>
      <c r="I697" s="2">
        <v>1999.95</v>
      </c>
      <c r="J697" t="s">
        <v>19</v>
      </c>
      <c r="K697" t="s">
        <v>52</v>
      </c>
      <c r="L697" t="s">
        <v>21</v>
      </c>
      <c r="M697" t="s">
        <v>65</v>
      </c>
      <c r="N697" t="s">
        <v>54</v>
      </c>
      <c r="O697" t="s">
        <v>35</v>
      </c>
      <c r="P697">
        <v>4</v>
      </c>
      <c r="Q697" s="2">
        <f>Ventas[[#This Row],[precio_base]]*Ventas[[#This Row],[cantidad]]</f>
        <v>1999.95</v>
      </c>
      <c r="R697" s="2">
        <f>Ventas[[#This Row],[Total bruto (antes de descuento)]]-Ventas[[#This Row],[total_venta]]</f>
        <v>0</v>
      </c>
    </row>
    <row r="698" spans="1:18" x14ac:dyDescent="0.25">
      <c r="A698" t="s">
        <v>791</v>
      </c>
      <c r="B698" s="1">
        <v>45385</v>
      </c>
      <c r="C698" t="s">
        <v>109</v>
      </c>
      <c r="D698" t="s">
        <v>38</v>
      </c>
      <c r="E698">
        <v>1</v>
      </c>
      <c r="F698" s="2">
        <v>39.99</v>
      </c>
      <c r="G698">
        <v>15</v>
      </c>
      <c r="H698" s="2">
        <v>33.99</v>
      </c>
      <c r="I698" s="2">
        <v>33.99</v>
      </c>
      <c r="J698" t="s">
        <v>19</v>
      </c>
      <c r="K698" t="s">
        <v>44</v>
      </c>
      <c r="L698" t="s">
        <v>45</v>
      </c>
      <c r="M698" t="s">
        <v>58</v>
      </c>
      <c r="N698" t="s">
        <v>59</v>
      </c>
      <c r="O698" t="s">
        <v>24</v>
      </c>
      <c r="P698">
        <v>3</v>
      </c>
      <c r="Q698" s="2">
        <f>Ventas[[#This Row],[precio_base]]*Ventas[[#This Row],[cantidad]]</f>
        <v>39.99</v>
      </c>
      <c r="R698" s="2">
        <f>Ventas[[#This Row],[Total bruto (antes de descuento)]]-Ventas[[#This Row],[total_venta]]</f>
        <v>6</v>
      </c>
    </row>
    <row r="699" spans="1:18" x14ac:dyDescent="0.25">
      <c r="A699" t="s">
        <v>792</v>
      </c>
      <c r="B699" s="1">
        <v>44933</v>
      </c>
      <c r="C699" t="s">
        <v>83</v>
      </c>
      <c r="D699" t="s">
        <v>38</v>
      </c>
      <c r="E699">
        <v>2</v>
      </c>
      <c r="F699" s="2">
        <v>49.99</v>
      </c>
      <c r="G699">
        <v>0</v>
      </c>
      <c r="H699" s="2">
        <v>49.99</v>
      </c>
      <c r="I699" s="2">
        <v>99.98</v>
      </c>
      <c r="J699" t="s">
        <v>62</v>
      </c>
      <c r="K699" t="s">
        <v>52</v>
      </c>
      <c r="L699" t="s">
        <v>152</v>
      </c>
      <c r="M699" t="s">
        <v>46</v>
      </c>
      <c r="N699" t="s">
        <v>47</v>
      </c>
      <c r="O699" t="s">
        <v>48</v>
      </c>
      <c r="Q699" s="2">
        <f>Ventas[[#This Row],[precio_base]]*Ventas[[#This Row],[cantidad]]</f>
        <v>99.98</v>
      </c>
      <c r="R699" s="2">
        <f>Ventas[[#This Row],[Total bruto (antes de descuento)]]-Ventas[[#This Row],[total_venta]]</f>
        <v>0</v>
      </c>
    </row>
    <row r="700" spans="1:18" x14ac:dyDescent="0.25">
      <c r="A700" t="s">
        <v>793</v>
      </c>
      <c r="B700" s="1">
        <v>45209</v>
      </c>
      <c r="C700" t="s">
        <v>122</v>
      </c>
      <c r="D700" t="s">
        <v>43</v>
      </c>
      <c r="E700">
        <v>5</v>
      </c>
      <c r="F700" s="2">
        <v>44.99</v>
      </c>
      <c r="G700">
        <v>10</v>
      </c>
      <c r="H700" s="2">
        <v>40.49</v>
      </c>
      <c r="I700" s="2">
        <v>202.45</v>
      </c>
      <c r="J700" t="s">
        <v>19</v>
      </c>
      <c r="K700" t="s">
        <v>44</v>
      </c>
      <c r="L700" t="s">
        <v>21</v>
      </c>
      <c r="M700" t="s">
        <v>53</v>
      </c>
      <c r="N700" t="s">
        <v>54</v>
      </c>
      <c r="O700" t="s">
        <v>35</v>
      </c>
      <c r="P700">
        <v>4</v>
      </c>
      <c r="Q700" s="2">
        <f>Ventas[[#This Row],[precio_base]]*Ventas[[#This Row],[cantidad]]</f>
        <v>224.95000000000002</v>
      </c>
      <c r="R700" s="2">
        <f>Ventas[[#This Row],[Total bruto (antes de descuento)]]-Ventas[[#This Row],[total_venta]]</f>
        <v>22.500000000000028</v>
      </c>
    </row>
    <row r="701" spans="1:18" x14ac:dyDescent="0.25">
      <c r="A701" t="s">
        <v>794</v>
      </c>
      <c r="B701" s="1">
        <v>45291</v>
      </c>
      <c r="C701" t="s">
        <v>78</v>
      </c>
      <c r="D701" t="s">
        <v>18</v>
      </c>
      <c r="E701">
        <v>2</v>
      </c>
      <c r="F701" s="2">
        <v>349.99</v>
      </c>
      <c r="G701">
        <v>0</v>
      </c>
      <c r="H701" s="2">
        <v>349.99</v>
      </c>
      <c r="I701" s="2">
        <v>699.98</v>
      </c>
      <c r="J701" t="s">
        <v>19</v>
      </c>
      <c r="K701" t="s">
        <v>20</v>
      </c>
      <c r="L701" t="s">
        <v>21</v>
      </c>
      <c r="M701" t="s">
        <v>33</v>
      </c>
      <c r="N701" t="s">
        <v>34</v>
      </c>
      <c r="O701" t="s">
        <v>35</v>
      </c>
      <c r="P701">
        <v>3</v>
      </c>
      <c r="Q701" s="2">
        <f>Ventas[[#This Row],[precio_base]]*Ventas[[#This Row],[cantidad]]</f>
        <v>699.98</v>
      </c>
      <c r="R701" s="2">
        <f>Ventas[[#This Row],[Total bruto (antes de descuento)]]-Ventas[[#This Row],[total_venta]]</f>
        <v>0</v>
      </c>
    </row>
    <row r="702" spans="1:18" x14ac:dyDescent="0.25">
      <c r="A702" t="s">
        <v>795</v>
      </c>
      <c r="B702" s="1">
        <v>45021</v>
      </c>
      <c r="C702" t="s">
        <v>26</v>
      </c>
      <c r="D702" t="s">
        <v>27</v>
      </c>
      <c r="E702">
        <v>4</v>
      </c>
      <c r="F702" s="2">
        <v>399.99</v>
      </c>
      <c r="G702">
        <v>10</v>
      </c>
      <c r="H702" s="2">
        <v>359.99</v>
      </c>
      <c r="I702" s="2">
        <v>1439.96</v>
      </c>
      <c r="J702" t="s">
        <v>90</v>
      </c>
      <c r="K702" t="s">
        <v>20</v>
      </c>
      <c r="L702" t="s">
        <v>21</v>
      </c>
      <c r="M702" t="s">
        <v>84</v>
      </c>
      <c r="N702" t="s">
        <v>85</v>
      </c>
      <c r="O702" t="s">
        <v>35</v>
      </c>
      <c r="Q702" s="2">
        <f>Ventas[[#This Row],[precio_base]]*Ventas[[#This Row],[cantidad]]</f>
        <v>1599.96</v>
      </c>
      <c r="R702" s="2">
        <f>Ventas[[#This Row],[Total bruto (antes de descuento)]]-Ventas[[#This Row],[total_venta]]</f>
        <v>160</v>
      </c>
    </row>
    <row r="703" spans="1:18" x14ac:dyDescent="0.25">
      <c r="A703" t="s">
        <v>796</v>
      </c>
      <c r="B703" s="1">
        <v>45421</v>
      </c>
      <c r="C703" t="s">
        <v>205</v>
      </c>
      <c r="D703" t="s">
        <v>18</v>
      </c>
      <c r="E703">
        <v>4</v>
      </c>
      <c r="F703" s="2">
        <v>129.99</v>
      </c>
      <c r="G703">
        <v>20</v>
      </c>
      <c r="H703" s="2">
        <v>103.99</v>
      </c>
      <c r="I703" s="2">
        <v>415.96</v>
      </c>
      <c r="J703" t="s">
        <v>62</v>
      </c>
      <c r="K703" t="s">
        <v>44</v>
      </c>
      <c r="L703" t="s">
        <v>152</v>
      </c>
      <c r="M703" t="s">
        <v>84</v>
      </c>
      <c r="N703" t="s">
        <v>85</v>
      </c>
      <c r="O703" t="s">
        <v>35</v>
      </c>
      <c r="Q703" s="2">
        <f>Ventas[[#This Row],[precio_base]]*Ventas[[#This Row],[cantidad]]</f>
        <v>519.96</v>
      </c>
      <c r="R703" s="2">
        <f>Ventas[[#This Row],[Total bruto (antes de descuento)]]-Ventas[[#This Row],[total_venta]]</f>
        <v>104.00000000000006</v>
      </c>
    </row>
    <row r="704" spans="1:18" x14ac:dyDescent="0.25">
      <c r="A704" t="s">
        <v>797</v>
      </c>
      <c r="B704" s="1">
        <v>45536</v>
      </c>
      <c r="C704" t="s">
        <v>72</v>
      </c>
      <c r="D704" t="s">
        <v>31</v>
      </c>
      <c r="E704">
        <v>3</v>
      </c>
      <c r="F704" s="2">
        <v>29.99</v>
      </c>
      <c r="G704">
        <v>0</v>
      </c>
      <c r="H704" s="2">
        <v>29.99</v>
      </c>
      <c r="I704" s="2">
        <v>89.97</v>
      </c>
      <c r="J704" t="s">
        <v>51</v>
      </c>
      <c r="K704" t="s">
        <v>20</v>
      </c>
      <c r="L704" t="s">
        <v>28</v>
      </c>
      <c r="M704" t="s">
        <v>33</v>
      </c>
      <c r="N704" t="s">
        <v>34</v>
      </c>
      <c r="O704" t="s">
        <v>35</v>
      </c>
      <c r="Q704" s="2">
        <f>Ventas[[#This Row],[precio_base]]*Ventas[[#This Row],[cantidad]]</f>
        <v>89.97</v>
      </c>
      <c r="R704" s="2">
        <f>Ventas[[#This Row],[Total bruto (antes de descuento)]]-Ventas[[#This Row],[total_venta]]</f>
        <v>0</v>
      </c>
    </row>
    <row r="705" spans="1:18" x14ac:dyDescent="0.25">
      <c r="A705" t="s">
        <v>798</v>
      </c>
      <c r="B705" s="1">
        <v>45269</v>
      </c>
      <c r="C705" t="s">
        <v>89</v>
      </c>
      <c r="D705" t="s">
        <v>38</v>
      </c>
      <c r="E705">
        <v>4</v>
      </c>
      <c r="F705" s="2">
        <v>69.989999999999995</v>
      </c>
      <c r="G705">
        <v>5</v>
      </c>
      <c r="H705" s="2">
        <v>66.489999999999995</v>
      </c>
      <c r="I705" s="2">
        <v>265.95999999999998</v>
      </c>
      <c r="J705" t="s">
        <v>90</v>
      </c>
      <c r="K705" t="s">
        <v>52</v>
      </c>
      <c r="L705" t="s">
        <v>21</v>
      </c>
      <c r="M705" t="s">
        <v>95</v>
      </c>
      <c r="N705" t="s">
        <v>96</v>
      </c>
      <c r="O705" t="s">
        <v>48</v>
      </c>
      <c r="Q705" s="2">
        <f>Ventas[[#This Row],[precio_base]]*Ventas[[#This Row],[cantidad]]</f>
        <v>279.95999999999998</v>
      </c>
      <c r="R705" s="2">
        <f>Ventas[[#This Row],[Total bruto (antes de descuento)]]-Ventas[[#This Row],[total_venta]]</f>
        <v>14</v>
      </c>
    </row>
    <row r="706" spans="1:18" x14ac:dyDescent="0.25">
      <c r="A706" t="s">
        <v>799</v>
      </c>
      <c r="B706" s="1">
        <v>45595</v>
      </c>
      <c r="C706" t="s">
        <v>42</v>
      </c>
      <c r="D706" t="s">
        <v>43</v>
      </c>
      <c r="E706">
        <v>5</v>
      </c>
      <c r="F706" s="2">
        <v>349.99</v>
      </c>
      <c r="G706">
        <v>0</v>
      </c>
      <c r="H706" s="2">
        <v>349.99</v>
      </c>
      <c r="I706" s="2">
        <v>1749.95</v>
      </c>
      <c r="J706" t="s">
        <v>51</v>
      </c>
      <c r="K706" t="s">
        <v>20</v>
      </c>
      <c r="L706" t="s">
        <v>21</v>
      </c>
      <c r="M706" t="s">
        <v>73</v>
      </c>
      <c r="N706" t="s">
        <v>74</v>
      </c>
      <c r="O706" t="s">
        <v>35</v>
      </c>
      <c r="Q706" s="2">
        <f>Ventas[[#This Row],[precio_base]]*Ventas[[#This Row],[cantidad]]</f>
        <v>1749.95</v>
      </c>
      <c r="R706" s="2">
        <f>Ventas[[#This Row],[Total bruto (antes de descuento)]]-Ventas[[#This Row],[total_venta]]</f>
        <v>0</v>
      </c>
    </row>
    <row r="707" spans="1:18" x14ac:dyDescent="0.25">
      <c r="A707" t="s">
        <v>800</v>
      </c>
      <c r="B707" s="1">
        <v>44969</v>
      </c>
      <c r="C707" t="s">
        <v>141</v>
      </c>
      <c r="D707" t="s">
        <v>38</v>
      </c>
      <c r="E707">
        <v>5</v>
      </c>
      <c r="F707" s="2">
        <v>89.99</v>
      </c>
      <c r="G707">
        <v>10</v>
      </c>
      <c r="H707" s="2">
        <v>80.989999999999995</v>
      </c>
      <c r="I707" s="2">
        <v>404.95</v>
      </c>
      <c r="J707" t="s">
        <v>19</v>
      </c>
      <c r="K707" t="s">
        <v>44</v>
      </c>
      <c r="L707" t="s">
        <v>21</v>
      </c>
      <c r="M707" t="s">
        <v>65</v>
      </c>
      <c r="N707" t="s">
        <v>54</v>
      </c>
      <c r="O707" t="s">
        <v>35</v>
      </c>
      <c r="P707">
        <v>4</v>
      </c>
      <c r="Q707" s="2">
        <f>Ventas[[#This Row],[precio_base]]*Ventas[[#This Row],[cantidad]]</f>
        <v>449.95</v>
      </c>
      <c r="R707" s="2">
        <f>Ventas[[#This Row],[Total bruto (antes de descuento)]]-Ventas[[#This Row],[total_venta]]</f>
        <v>45</v>
      </c>
    </row>
    <row r="708" spans="1:18" x14ac:dyDescent="0.25">
      <c r="A708" t="s">
        <v>801</v>
      </c>
      <c r="B708" s="1">
        <v>45383</v>
      </c>
      <c r="C708" t="s">
        <v>98</v>
      </c>
      <c r="D708" t="s">
        <v>31</v>
      </c>
      <c r="E708">
        <v>5</v>
      </c>
      <c r="F708" s="2">
        <v>99.99</v>
      </c>
      <c r="G708">
        <v>10</v>
      </c>
      <c r="H708" s="2">
        <v>89.99</v>
      </c>
      <c r="I708" s="2">
        <v>449.95</v>
      </c>
      <c r="J708" t="s">
        <v>19</v>
      </c>
      <c r="K708" t="s">
        <v>20</v>
      </c>
      <c r="L708" t="s">
        <v>28</v>
      </c>
      <c r="M708" t="s">
        <v>22</v>
      </c>
      <c r="N708" t="s">
        <v>23</v>
      </c>
      <c r="O708" t="s">
        <v>24</v>
      </c>
      <c r="P708">
        <v>2</v>
      </c>
      <c r="Q708" s="2">
        <f>Ventas[[#This Row],[precio_base]]*Ventas[[#This Row],[cantidad]]</f>
        <v>499.95</v>
      </c>
      <c r="R708" s="2">
        <f>Ventas[[#This Row],[Total bruto (antes de descuento)]]-Ventas[[#This Row],[total_venta]]</f>
        <v>50</v>
      </c>
    </row>
    <row r="709" spans="1:18" x14ac:dyDescent="0.25">
      <c r="A709" t="s">
        <v>802</v>
      </c>
      <c r="B709" s="1">
        <v>45062</v>
      </c>
      <c r="C709" t="s">
        <v>141</v>
      </c>
      <c r="D709" t="s">
        <v>38</v>
      </c>
      <c r="E709">
        <v>1</v>
      </c>
      <c r="F709" s="2">
        <v>89.99</v>
      </c>
      <c r="G709">
        <v>5</v>
      </c>
      <c r="H709" s="2">
        <v>85.49</v>
      </c>
      <c r="I709" s="2">
        <v>85.49</v>
      </c>
      <c r="J709" t="s">
        <v>19</v>
      </c>
      <c r="K709" t="s">
        <v>44</v>
      </c>
      <c r="L709" t="s">
        <v>21</v>
      </c>
      <c r="M709" t="s">
        <v>46</v>
      </c>
      <c r="N709" t="s">
        <v>47</v>
      </c>
      <c r="O709" t="s">
        <v>48</v>
      </c>
      <c r="P709">
        <v>4</v>
      </c>
      <c r="Q709" s="2">
        <f>Ventas[[#This Row],[precio_base]]*Ventas[[#This Row],[cantidad]]</f>
        <v>89.99</v>
      </c>
      <c r="R709" s="2">
        <f>Ventas[[#This Row],[Total bruto (antes de descuento)]]-Ventas[[#This Row],[total_venta]]</f>
        <v>4.5</v>
      </c>
    </row>
    <row r="710" spans="1:18" x14ac:dyDescent="0.25">
      <c r="A710" t="s">
        <v>803</v>
      </c>
      <c r="B710" s="1">
        <v>45440</v>
      </c>
      <c r="C710" t="s">
        <v>37</v>
      </c>
      <c r="D710" t="s">
        <v>38</v>
      </c>
      <c r="E710">
        <v>2</v>
      </c>
      <c r="F710" s="2">
        <v>34.99</v>
      </c>
      <c r="G710">
        <v>20</v>
      </c>
      <c r="H710" s="2">
        <v>27.99</v>
      </c>
      <c r="I710" s="2">
        <v>55.98</v>
      </c>
      <c r="J710" t="s">
        <v>19</v>
      </c>
      <c r="K710" t="s">
        <v>20</v>
      </c>
      <c r="L710" t="s">
        <v>45</v>
      </c>
      <c r="M710" t="s">
        <v>65</v>
      </c>
      <c r="N710" t="s">
        <v>54</v>
      </c>
      <c r="O710" t="s">
        <v>35</v>
      </c>
      <c r="P710">
        <v>5</v>
      </c>
      <c r="Q710" s="2">
        <f>Ventas[[#This Row],[precio_base]]*Ventas[[#This Row],[cantidad]]</f>
        <v>69.98</v>
      </c>
      <c r="R710" s="2">
        <f>Ventas[[#This Row],[Total bruto (antes de descuento)]]-Ventas[[#This Row],[total_venta]]</f>
        <v>14.000000000000007</v>
      </c>
    </row>
    <row r="711" spans="1:18" x14ac:dyDescent="0.25">
      <c r="A711" t="s">
        <v>804</v>
      </c>
      <c r="B711" s="1">
        <v>45127</v>
      </c>
      <c r="C711" t="s">
        <v>50</v>
      </c>
      <c r="D711" t="s">
        <v>27</v>
      </c>
      <c r="E711">
        <v>5</v>
      </c>
      <c r="F711" s="2">
        <v>149.99</v>
      </c>
      <c r="G711">
        <v>15</v>
      </c>
      <c r="H711" s="2">
        <v>127.49</v>
      </c>
      <c r="I711" s="2">
        <v>637.45000000000005</v>
      </c>
      <c r="J711" t="s">
        <v>19</v>
      </c>
      <c r="K711" t="s">
        <v>20</v>
      </c>
      <c r="L711" t="s">
        <v>28</v>
      </c>
      <c r="M711" t="s">
        <v>22</v>
      </c>
      <c r="N711" t="s">
        <v>23</v>
      </c>
      <c r="O711" t="s">
        <v>24</v>
      </c>
      <c r="P711">
        <v>3</v>
      </c>
      <c r="Q711" s="2">
        <f>Ventas[[#This Row],[precio_base]]*Ventas[[#This Row],[cantidad]]</f>
        <v>749.95</v>
      </c>
      <c r="R711" s="2">
        <f>Ventas[[#This Row],[Total bruto (antes de descuento)]]-Ventas[[#This Row],[total_venta]]</f>
        <v>112.5</v>
      </c>
    </row>
    <row r="712" spans="1:18" x14ac:dyDescent="0.25">
      <c r="A712" t="s">
        <v>805</v>
      </c>
      <c r="B712" s="1">
        <v>45628</v>
      </c>
      <c r="C712" t="s">
        <v>122</v>
      </c>
      <c r="D712" t="s">
        <v>43</v>
      </c>
      <c r="E712">
        <v>5</v>
      </c>
      <c r="F712" s="2">
        <v>44.99</v>
      </c>
      <c r="G712">
        <v>0</v>
      </c>
      <c r="H712" s="2">
        <v>44.99</v>
      </c>
      <c r="I712" s="2">
        <v>224.95</v>
      </c>
      <c r="J712" t="s">
        <v>19</v>
      </c>
      <c r="K712" t="s">
        <v>20</v>
      </c>
      <c r="L712" t="s">
        <v>21</v>
      </c>
      <c r="M712" t="s">
        <v>120</v>
      </c>
      <c r="N712" t="s">
        <v>23</v>
      </c>
      <c r="O712" t="s">
        <v>24</v>
      </c>
      <c r="P712">
        <v>3</v>
      </c>
      <c r="Q712" s="2">
        <f>Ventas[[#This Row],[precio_base]]*Ventas[[#This Row],[cantidad]]</f>
        <v>224.95000000000002</v>
      </c>
      <c r="R712" s="2">
        <f>Ventas[[#This Row],[Total bruto (antes de descuento)]]-Ventas[[#This Row],[total_venta]]</f>
        <v>0</v>
      </c>
    </row>
    <row r="713" spans="1:18" x14ac:dyDescent="0.25">
      <c r="A713" t="s">
        <v>806</v>
      </c>
      <c r="B713" s="1">
        <v>45279</v>
      </c>
      <c r="C713" t="s">
        <v>156</v>
      </c>
      <c r="D713" t="s">
        <v>27</v>
      </c>
      <c r="E713">
        <v>1</v>
      </c>
      <c r="F713" s="2">
        <v>49.99</v>
      </c>
      <c r="G713">
        <v>20</v>
      </c>
      <c r="H713" s="2">
        <v>39.99</v>
      </c>
      <c r="I713" s="2">
        <v>39.99</v>
      </c>
      <c r="J713" t="s">
        <v>19</v>
      </c>
      <c r="K713" t="s">
        <v>44</v>
      </c>
      <c r="L713" t="s">
        <v>152</v>
      </c>
      <c r="M713" t="s">
        <v>123</v>
      </c>
      <c r="N713" t="s">
        <v>124</v>
      </c>
      <c r="O713" t="s">
        <v>24</v>
      </c>
      <c r="P713">
        <v>4</v>
      </c>
      <c r="Q713" s="2">
        <f>Ventas[[#This Row],[precio_base]]*Ventas[[#This Row],[cantidad]]</f>
        <v>49.99</v>
      </c>
      <c r="R713" s="2">
        <f>Ventas[[#This Row],[Total bruto (antes de descuento)]]-Ventas[[#This Row],[total_venta]]</f>
        <v>10</v>
      </c>
    </row>
    <row r="714" spans="1:18" x14ac:dyDescent="0.25">
      <c r="A714" t="s">
        <v>807</v>
      </c>
      <c r="B714" s="1">
        <v>45565</v>
      </c>
      <c r="C714" t="s">
        <v>78</v>
      </c>
      <c r="D714" t="s">
        <v>18</v>
      </c>
      <c r="E714">
        <v>4</v>
      </c>
      <c r="F714" s="2">
        <v>349.99</v>
      </c>
      <c r="G714">
        <v>0</v>
      </c>
      <c r="H714" s="2">
        <v>349.99</v>
      </c>
      <c r="I714" s="2">
        <v>1399.96</v>
      </c>
      <c r="J714" t="s">
        <v>90</v>
      </c>
      <c r="K714" t="s">
        <v>20</v>
      </c>
      <c r="L714" t="s">
        <v>45</v>
      </c>
      <c r="M714" t="s">
        <v>22</v>
      </c>
      <c r="N714" t="s">
        <v>23</v>
      </c>
      <c r="O714" t="s">
        <v>24</v>
      </c>
      <c r="Q714" s="2">
        <f>Ventas[[#This Row],[precio_base]]*Ventas[[#This Row],[cantidad]]</f>
        <v>1399.96</v>
      </c>
      <c r="R714" s="2">
        <f>Ventas[[#This Row],[Total bruto (antes de descuento)]]-Ventas[[#This Row],[total_venta]]</f>
        <v>0</v>
      </c>
    </row>
    <row r="715" spans="1:18" x14ac:dyDescent="0.25">
      <c r="A715" t="s">
        <v>808</v>
      </c>
      <c r="B715" s="1">
        <v>45014</v>
      </c>
      <c r="C715" t="s">
        <v>17</v>
      </c>
      <c r="D715" t="s">
        <v>18</v>
      </c>
      <c r="E715">
        <v>1</v>
      </c>
      <c r="F715" s="2">
        <v>45.99</v>
      </c>
      <c r="G715">
        <v>0</v>
      </c>
      <c r="H715" s="2">
        <v>45.99</v>
      </c>
      <c r="I715" s="2">
        <v>45.99</v>
      </c>
      <c r="J715" t="s">
        <v>90</v>
      </c>
      <c r="K715" t="s">
        <v>20</v>
      </c>
      <c r="L715" t="s">
        <v>32</v>
      </c>
      <c r="M715" t="s">
        <v>53</v>
      </c>
      <c r="N715" t="s">
        <v>54</v>
      </c>
      <c r="O715" t="s">
        <v>35</v>
      </c>
      <c r="Q715" s="2">
        <f>Ventas[[#This Row],[precio_base]]*Ventas[[#This Row],[cantidad]]</f>
        <v>45.99</v>
      </c>
      <c r="R715" s="2">
        <f>Ventas[[#This Row],[Total bruto (antes de descuento)]]-Ventas[[#This Row],[total_venta]]</f>
        <v>0</v>
      </c>
    </row>
    <row r="716" spans="1:18" x14ac:dyDescent="0.25">
      <c r="A716" t="s">
        <v>809</v>
      </c>
      <c r="B716" s="1">
        <v>45221</v>
      </c>
      <c r="C716" t="s">
        <v>104</v>
      </c>
      <c r="D716" t="s">
        <v>18</v>
      </c>
      <c r="E716">
        <v>3</v>
      </c>
      <c r="F716" s="2">
        <v>1199.99</v>
      </c>
      <c r="G716">
        <v>15</v>
      </c>
      <c r="H716" s="2">
        <v>1019.99</v>
      </c>
      <c r="I716" s="2">
        <v>3059.97</v>
      </c>
      <c r="J716" t="s">
        <v>62</v>
      </c>
      <c r="K716" t="s">
        <v>44</v>
      </c>
      <c r="L716" t="s">
        <v>21</v>
      </c>
      <c r="M716" t="s">
        <v>58</v>
      </c>
      <c r="N716" t="s">
        <v>59</v>
      </c>
      <c r="O716" t="s">
        <v>24</v>
      </c>
      <c r="Q716" s="2">
        <f>Ventas[[#This Row],[precio_base]]*Ventas[[#This Row],[cantidad]]</f>
        <v>3599.9700000000003</v>
      </c>
      <c r="R716" s="2">
        <f>Ventas[[#This Row],[Total bruto (antes de descuento)]]-Ventas[[#This Row],[total_venta]]</f>
        <v>540.00000000000045</v>
      </c>
    </row>
    <row r="717" spans="1:18" x14ac:dyDescent="0.25">
      <c r="A717" t="s">
        <v>810</v>
      </c>
      <c r="B717" s="1">
        <v>45141</v>
      </c>
      <c r="C717" t="s">
        <v>76</v>
      </c>
      <c r="D717" t="s">
        <v>31</v>
      </c>
      <c r="E717">
        <v>5</v>
      </c>
      <c r="F717" s="2">
        <v>69.989999999999995</v>
      </c>
      <c r="G717">
        <v>0</v>
      </c>
      <c r="H717" s="2">
        <v>69.989999999999995</v>
      </c>
      <c r="I717" s="2">
        <v>349.95</v>
      </c>
      <c r="J717" t="s">
        <v>19</v>
      </c>
      <c r="K717" t="s">
        <v>52</v>
      </c>
      <c r="L717" t="s">
        <v>45</v>
      </c>
      <c r="M717" t="s">
        <v>65</v>
      </c>
      <c r="N717" t="s">
        <v>54</v>
      </c>
      <c r="O717" t="s">
        <v>35</v>
      </c>
      <c r="P717">
        <v>5</v>
      </c>
      <c r="Q717" s="2">
        <f>Ventas[[#This Row],[precio_base]]*Ventas[[#This Row],[cantidad]]</f>
        <v>349.95</v>
      </c>
      <c r="R717" s="2">
        <f>Ventas[[#This Row],[Total bruto (antes de descuento)]]-Ventas[[#This Row],[total_venta]]</f>
        <v>0</v>
      </c>
    </row>
    <row r="718" spans="1:18" x14ac:dyDescent="0.25">
      <c r="A718" t="s">
        <v>811</v>
      </c>
      <c r="B718" s="1">
        <v>45071</v>
      </c>
      <c r="C718" t="s">
        <v>30</v>
      </c>
      <c r="D718" t="s">
        <v>31</v>
      </c>
      <c r="E718">
        <v>1</v>
      </c>
      <c r="F718" s="2">
        <v>299.99</v>
      </c>
      <c r="G718">
        <v>5</v>
      </c>
      <c r="H718" s="2">
        <v>284.99</v>
      </c>
      <c r="I718" s="2">
        <v>284.99</v>
      </c>
      <c r="J718" t="s">
        <v>19</v>
      </c>
      <c r="K718" t="s">
        <v>44</v>
      </c>
      <c r="L718" t="s">
        <v>21</v>
      </c>
      <c r="M718" t="s">
        <v>73</v>
      </c>
      <c r="N718" t="s">
        <v>74</v>
      </c>
      <c r="O718" t="s">
        <v>35</v>
      </c>
      <c r="P718">
        <v>1</v>
      </c>
      <c r="Q718" s="2">
        <f>Ventas[[#This Row],[precio_base]]*Ventas[[#This Row],[cantidad]]</f>
        <v>299.99</v>
      </c>
      <c r="R718" s="2">
        <f>Ventas[[#This Row],[Total bruto (antes de descuento)]]-Ventas[[#This Row],[total_venta]]</f>
        <v>15</v>
      </c>
    </row>
    <row r="719" spans="1:18" x14ac:dyDescent="0.25">
      <c r="A719" t="s">
        <v>812</v>
      </c>
      <c r="B719" s="1">
        <v>45217</v>
      </c>
      <c r="C719" t="s">
        <v>115</v>
      </c>
      <c r="D719" t="s">
        <v>18</v>
      </c>
      <c r="E719">
        <v>5</v>
      </c>
      <c r="F719" s="2">
        <v>799.99</v>
      </c>
      <c r="G719">
        <v>0</v>
      </c>
      <c r="H719" s="2">
        <v>799.99</v>
      </c>
      <c r="I719" s="2">
        <v>3999.95</v>
      </c>
      <c r="J719" t="s">
        <v>19</v>
      </c>
      <c r="K719" t="s">
        <v>52</v>
      </c>
      <c r="L719" t="s">
        <v>21</v>
      </c>
      <c r="M719" t="s">
        <v>73</v>
      </c>
      <c r="N719" t="s">
        <v>74</v>
      </c>
      <c r="O719" t="s">
        <v>35</v>
      </c>
      <c r="P719">
        <v>3</v>
      </c>
      <c r="Q719" s="2">
        <f>Ventas[[#This Row],[precio_base]]*Ventas[[#This Row],[cantidad]]</f>
        <v>3999.95</v>
      </c>
      <c r="R719" s="2">
        <f>Ventas[[#This Row],[Total bruto (antes de descuento)]]-Ventas[[#This Row],[total_venta]]</f>
        <v>0</v>
      </c>
    </row>
    <row r="720" spans="1:18" x14ac:dyDescent="0.25">
      <c r="A720" t="s">
        <v>813</v>
      </c>
      <c r="B720" s="1">
        <v>45605</v>
      </c>
      <c r="C720" t="s">
        <v>42</v>
      </c>
      <c r="D720" t="s">
        <v>43</v>
      </c>
      <c r="E720">
        <v>3</v>
      </c>
      <c r="F720" s="2">
        <v>349.99</v>
      </c>
      <c r="G720">
        <v>20</v>
      </c>
      <c r="H720" s="2">
        <v>279.99</v>
      </c>
      <c r="I720" s="2">
        <v>839.97</v>
      </c>
      <c r="J720" t="s">
        <v>19</v>
      </c>
      <c r="K720" t="s">
        <v>52</v>
      </c>
      <c r="L720" t="s">
        <v>28</v>
      </c>
      <c r="M720" t="s">
        <v>58</v>
      </c>
      <c r="N720" t="s">
        <v>59</v>
      </c>
      <c r="O720" t="s">
        <v>24</v>
      </c>
      <c r="P720">
        <v>2</v>
      </c>
      <c r="Q720" s="2">
        <f>Ventas[[#This Row],[precio_base]]*Ventas[[#This Row],[cantidad]]</f>
        <v>1049.97</v>
      </c>
      <c r="R720" s="2">
        <f>Ventas[[#This Row],[Total bruto (antes de descuento)]]-Ventas[[#This Row],[total_venta]]</f>
        <v>210</v>
      </c>
    </row>
    <row r="721" spans="1:18" x14ac:dyDescent="0.25">
      <c r="A721" t="s">
        <v>814</v>
      </c>
      <c r="B721" s="1">
        <v>45316</v>
      </c>
      <c r="C721" t="s">
        <v>87</v>
      </c>
      <c r="D721" t="s">
        <v>27</v>
      </c>
      <c r="E721">
        <v>1</v>
      </c>
      <c r="F721" s="2">
        <v>249.99</v>
      </c>
      <c r="G721">
        <v>0</v>
      </c>
      <c r="H721" s="2">
        <v>249.99</v>
      </c>
      <c r="I721" s="2">
        <v>249.99</v>
      </c>
      <c r="J721" t="s">
        <v>19</v>
      </c>
      <c r="K721" t="s">
        <v>44</v>
      </c>
      <c r="L721" t="s">
        <v>21</v>
      </c>
      <c r="M721" t="s">
        <v>33</v>
      </c>
      <c r="N721" t="s">
        <v>34</v>
      </c>
      <c r="O721" t="s">
        <v>35</v>
      </c>
      <c r="P721">
        <v>5</v>
      </c>
      <c r="Q721" s="2">
        <f>Ventas[[#This Row],[precio_base]]*Ventas[[#This Row],[cantidad]]</f>
        <v>249.99</v>
      </c>
      <c r="R721" s="2">
        <f>Ventas[[#This Row],[Total bruto (antes de descuento)]]-Ventas[[#This Row],[total_venta]]</f>
        <v>0</v>
      </c>
    </row>
    <row r="722" spans="1:18" x14ac:dyDescent="0.25">
      <c r="A722" t="s">
        <v>815</v>
      </c>
      <c r="B722" s="1">
        <v>45395</v>
      </c>
      <c r="C722" t="s">
        <v>50</v>
      </c>
      <c r="D722" t="s">
        <v>27</v>
      </c>
      <c r="E722">
        <v>1</v>
      </c>
      <c r="F722" s="2">
        <v>149.99</v>
      </c>
      <c r="G722">
        <v>0</v>
      </c>
      <c r="H722" s="2">
        <v>149.99</v>
      </c>
      <c r="I722" s="2">
        <v>149.99</v>
      </c>
      <c r="J722" t="s">
        <v>19</v>
      </c>
      <c r="K722" t="s">
        <v>20</v>
      </c>
      <c r="L722" t="s">
        <v>45</v>
      </c>
      <c r="M722" t="s">
        <v>65</v>
      </c>
      <c r="N722" t="s">
        <v>54</v>
      </c>
      <c r="O722" t="s">
        <v>35</v>
      </c>
      <c r="P722">
        <v>2</v>
      </c>
      <c r="Q722" s="2">
        <f>Ventas[[#This Row],[precio_base]]*Ventas[[#This Row],[cantidad]]</f>
        <v>149.99</v>
      </c>
      <c r="R722" s="2">
        <f>Ventas[[#This Row],[Total bruto (antes de descuento)]]-Ventas[[#This Row],[total_venta]]</f>
        <v>0</v>
      </c>
    </row>
    <row r="723" spans="1:18" x14ac:dyDescent="0.25">
      <c r="A723" t="s">
        <v>816</v>
      </c>
      <c r="B723" s="1">
        <v>44945</v>
      </c>
      <c r="C723" t="s">
        <v>89</v>
      </c>
      <c r="D723" t="s">
        <v>38</v>
      </c>
      <c r="E723">
        <v>3</v>
      </c>
      <c r="F723" s="2">
        <v>69.989999999999995</v>
      </c>
      <c r="G723">
        <v>0</v>
      </c>
      <c r="H723" s="2">
        <v>69.989999999999995</v>
      </c>
      <c r="I723" s="2">
        <v>209.97</v>
      </c>
      <c r="J723" t="s">
        <v>51</v>
      </c>
      <c r="K723" t="s">
        <v>57</v>
      </c>
      <c r="L723" t="s">
        <v>152</v>
      </c>
      <c r="M723" t="s">
        <v>22</v>
      </c>
      <c r="N723" t="s">
        <v>23</v>
      </c>
      <c r="O723" t="s">
        <v>24</v>
      </c>
      <c r="Q723" s="2">
        <f>Ventas[[#This Row],[precio_base]]*Ventas[[#This Row],[cantidad]]</f>
        <v>209.96999999999997</v>
      </c>
      <c r="R723" s="2">
        <f>Ventas[[#This Row],[Total bruto (antes de descuento)]]-Ventas[[#This Row],[total_venta]]</f>
        <v>0</v>
      </c>
    </row>
    <row r="724" spans="1:18" x14ac:dyDescent="0.25">
      <c r="A724" t="s">
        <v>817</v>
      </c>
      <c r="B724" s="1">
        <v>45209</v>
      </c>
      <c r="C724" t="s">
        <v>70</v>
      </c>
      <c r="D724" t="s">
        <v>31</v>
      </c>
      <c r="E724">
        <v>1</v>
      </c>
      <c r="F724" s="2">
        <v>59.99</v>
      </c>
      <c r="G724">
        <v>15</v>
      </c>
      <c r="H724" s="2">
        <v>50.99</v>
      </c>
      <c r="I724" s="2">
        <v>50.99</v>
      </c>
      <c r="J724" t="s">
        <v>19</v>
      </c>
      <c r="K724" t="s">
        <v>52</v>
      </c>
      <c r="L724" t="s">
        <v>32</v>
      </c>
      <c r="M724" t="s">
        <v>120</v>
      </c>
      <c r="N724" t="s">
        <v>23</v>
      </c>
      <c r="O724" t="s">
        <v>24</v>
      </c>
      <c r="P724">
        <v>1</v>
      </c>
      <c r="Q724" s="2">
        <f>Ventas[[#This Row],[precio_base]]*Ventas[[#This Row],[cantidad]]</f>
        <v>59.99</v>
      </c>
      <c r="R724" s="2">
        <f>Ventas[[#This Row],[Total bruto (antes de descuento)]]-Ventas[[#This Row],[total_venta]]</f>
        <v>9</v>
      </c>
    </row>
    <row r="725" spans="1:18" x14ac:dyDescent="0.25">
      <c r="A725" t="s">
        <v>818</v>
      </c>
      <c r="B725" s="1">
        <v>45495</v>
      </c>
      <c r="C725" t="s">
        <v>61</v>
      </c>
      <c r="D725" t="s">
        <v>38</v>
      </c>
      <c r="E725">
        <v>2</v>
      </c>
      <c r="F725" s="2">
        <v>19.989999999999998</v>
      </c>
      <c r="G725">
        <v>0</v>
      </c>
      <c r="H725" s="2">
        <v>19.989999999999998</v>
      </c>
      <c r="I725" s="2">
        <v>39.979999999999997</v>
      </c>
      <c r="J725" t="s">
        <v>19</v>
      </c>
      <c r="K725" t="s">
        <v>44</v>
      </c>
      <c r="L725" t="s">
        <v>21</v>
      </c>
      <c r="M725" t="s">
        <v>120</v>
      </c>
      <c r="N725" t="s">
        <v>23</v>
      </c>
      <c r="O725" t="s">
        <v>24</v>
      </c>
      <c r="P725">
        <v>4</v>
      </c>
      <c r="Q725" s="2">
        <f>Ventas[[#This Row],[precio_base]]*Ventas[[#This Row],[cantidad]]</f>
        <v>39.979999999999997</v>
      </c>
      <c r="R725" s="2">
        <f>Ventas[[#This Row],[Total bruto (antes de descuento)]]-Ventas[[#This Row],[total_venta]]</f>
        <v>0</v>
      </c>
    </row>
    <row r="726" spans="1:18" x14ac:dyDescent="0.25">
      <c r="A726" t="s">
        <v>819</v>
      </c>
      <c r="B726" s="1">
        <v>45460</v>
      </c>
      <c r="C726" t="s">
        <v>81</v>
      </c>
      <c r="D726" t="s">
        <v>31</v>
      </c>
      <c r="E726">
        <v>5</v>
      </c>
      <c r="F726" s="2">
        <v>189.99</v>
      </c>
      <c r="G726">
        <v>20</v>
      </c>
      <c r="H726" s="2">
        <v>151.99</v>
      </c>
      <c r="I726" s="2">
        <v>759.95</v>
      </c>
      <c r="J726" t="s">
        <v>51</v>
      </c>
      <c r="K726" t="s">
        <v>20</v>
      </c>
      <c r="L726" t="s">
        <v>45</v>
      </c>
      <c r="M726" t="s">
        <v>22</v>
      </c>
      <c r="N726" t="s">
        <v>23</v>
      </c>
      <c r="O726" t="s">
        <v>24</v>
      </c>
      <c r="Q726" s="2">
        <f>Ventas[[#This Row],[precio_base]]*Ventas[[#This Row],[cantidad]]</f>
        <v>949.95</v>
      </c>
      <c r="R726" s="2">
        <f>Ventas[[#This Row],[Total bruto (antes de descuento)]]-Ventas[[#This Row],[total_venta]]</f>
        <v>190</v>
      </c>
    </row>
    <row r="727" spans="1:18" x14ac:dyDescent="0.25">
      <c r="A727" t="s">
        <v>820</v>
      </c>
      <c r="B727" s="1">
        <v>45363</v>
      </c>
      <c r="C727" t="s">
        <v>83</v>
      </c>
      <c r="D727" t="s">
        <v>38</v>
      </c>
      <c r="E727">
        <v>5</v>
      </c>
      <c r="F727" s="2">
        <v>49.99</v>
      </c>
      <c r="G727">
        <v>0</v>
      </c>
      <c r="H727" s="2">
        <v>49.99</v>
      </c>
      <c r="I727" s="2">
        <v>249.95</v>
      </c>
      <c r="J727" t="s">
        <v>19</v>
      </c>
      <c r="K727" t="s">
        <v>20</v>
      </c>
      <c r="L727" t="s">
        <v>21</v>
      </c>
      <c r="M727" t="s">
        <v>63</v>
      </c>
      <c r="N727" t="s">
        <v>34</v>
      </c>
      <c r="O727" t="s">
        <v>24</v>
      </c>
      <c r="P727">
        <v>5</v>
      </c>
      <c r="Q727" s="2">
        <f>Ventas[[#This Row],[precio_base]]*Ventas[[#This Row],[cantidad]]</f>
        <v>249.95000000000002</v>
      </c>
      <c r="R727" s="2">
        <f>Ventas[[#This Row],[Total bruto (antes de descuento)]]-Ventas[[#This Row],[total_venta]]</f>
        <v>0</v>
      </c>
    </row>
    <row r="728" spans="1:18" x14ac:dyDescent="0.25">
      <c r="A728" t="s">
        <v>821</v>
      </c>
      <c r="B728" s="1">
        <v>45627</v>
      </c>
      <c r="C728" t="s">
        <v>70</v>
      </c>
      <c r="D728" t="s">
        <v>31</v>
      </c>
      <c r="E728">
        <v>2</v>
      </c>
      <c r="F728" s="2">
        <v>59.99</v>
      </c>
      <c r="G728">
        <v>20</v>
      </c>
      <c r="H728" s="2">
        <v>47.99</v>
      </c>
      <c r="I728" s="2">
        <v>95.98</v>
      </c>
      <c r="J728" t="s">
        <v>19</v>
      </c>
      <c r="K728" t="s">
        <v>44</v>
      </c>
      <c r="L728" t="s">
        <v>45</v>
      </c>
      <c r="M728" t="s">
        <v>84</v>
      </c>
      <c r="N728" t="s">
        <v>85</v>
      </c>
      <c r="O728" t="s">
        <v>35</v>
      </c>
      <c r="P728">
        <v>2</v>
      </c>
      <c r="Q728" s="2">
        <f>Ventas[[#This Row],[precio_base]]*Ventas[[#This Row],[cantidad]]</f>
        <v>119.98</v>
      </c>
      <c r="R728" s="2">
        <f>Ventas[[#This Row],[Total bruto (antes de descuento)]]-Ventas[[#This Row],[total_venta]]</f>
        <v>24</v>
      </c>
    </row>
    <row r="729" spans="1:18" x14ac:dyDescent="0.25">
      <c r="A729" t="s">
        <v>822</v>
      </c>
      <c r="B729" s="1">
        <v>45367</v>
      </c>
      <c r="C729" t="s">
        <v>122</v>
      </c>
      <c r="D729" t="s">
        <v>43</v>
      </c>
      <c r="E729">
        <v>2</v>
      </c>
      <c r="F729" s="2">
        <v>44.99</v>
      </c>
      <c r="G729">
        <v>15</v>
      </c>
      <c r="H729" s="2">
        <v>38.24</v>
      </c>
      <c r="I729" s="2">
        <v>76.48</v>
      </c>
      <c r="J729" t="s">
        <v>90</v>
      </c>
      <c r="K729" t="s">
        <v>20</v>
      </c>
      <c r="L729" t="s">
        <v>21</v>
      </c>
      <c r="M729" t="s">
        <v>53</v>
      </c>
      <c r="N729" t="s">
        <v>54</v>
      </c>
      <c r="O729" t="s">
        <v>35</v>
      </c>
      <c r="Q729" s="2">
        <f>Ventas[[#This Row],[precio_base]]*Ventas[[#This Row],[cantidad]]</f>
        <v>89.98</v>
      </c>
      <c r="R729" s="2">
        <f>Ventas[[#This Row],[Total bruto (antes de descuento)]]-Ventas[[#This Row],[total_venta]]</f>
        <v>13.5</v>
      </c>
    </row>
    <row r="730" spans="1:18" x14ac:dyDescent="0.25">
      <c r="A730" t="s">
        <v>823</v>
      </c>
      <c r="B730" s="1">
        <v>45472</v>
      </c>
      <c r="C730" t="s">
        <v>76</v>
      </c>
      <c r="D730" t="s">
        <v>31</v>
      </c>
      <c r="E730">
        <v>1</v>
      </c>
      <c r="F730" s="2">
        <v>69.989999999999995</v>
      </c>
      <c r="G730">
        <v>0</v>
      </c>
      <c r="H730" s="2">
        <v>69.989999999999995</v>
      </c>
      <c r="I730" s="2">
        <v>69.989999999999995</v>
      </c>
      <c r="J730" t="s">
        <v>19</v>
      </c>
      <c r="K730" t="s">
        <v>20</v>
      </c>
      <c r="L730" t="s">
        <v>21</v>
      </c>
      <c r="M730" t="s">
        <v>53</v>
      </c>
      <c r="N730" t="s">
        <v>54</v>
      </c>
      <c r="O730" t="s">
        <v>35</v>
      </c>
      <c r="P730">
        <v>3</v>
      </c>
      <c r="Q730" s="2">
        <f>Ventas[[#This Row],[precio_base]]*Ventas[[#This Row],[cantidad]]</f>
        <v>69.989999999999995</v>
      </c>
      <c r="R730" s="2">
        <f>Ventas[[#This Row],[Total bruto (antes de descuento)]]-Ventas[[#This Row],[total_venta]]</f>
        <v>0</v>
      </c>
    </row>
    <row r="731" spans="1:18" x14ac:dyDescent="0.25">
      <c r="A731" t="s">
        <v>824</v>
      </c>
      <c r="B731" s="1">
        <v>45350</v>
      </c>
      <c r="C731" t="s">
        <v>37</v>
      </c>
      <c r="D731" t="s">
        <v>38</v>
      </c>
      <c r="E731">
        <v>3</v>
      </c>
      <c r="F731" s="2">
        <v>34.99</v>
      </c>
      <c r="G731">
        <v>5</v>
      </c>
      <c r="H731" s="2">
        <v>33.24</v>
      </c>
      <c r="I731" s="2">
        <v>99.72</v>
      </c>
      <c r="J731" t="s">
        <v>51</v>
      </c>
      <c r="K731" t="s">
        <v>52</v>
      </c>
      <c r="L731" t="s">
        <v>152</v>
      </c>
      <c r="M731" t="s">
        <v>67</v>
      </c>
      <c r="N731" t="s">
        <v>68</v>
      </c>
      <c r="O731" t="s">
        <v>35</v>
      </c>
      <c r="Q731" s="2">
        <f>Ventas[[#This Row],[precio_base]]*Ventas[[#This Row],[cantidad]]</f>
        <v>104.97</v>
      </c>
      <c r="R731" s="2">
        <f>Ventas[[#This Row],[Total bruto (antes de descuento)]]-Ventas[[#This Row],[total_venta]]</f>
        <v>5.25</v>
      </c>
    </row>
    <row r="732" spans="1:18" x14ac:dyDescent="0.25">
      <c r="A732" t="s">
        <v>825</v>
      </c>
      <c r="B732" s="1">
        <v>45207</v>
      </c>
      <c r="C732" t="s">
        <v>78</v>
      </c>
      <c r="D732" t="s">
        <v>18</v>
      </c>
      <c r="E732">
        <v>2</v>
      </c>
      <c r="F732" s="2">
        <v>349.99</v>
      </c>
      <c r="G732">
        <v>0</v>
      </c>
      <c r="H732" s="2">
        <v>349.99</v>
      </c>
      <c r="I732" s="2">
        <v>699.98</v>
      </c>
      <c r="J732" t="s">
        <v>19</v>
      </c>
      <c r="K732" t="s">
        <v>52</v>
      </c>
      <c r="L732" t="s">
        <v>28</v>
      </c>
      <c r="M732" t="s">
        <v>46</v>
      </c>
      <c r="N732" t="s">
        <v>47</v>
      </c>
      <c r="O732" t="s">
        <v>48</v>
      </c>
      <c r="P732">
        <v>3</v>
      </c>
      <c r="Q732" s="2">
        <f>Ventas[[#This Row],[precio_base]]*Ventas[[#This Row],[cantidad]]</f>
        <v>699.98</v>
      </c>
      <c r="R732" s="2">
        <f>Ventas[[#This Row],[Total bruto (antes de descuento)]]-Ventas[[#This Row],[total_venta]]</f>
        <v>0</v>
      </c>
    </row>
    <row r="733" spans="1:18" x14ac:dyDescent="0.25">
      <c r="A733" t="s">
        <v>826</v>
      </c>
      <c r="B733" s="1">
        <v>45547</v>
      </c>
      <c r="C733" t="s">
        <v>26</v>
      </c>
      <c r="D733" t="s">
        <v>27</v>
      </c>
      <c r="E733">
        <v>5</v>
      </c>
      <c r="F733" s="2">
        <v>399.99</v>
      </c>
      <c r="G733">
        <v>0</v>
      </c>
      <c r="H733" s="2">
        <v>399.99</v>
      </c>
      <c r="I733" s="2">
        <v>1999.95</v>
      </c>
      <c r="J733" t="s">
        <v>19</v>
      </c>
      <c r="K733" t="s">
        <v>44</v>
      </c>
      <c r="L733" t="s">
        <v>45</v>
      </c>
      <c r="M733" t="s">
        <v>22</v>
      </c>
      <c r="N733" t="s">
        <v>23</v>
      </c>
      <c r="O733" t="s">
        <v>24</v>
      </c>
      <c r="P733">
        <v>4</v>
      </c>
      <c r="Q733" s="2">
        <f>Ventas[[#This Row],[precio_base]]*Ventas[[#This Row],[cantidad]]</f>
        <v>1999.95</v>
      </c>
      <c r="R733" s="2">
        <f>Ventas[[#This Row],[Total bruto (antes de descuento)]]-Ventas[[#This Row],[total_venta]]</f>
        <v>0</v>
      </c>
    </row>
    <row r="734" spans="1:18" x14ac:dyDescent="0.25">
      <c r="A734" t="s">
        <v>827</v>
      </c>
      <c r="B734" s="1">
        <v>45064</v>
      </c>
      <c r="C734" t="s">
        <v>87</v>
      </c>
      <c r="D734" t="s">
        <v>27</v>
      </c>
      <c r="E734">
        <v>5</v>
      </c>
      <c r="F734" s="2">
        <v>249.99</v>
      </c>
      <c r="G734">
        <v>5</v>
      </c>
      <c r="H734" s="2">
        <v>237.49</v>
      </c>
      <c r="I734" s="2">
        <v>1187.45</v>
      </c>
      <c r="J734" t="s">
        <v>51</v>
      </c>
      <c r="K734" t="s">
        <v>20</v>
      </c>
      <c r="L734" t="s">
        <v>45</v>
      </c>
      <c r="M734" t="s">
        <v>123</v>
      </c>
      <c r="N734" t="s">
        <v>124</v>
      </c>
      <c r="O734" t="s">
        <v>24</v>
      </c>
      <c r="Q734" s="2">
        <f>Ventas[[#This Row],[precio_base]]*Ventas[[#This Row],[cantidad]]</f>
        <v>1249.95</v>
      </c>
      <c r="R734" s="2">
        <f>Ventas[[#This Row],[Total bruto (antes de descuento)]]-Ventas[[#This Row],[total_venta]]</f>
        <v>62.5</v>
      </c>
    </row>
    <row r="735" spans="1:18" x14ac:dyDescent="0.25">
      <c r="A735" t="s">
        <v>828</v>
      </c>
      <c r="B735" s="1">
        <v>45412</v>
      </c>
      <c r="C735" t="s">
        <v>78</v>
      </c>
      <c r="D735" t="s">
        <v>18</v>
      </c>
      <c r="E735">
        <v>2</v>
      </c>
      <c r="F735" s="2">
        <v>349.99</v>
      </c>
      <c r="G735">
        <v>0</v>
      </c>
      <c r="H735" s="2">
        <v>349.99</v>
      </c>
      <c r="I735" s="2">
        <v>699.98</v>
      </c>
      <c r="J735" t="s">
        <v>19</v>
      </c>
      <c r="K735" t="s">
        <v>52</v>
      </c>
      <c r="L735" t="s">
        <v>21</v>
      </c>
      <c r="M735" t="s">
        <v>120</v>
      </c>
      <c r="N735" t="s">
        <v>23</v>
      </c>
      <c r="O735" t="s">
        <v>24</v>
      </c>
      <c r="P735">
        <v>3</v>
      </c>
      <c r="Q735" s="2">
        <f>Ventas[[#This Row],[precio_base]]*Ventas[[#This Row],[cantidad]]</f>
        <v>699.98</v>
      </c>
      <c r="R735" s="2">
        <f>Ventas[[#This Row],[Total bruto (antes de descuento)]]-Ventas[[#This Row],[total_venta]]</f>
        <v>0</v>
      </c>
    </row>
    <row r="736" spans="1:18" x14ac:dyDescent="0.25">
      <c r="A736" t="s">
        <v>829</v>
      </c>
      <c r="B736" s="1">
        <v>45349</v>
      </c>
      <c r="C736" t="s">
        <v>163</v>
      </c>
      <c r="D736" t="s">
        <v>18</v>
      </c>
      <c r="E736">
        <v>2</v>
      </c>
      <c r="F736" s="2">
        <v>499.99</v>
      </c>
      <c r="G736">
        <v>20</v>
      </c>
      <c r="H736" s="2">
        <v>399.99</v>
      </c>
      <c r="I736" s="2">
        <v>799.98</v>
      </c>
      <c r="J736" t="s">
        <v>19</v>
      </c>
      <c r="K736" t="s">
        <v>52</v>
      </c>
      <c r="L736" t="s">
        <v>152</v>
      </c>
      <c r="M736" t="s">
        <v>63</v>
      </c>
      <c r="N736" t="s">
        <v>34</v>
      </c>
      <c r="O736" t="s">
        <v>24</v>
      </c>
      <c r="P736">
        <v>5</v>
      </c>
      <c r="Q736" s="2">
        <f>Ventas[[#This Row],[precio_base]]*Ventas[[#This Row],[cantidad]]</f>
        <v>999.98</v>
      </c>
      <c r="R736" s="2">
        <f>Ventas[[#This Row],[Total bruto (antes de descuento)]]-Ventas[[#This Row],[total_venta]]</f>
        <v>200</v>
      </c>
    </row>
    <row r="737" spans="1:18" x14ac:dyDescent="0.25">
      <c r="A737" t="s">
        <v>830</v>
      </c>
      <c r="B737" s="1">
        <v>45428</v>
      </c>
      <c r="C737" t="s">
        <v>30</v>
      </c>
      <c r="D737" t="s">
        <v>31</v>
      </c>
      <c r="E737">
        <v>3</v>
      </c>
      <c r="F737" s="2">
        <v>299.99</v>
      </c>
      <c r="G737">
        <v>20</v>
      </c>
      <c r="H737" s="2">
        <v>239.99</v>
      </c>
      <c r="I737" s="2">
        <v>719.97</v>
      </c>
      <c r="J737" t="s">
        <v>19</v>
      </c>
      <c r="K737" t="s">
        <v>20</v>
      </c>
      <c r="L737" t="s">
        <v>28</v>
      </c>
      <c r="M737" t="s">
        <v>22</v>
      </c>
      <c r="N737" t="s">
        <v>23</v>
      </c>
      <c r="O737" t="s">
        <v>24</v>
      </c>
      <c r="P737">
        <v>5</v>
      </c>
      <c r="Q737" s="2">
        <f>Ventas[[#This Row],[precio_base]]*Ventas[[#This Row],[cantidad]]</f>
        <v>899.97</v>
      </c>
      <c r="R737" s="2">
        <f>Ventas[[#This Row],[Total bruto (antes de descuento)]]-Ventas[[#This Row],[total_venta]]</f>
        <v>180</v>
      </c>
    </row>
    <row r="738" spans="1:18" x14ac:dyDescent="0.25">
      <c r="A738" t="s">
        <v>831</v>
      </c>
      <c r="B738" s="1">
        <v>45316</v>
      </c>
      <c r="C738" t="s">
        <v>76</v>
      </c>
      <c r="D738" t="s">
        <v>31</v>
      </c>
      <c r="E738">
        <v>3</v>
      </c>
      <c r="F738" s="2">
        <v>69.989999999999995</v>
      </c>
      <c r="G738">
        <v>5</v>
      </c>
      <c r="H738" s="2">
        <v>66.489999999999995</v>
      </c>
      <c r="I738" s="2">
        <v>199.47</v>
      </c>
      <c r="J738" t="s">
        <v>51</v>
      </c>
      <c r="K738" t="s">
        <v>44</v>
      </c>
      <c r="L738" t="s">
        <v>45</v>
      </c>
      <c r="M738" t="s">
        <v>84</v>
      </c>
      <c r="N738" t="s">
        <v>85</v>
      </c>
      <c r="O738" t="s">
        <v>35</v>
      </c>
      <c r="Q738" s="2">
        <f>Ventas[[#This Row],[precio_base]]*Ventas[[#This Row],[cantidad]]</f>
        <v>209.96999999999997</v>
      </c>
      <c r="R738" s="2">
        <f>Ventas[[#This Row],[Total bruto (antes de descuento)]]-Ventas[[#This Row],[total_venta]]</f>
        <v>10.499999999999972</v>
      </c>
    </row>
    <row r="739" spans="1:18" x14ac:dyDescent="0.25">
      <c r="A739" t="s">
        <v>832</v>
      </c>
      <c r="B739" s="1">
        <v>45583</v>
      </c>
      <c r="C739" t="s">
        <v>130</v>
      </c>
      <c r="D739" t="s">
        <v>43</v>
      </c>
      <c r="E739">
        <v>1</v>
      </c>
      <c r="F739" s="2">
        <v>24.99</v>
      </c>
      <c r="G739">
        <v>10</v>
      </c>
      <c r="H739" s="2">
        <v>22.49</v>
      </c>
      <c r="I739" s="2">
        <v>22.49</v>
      </c>
      <c r="J739" t="s">
        <v>19</v>
      </c>
      <c r="K739" t="s">
        <v>52</v>
      </c>
      <c r="L739" t="s">
        <v>21</v>
      </c>
      <c r="M739" t="s">
        <v>101</v>
      </c>
      <c r="N739" t="s">
        <v>102</v>
      </c>
      <c r="O739" t="s">
        <v>35</v>
      </c>
      <c r="P739">
        <v>2</v>
      </c>
      <c r="Q739" s="2">
        <f>Ventas[[#This Row],[precio_base]]*Ventas[[#This Row],[cantidad]]</f>
        <v>24.99</v>
      </c>
      <c r="R739" s="2">
        <f>Ventas[[#This Row],[Total bruto (antes de descuento)]]-Ventas[[#This Row],[total_venta]]</f>
        <v>2.5</v>
      </c>
    </row>
    <row r="740" spans="1:18" x14ac:dyDescent="0.25">
      <c r="A740" t="s">
        <v>833</v>
      </c>
      <c r="B740" s="1">
        <v>45458</v>
      </c>
      <c r="C740" t="s">
        <v>50</v>
      </c>
      <c r="D740" t="s">
        <v>27</v>
      </c>
      <c r="E740">
        <v>4</v>
      </c>
      <c r="F740" s="2">
        <v>149.99</v>
      </c>
      <c r="G740">
        <v>15</v>
      </c>
      <c r="H740" s="2">
        <v>127.49</v>
      </c>
      <c r="I740" s="2">
        <v>509.96</v>
      </c>
      <c r="J740" t="s">
        <v>19</v>
      </c>
      <c r="K740" t="s">
        <v>44</v>
      </c>
      <c r="L740" t="s">
        <v>28</v>
      </c>
      <c r="M740" t="s">
        <v>120</v>
      </c>
      <c r="N740" t="s">
        <v>23</v>
      </c>
      <c r="O740" t="s">
        <v>24</v>
      </c>
      <c r="P740">
        <v>1</v>
      </c>
      <c r="Q740" s="2">
        <f>Ventas[[#This Row],[precio_base]]*Ventas[[#This Row],[cantidad]]</f>
        <v>599.96</v>
      </c>
      <c r="R740" s="2">
        <f>Ventas[[#This Row],[Total bruto (antes de descuento)]]-Ventas[[#This Row],[total_venta]]</f>
        <v>90.000000000000057</v>
      </c>
    </row>
    <row r="741" spans="1:18" x14ac:dyDescent="0.25">
      <c r="A741" t="s">
        <v>834</v>
      </c>
      <c r="B741" s="1">
        <v>45121</v>
      </c>
      <c r="C741" t="s">
        <v>83</v>
      </c>
      <c r="D741" t="s">
        <v>38</v>
      </c>
      <c r="E741">
        <v>4</v>
      </c>
      <c r="F741" s="2">
        <v>49.99</v>
      </c>
      <c r="G741">
        <v>5</v>
      </c>
      <c r="H741" s="2">
        <v>47.49</v>
      </c>
      <c r="I741" s="2">
        <v>189.96</v>
      </c>
      <c r="J741" t="s">
        <v>62</v>
      </c>
      <c r="K741" t="s">
        <v>52</v>
      </c>
      <c r="L741" t="s">
        <v>45</v>
      </c>
      <c r="M741" t="s">
        <v>39</v>
      </c>
      <c r="N741" t="s">
        <v>40</v>
      </c>
      <c r="O741" t="s">
        <v>35</v>
      </c>
      <c r="Q741" s="2">
        <f>Ventas[[#This Row],[precio_base]]*Ventas[[#This Row],[cantidad]]</f>
        <v>199.96</v>
      </c>
      <c r="R741" s="2">
        <f>Ventas[[#This Row],[Total bruto (antes de descuento)]]-Ventas[[#This Row],[total_venta]]</f>
        <v>10</v>
      </c>
    </row>
    <row r="742" spans="1:18" x14ac:dyDescent="0.25">
      <c r="A742" t="s">
        <v>835</v>
      </c>
      <c r="B742" s="1">
        <v>45359</v>
      </c>
      <c r="C742" t="s">
        <v>83</v>
      </c>
      <c r="D742" t="s">
        <v>38</v>
      </c>
      <c r="E742">
        <v>5</v>
      </c>
      <c r="F742" s="2">
        <v>49.99</v>
      </c>
      <c r="G742">
        <v>0</v>
      </c>
      <c r="H742" s="2">
        <v>49.99</v>
      </c>
      <c r="I742" s="2">
        <v>249.95</v>
      </c>
      <c r="J742" t="s">
        <v>51</v>
      </c>
      <c r="K742" t="s">
        <v>20</v>
      </c>
      <c r="L742" t="s">
        <v>32</v>
      </c>
      <c r="M742" t="s">
        <v>53</v>
      </c>
      <c r="N742" t="s">
        <v>54</v>
      </c>
      <c r="O742" t="s">
        <v>35</v>
      </c>
      <c r="Q742" s="2">
        <f>Ventas[[#This Row],[precio_base]]*Ventas[[#This Row],[cantidad]]</f>
        <v>249.95000000000002</v>
      </c>
      <c r="R742" s="2">
        <f>Ventas[[#This Row],[Total bruto (antes de descuento)]]-Ventas[[#This Row],[total_venta]]</f>
        <v>0</v>
      </c>
    </row>
    <row r="743" spans="1:18" x14ac:dyDescent="0.25">
      <c r="A743" t="s">
        <v>836</v>
      </c>
      <c r="B743" s="1">
        <v>45389</v>
      </c>
      <c r="C743" t="s">
        <v>56</v>
      </c>
      <c r="D743" t="s">
        <v>18</v>
      </c>
      <c r="E743">
        <v>5</v>
      </c>
      <c r="F743" s="2">
        <v>89.99</v>
      </c>
      <c r="G743">
        <v>0</v>
      </c>
      <c r="H743" s="2">
        <v>89.99</v>
      </c>
      <c r="I743" s="2">
        <v>449.95</v>
      </c>
      <c r="J743" t="s">
        <v>19</v>
      </c>
      <c r="K743" t="s">
        <v>52</v>
      </c>
      <c r="L743" t="s">
        <v>28</v>
      </c>
      <c r="M743" t="s">
        <v>33</v>
      </c>
      <c r="N743" t="s">
        <v>34</v>
      </c>
      <c r="O743" t="s">
        <v>35</v>
      </c>
      <c r="P743">
        <v>2</v>
      </c>
      <c r="Q743" s="2">
        <f>Ventas[[#This Row],[precio_base]]*Ventas[[#This Row],[cantidad]]</f>
        <v>449.95</v>
      </c>
      <c r="R743" s="2">
        <f>Ventas[[#This Row],[Total bruto (antes de descuento)]]-Ventas[[#This Row],[total_venta]]</f>
        <v>0</v>
      </c>
    </row>
    <row r="744" spans="1:18" x14ac:dyDescent="0.25">
      <c r="A744" t="s">
        <v>837</v>
      </c>
      <c r="B744" s="1">
        <v>45329</v>
      </c>
      <c r="C744" t="s">
        <v>37</v>
      </c>
      <c r="D744" t="s">
        <v>38</v>
      </c>
      <c r="E744">
        <v>3</v>
      </c>
      <c r="F744" s="2">
        <v>34.99</v>
      </c>
      <c r="G744">
        <v>5</v>
      </c>
      <c r="H744" s="2">
        <v>33.24</v>
      </c>
      <c r="I744" s="2">
        <v>99.72</v>
      </c>
      <c r="J744" t="s">
        <v>19</v>
      </c>
      <c r="K744" t="s">
        <v>44</v>
      </c>
      <c r="L744" t="s">
        <v>28</v>
      </c>
      <c r="M744" t="s">
        <v>101</v>
      </c>
      <c r="N744" t="s">
        <v>102</v>
      </c>
      <c r="O744" t="s">
        <v>35</v>
      </c>
      <c r="P744">
        <v>2</v>
      </c>
      <c r="Q744" s="2">
        <f>Ventas[[#This Row],[precio_base]]*Ventas[[#This Row],[cantidad]]</f>
        <v>104.97</v>
      </c>
      <c r="R744" s="2">
        <f>Ventas[[#This Row],[Total bruto (antes de descuento)]]-Ventas[[#This Row],[total_venta]]</f>
        <v>5.25</v>
      </c>
    </row>
    <row r="745" spans="1:18" x14ac:dyDescent="0.25">
      <c r="A745" t="s">
        <v>838</v>
      </c>
      <c r="B745" s="1">
        <v>45392</v>
      </c>
      <c r="C745" t="s">
        <v>56</v>
      </c>
      <c r="D745" t="s">
        <v>18</v>
      </c>
      <c r="E745">
        <v>3</v>
      </c>
      <c r="F745" s="2">
        <v>89.99</v>
      </c>
      <c r="G745">
        <v>0</v>
      </c>
      <c r="H745" s="2">
        <v>89.99</v>
      </c>
      <c r="I745" s="2">
        <v>269.97000000000003</v>
      </c>
      <c r="J745" t="s">
        <v>51</v>
      </c>
      <c r="K745" t="s">
        <v>44</v>
      </c>
      <c r="L745" t="s">
        <v>21</v>
      </c>
      <c r="M745" t="s">
        <v>53</v>
      </c>
      <c r="N745" t="s">
        <v>54</v>
      </c>
      <c r="O745" t="s">
        <v>35</v>
      </c>
      <c r="Q745" s="2">
        <f>Ventas[[#This Row],[precio_base]]*Ventas[[#This Row],[cantidad]]</f>
        <v>269.96999999999997</v>
      </c>
      <c r="R745" s="2">
        <f>Ventas[[#This Row],[Total bruto (antes de descuento)]]-Ventas[[#This Row],[total_venta]]</f>
        <v>0</v>
      </c>
    </row>
    <row r="746" spans="1:18" x14ac:dyDescent="0.25">
      <c r="A746" t="s">
        <v>839</v>
      </c>
      <c r="B746" s="1">
        <v>45053</v>
      </c>
      <c r="C746" t="s">
        <v>56</v>
      </c>
      <c r="D746" t="s">
        <v>18</v>
      </c>
      <c r="E746">
        <v>1</v>
      </c>
      <c r="F746" s="2">
        <v>89.99</v>
      </c>
      <c r="G746">
        <v>15</v>
      </c>
      <c r="H746" s="2">
        <v>76.489999999999995</v>
      </c>
      <c r="I746" s="2">
        <v>76.489999999999995</v>
      </c>
      <c r="J746" t="s">
        <v>19</v>
      </c>
      <c r="K746" t="s">
        <v>20</v>
      </c>
      <c r="L746" t="s">
        <v>28</v>
      </c>
      <c r="M746" t="s">
        <v>123</v>
      </c>
      <c r="N746" t="s">
        <v>124</v>
      </c>
      <c r="O746" t="s">
        <v>24</v>
      </c>
      <c r="P746">
        <v>5</v>
      </c>
      <c r="Q746" s="2">
        <f>Ventas[[#This Row],[precio_base]]*Ventas[[#This Row],[cantidad]]</f>
        <v>89.99</v>
      </c>
      <c r="R746" s="2">
        <f>Ventas[[#This Row],[Total bruto (antes de descuento)]]-Ventas[[#This Row],[total_venta]]</f>
        <v>13.5</v>
      </c>
    </row>
    <row r="747" spans="1:18" x14ac:dyDescent="0.25">
      <c r="A747" t="s">
        <v>840</v>
      </c>
      <c r="B747" s="1">
        <v>45553</v>
      </c>
      <c r="C747" t="s">
        <v>205</v>
      </c>
      <c r="D747" t="s">
        <v>18</v>
      </c>
      <c r="E747">
        <v>4</v>
      </c>
      <c r="F747" s="2">
        <v>129.99</v>
      </c>
      <c r="G747">
        <v>10</v>
      </c>
      <c r="H747" s="2">
        <v>116.99</v>
      </c>
      <c r="I747" s="2">
        <v>467.96</v>
      </c>
      <c r="J747" t="s">
        <v>19</v>
      </c>
      <c r="K747" t="s">
        <v>20</v>
      </c>
      <c r="L747" t="s">
        <v>21</v>
      </c>
      <c r="M747" t="s">
        <v>39</v>
      </c>
      <c r="N747" t="s">
        <v>40</v>
      </c>
      <c r="O747" t="s">
        <v>35</v>
      </c>
      <c r="P747">
        <v>2</v>
      </c>
      <c r="Q747" s="2">
        <f>Ventas[[#This Row],[precio_base]]*Ventas[[#This Row],[cantidad]]</f>
        <v>519.96</v>
      </c>
      <c r="R747" s="2">
        <f>Ventas[[#This Row],[Total bruto (antes de descuento)]]-Ventas[[#This Row],[total_venta]]</f>
        <v>52.000000000000057</v>
      </c>
    </row>
    <row r="748" spans="1:18" x14ac:dyDescent="0.25">
      <c r="A748" t="s">
        <v>841</v>
      </c>
      <c r="B748" s="1">
        <v>45093</v>
      </c>
      <c r="C748" t="s">
        <v>42</v>
      </c>
      <c r="D748" t="s">
        <v>43</v>
      </c>
      <c r="E748">
        <v>2</v>
      </c>
      <c r="F748" s="2">
        <v>349.99</v>
      </c>
      <c r="G748">
        <v>0</v>
      </c>
      <c r="H748" s="2">
        <v>349.99</v>
      </c>
      <c r="I748" s="2">
        <v>699.98</v>
      </c>
      <c r="J748" t="s">
        <v>51</v>
      </c>
      <c r="K748" t="s">
        <v>20</v>
      </c>
      <c r="L748" t="s">
        <v>21</v>
      </c>
      <c r="M748" t="s">
        <v>46</v>
      </c>
      <c r="N748" t="s">
        <v>47</v>
      </c>
      <c r="O748" t="s">
        <v>48</v>
      </c>
      <c r="Q748" s="2">
        <f>Ventas[[#This Row],[precio_base]]*Ventas[[#This Row],[cantidad]]</f>
        <v>699.98</v>
      </c>
      <c r="R748" s="2">
        <f>Ventas[[#This Row],[Total bruto (antes de descuento)]]-Ventas[[#This Row],[total_venta]]</f>
        <v>0</v>
      </c>
    </row>
    <row r="749" spans="1:18" x14ac:dyDescent="0.25">
      <c r="A749" t="s">
        <v>842</v>
      </c>
      <c r="B749" s="1">
        <v>45383</v>
      </c>
      <c r="C749" t="s">
        <v>83</v>
      </c>
      <c r="D749" t="s">
        <v>38</v>
      </c>
      <c r="E749">
        <v>2</v>
      </c>
      <c r="F749" s="2">
        <v>49.99</v>
      </c>
      <c r="G749">
        <v>0</v>
      </c>
      <c r="H749" s="2">
        <v>49.99</v>
      </c>
      <c r="I749" s="2">
        <v>99.98</v>
      </c>
      <c r="J749" t="s">
        <v>62</v>
      </c>
      <c r="K749" t="s">
        <v>20</v>
      </c>
      <c r="L749" t="s">
        <v>28</v>
      </c>
      <c r="M749" t="s">
        <v>22</v>
      </c>
      <c r="N749" t="s">
        <v>23</v>
      </c>
      <c r="O749" t="s">
        <v>24</v>
      </c>
      <c r="Q749" s="2">
        <f>Ventas[[#This Row],[precio_base]]*Ventas[[#This Row],[cantidad]]</f>
        <v>99.98</v>
      </c>
      <c r="R749" s="2">
        <f>Ventas[[#This Row],[Total bruto (antes de descuento)]]-Ventas[[#This Row],[total_venta]]</f>
        <v>0</v>
      </c>
    </row>
    <row r="750" spans="1:18" x14ac:dyDescent="0.25">
      <c r="A750" t="s">
        <v>843</v>
      </c>
      <c r="B750" s="1">
        <v>44939</v>
      </c>
      <c r="C750" t="s">
        <v>151</v>
      </c>
      <c r="D750" t="s">
        <v>27</v>
      </c>
      <c r="E750">
        <v>4</v>
      </c>
      <c r="F750" s="2">
        <v>599.99</v>
      </c>
      <c r="G750">
        <v>20</v>
      </c>
      <c r="H750" s="2">
        <v>479.99</v>
      </c>
      <c r="I750" s="2">
        <v>1919.96</v>
      </c>
      <c r="J750" t="s">
        <v>19</v>
      </c>
      <c r="K750" t="s">
        <v>20</v>
      </c>
      <c r="L750" t="s">
        <v>32</v>
      </c>
      <c r="M750" t="s">
        <v>39</v>
      </c>
      <c r="N750" t="s">
        <v>40</v>
      </c>
      <c r="O750" t="s">
        <v>35</v>
      </c>
      <c r="P750">
        <v>2</v>
      </c>
      <c r="Q750" s="2">
        <f>Ventas[[#This Row],[precio_base]]*Ventas[[#This Row],[cantidad]]</f>
        <v>2399.96</v>
      </c>
      <c r="R750" s="2">
        <f>Ventas[[#This Row],[Total bruto (antes de descuento)]]-Ventas[[#This Row],[total_venta]]</f>
        <v>480</v>
      </c>
    </row>
    <row r="751" spans="1:18" x14ac:dyDescent="0.25">
      <c r="A751" t="s">
        <v>844</v>
      </c>
      <c r="B751" s="1">
        <v>45149</v>
      </c>
      <c r="C751" t="s">
        <v>26</v>
      </c>
      <c r="D751" t="s">
        <v>27</v>
      </c>
      <c r="E751">
        <v>4</v>
      </c>
      <c r="F751" s="2">
        <v>399.99</v>
      </c>
      <c r="G751">
        <v>5</v>
      </c>
      <c r="H751" s="2">
        <v>379.99</v>
      </c>
      <c r="I751" s="2">
        <v>1519.96</v>
      </c>
      <c r="J751" t="s">
        <v>19</v>
      </c>
      <c r="K751" t="s">
        <v>44</v>
      </c>
      <c r="L751" t="s">
        <v>21</v>
      </c>
      <c r="M751" t="s">
        <v>95</v>
      </c>
      <c r="N751" t="s">
        <v>96</v>
      </c>
      <c r="O751" t="s">
        <v>48</v>
      </c>
      <c r="P751">
        <v>5</v>
      </c>
      <c r="Q751" s="2">
        <f>Ventas[[#This Row],[precio_base]]*Ventas[[#This Row],[cantidad]]</f>
        <v>1599.96</v>
      </c>
      <c r="R751" s="2">
        <f>Ventas[[#This Row],[Total bruto (antes de descuento)]]-Ventas[[#This Row],[total_venta]]</f>
        <v>80</v>
      </c>
    </row>
    <row r="752" spans="1:18" x14ac:dyDescent="0.25">
      <c r="A752" t="s">
        <v>845</v>
      </c>
      <c r="B752" s="1">
        <v>45211</v>
      </c>
      <c r="C752" t="s">
        <v>156</v>
      </c>
      <c r="D752" t="s">
        <v>27</v>
      </c>
      <c r="E752">
        <v>5</v>
      </c>
      <c r="F752" s="2">
        <v>49.99</v>
      </c>
      <c r="G752">
        <v>20</v>
      </c>
      <c r="H752" s="2">
        <v>39.99</v>
      </c>
      <c r="I752" s="2">
        <v>199.95</v>
      </c>
      <c r="J752" t="s">
        <v>62</v>
      </c>
      <c r="K752" t="s">
        <v>20</v>
      </c>
      <c r="L752" t="s">
        <v>21</v>
      </c>
      <c r="M752" t="s">
        <v>46</v>
      </c>
      <c r="N752" t="s">
        <v>47</v>
      </c>
      <c r="O752" t="s">
        <v>48</v>
      </c>
      <c r="Q752" s="2">
        <f>Ventas[[#This Row],[precio_base]]*Ventas[[#This Row],[cantidad]]</f>
        <v>249.95000000000002</v>
      </c>
      <c r="R752" s="2">
        <f>Ventas[[#This Row],[Total bruto (antes de descuento)]]-Ventas[[#This Row],[total_venta]]</f>
        <v>50.000000000000028</v>
      </c>
    </row>
    <row r="753" spans="1:18" x14ac:dyDescent="0.25">
      <c r="A753" t="s">
        <v>846</v>
      </c>
      <c r="B753" s="1">
        <v>45284</v>
      </c>
      <c r="C753" t="s">
        <v>94</v>
      </c>
      <c r="D753" t="s">
        <v>18</v>
      </c>
      <c r="E753">
        <v>2</v>
      </c>
      <c r="F753" s="2">
        <v>899.99</v>
      </c>
      <c r="G753">
        <v>20</v>
      </c>
      <c r="H753" s="2">
        <v>719.99</v>
      </c>
      <c r="I753" s="2">
        <v>1439.98</v>
      </c>
      <c r="J753" t="s">
        <v>19</v>
      </c>
      <c r="K753" t="s">
        <v>52</v>
      </c>
      <c r="L753" t="s">
        <v>21</v>
      </c>
      <c r="M753" t="s">
        <v>33</v>
      </c>
      <c r="N753" t="s">
        <v>34</v>
      </c>
      <c r="O753" t="s">
        <v>35</v>
      </c>
      <c r="P753">
        <v>1</v>
      </c>
      <c r="Q753" s="2">
        <f>Ventas[[#This Row],[precio_base]]*Ventas[[#This Row],[cantidad]]</f>
        <v>1799.98</v>
      </c>
      <c r="R753" s="2">
        <f>Ventas[[#This Row],[Total bruto (antes de descuento)]]-Ventas[[#This Row],[total_venta]]</f>
        <v>360</v>
      </c>
    </row>
    <row r="754" spans="1:18" x14ac:dyDescent="0.25">
      <c r="A754" t="s">
        <v>847</v>
      </c>
      <c r="B754" s="1">
        <v>44977</v>
      </c>
      <c r="C754" t="s">
        <v>17</v>
      </c>
      <c r="D754" t="s">
        <v>18</v>
      </c>
      <c r="E754">
        <v>4</v>
      </c>
      <c r="F754" s="2">
        <v>45.99</v>
      </c>
      <c r="G754">
        <v>0</v>
      </c>
      <c r="H754" s="2">
        <v>45.99</v>
      </c>
      <c r="I754" s="2">
        <v>183.96</v>
      </c>
      <c r="J754" t="s">
        <v>19</v>
      </c>
      <c r="K754" t="s">
        <v>44</v>
      </c>
      <c r="L754" t="s">
        <v>28</v>
      </c>
      <c r="M754" t="s">
        <v>58</v>
      </c>
      <c r="N754" t="s">
        <v>59</v>
      </c>
      <c r="O754" t="s">
        <v>24</v>
      </c>
      <c r="P754">
        <v>5</v>
      </c>
      <c r="Q754" s="2">
        <f>Ventas[[#This Row],[precio_base]]*Ventas[[#This Row],[cantidad]]</f>
        <v>183.96</v>
      </c>
      <c r="R754" s="2">
        <f>Ventas[[#This Row],[Total bruto (antes de descuento)]]-Ventas[[#This Row],[total_venta]]</f>
        <v>0</v>
      </c>
    </row>
    <row r="755" spans="1:18" x14ac:dyDescent="0.25">
      <c r="A755" t="s">
        <v>848</v>
      </c>
      <c r="B755" s="1">
        <v>45513</v>
      </c>
      <c r="C755" t="s">
        <v>70</v>
      </c>
      <c r="D755" t="s">
        <v>31</v>
      </c>
      <c r="E755">
        <v>5</v>
      </c>
      <c r="F755" s="2">
        <v>59.99</v>
      </c>
      <c r="G755">
        <v>0</v>
      </c>
      <c r="H755" s="2">
        <v>59.99</v>
      </c>
      <c r="I755" s="2">
        <v>299.95</v>
      </c>
      <c r="J755" t="s">
        <v>116</v>
      </c>
      <c r="K755" t="s">
        <v>44</v>
      </c>
      <c r="L755" t="s">
        <v>152</v>
      </c>
      <c r="M755" t="s">
        <v>84</v>
      </c>
      <c r="N755" t="s">
        <v>85</v>
      </c>
      <c r="O755" t="s">
        <v>35</v>
      </c>
      <c r="Q755" s="2">
        <f>Ventas[[#This Row],[precio_base]]*Ventas[[#This Row],[cantidad]]</f>
        <v>299.95</v>
      </c>
      <c r="R755" s="2">
        <f>Ventas[[#This Row],[Total bruto (antes de descuento)]]-Ventas[[#This Row],[total_venta]]</f>
        <v>0</v>
      </c>
    </row>
    <row r="756" spans="1:18" x14ac:dyDescent="0.25">
      <c r="A756" t="s">
        <v>849</v>
      </c>
      <c r="B756" s="1">
        <v>45022</v>
      </c>
      <c r="C756" t="s">
        <v>98</v>
      </c>
      <c r="D756" t="s">
        <v>31</v>
      </c>
      <c r="E756">
        <v>3</v>
      </c>
      <c r="F756" s="2">
        <v>99.99</v>
      </c>
      <c r="G756">
        <v>0</v>
      </c>
      <c r="H756" s="2">
        <v>99.99</v>
      </c>
      <c r="I756" s="2">
        <v>299.97000000000003</v>
      </c>
      <c r="J756" t="s">
        <v>19</v>
      </c>
      <c r="K756" t="s">
        <v>52</v>
      </c>
      <c r="L756" t="s">
        <v>28</v>
      </c>
      <c r="M756" t="s">
        <v>120</v>
      </c>
      <c r="N756" t="s">
        <v>23</v>
      </c>
      <c r="O756" t="s">
        <v>24</v>
      </c>
      <c r="P756">
        <v>5</v>
      </c>
      <c r="Q756" s="2">
        <f>Ventas[[#This Row],[precio_base]]*Ventas[[#This Row],[cantidad]]</f>
        <v>299.96999999999997</v>
      </c>
      <c r="R756" s="2">
        <f>Ventas[[#This Row],[Total bruto (antes de descuento)]]-Ventas[[#This Row],[total_venta]]</f>
        <v>0</v>
      </c>
    </row>
    <row r="757" spans="1:18" x14ac:dyDescent="0.25">
      <c r="A757" t="s">
        <v>850</v>
      </c>
      <c r="B757" s="1">
        <v>44993</v>
      </c>
      <c r="C757" t="s">
        <v>83</v>
      </c>
      <c r="D757" t="s">
        <v>38</v>
      </c>
      <c r="E757">
        <v>4</v>
      </c>
      <c r="F757" s="2">
        <v>49.99</v>
      </c>
      <c r="G757">
        <v>0</v>
      </c>
      <c r="H757" s="2">
        <v>49.99</v>
      </c>
      <c r="I757" s="2">
        <v>199.96</v>
      </c>
      <c r="J757" t="s">
        <v>19</v>
      </c>
      <c r="K757" t="s">
        <v>20</v>
      </c>
      <c r="L757" t="s">
        <v>45</v>
      </c>
      <c r="M757" t="s">
        <v>67</v>
      </c>
      <c r="N757" t="s">
        <v>68</v>
      </c>
      <c r="O757" t="s">
        <v>35</v>
      </c>
      <c r="P757">
        <v>5</v>
      </c>
      <c r="Q757" s="2">
        <f>Ventas[[#This Row],[precio_base]]*Ventas[[#This Row],[cantidad]]</f>
        <v>199.96</v>
      </c>
      <c r="R757" s="2">
        <f>Ventas[[#This Row],[Total bruto (antes de descuento)]]-Ventas[[#This Row],[total_venta]]</f>
        <v>0</v>
      </c>
    </row>
    <row r="758" spans="1:18" x14ac:dyDescent="0.25">
      <c r="A758" t="s">
        <v>851</v>
      </c>
      <c r="B758" s="1">
        <v>45141</v>
      </c>
      <c r="C758" t="s">
        <v>30</v>
      </c>
      <c r="D758" t="s">
        <v>31</v>
      </c>
      <c r="E758">
        <v>2</v>
      </c>
      <c r="F758" s="2">
        <v>299.99</v>
      </c>
      <c r="G758">
        <v>10</v>
      </c>
      <c r="H758" s="2">
        <v>269.99</v>
      </c>
      <c r="I758" s="2">
        <v>539.98</v>
      </c>
      <c r="J758" t="s">
        <v>19</v>
      </c>
      <c r="K758" t="s">
        <v>44</v>
      </c>
      <c r="L758" t="s">
        <v>28</v>
      </c>
      <c r="M758" t="s">
        <v>33</v>
      </c>
      <c r="N758" t="s">
        <v>34</v>
      </c>
      <c r="O758" t="s">
        <v>35</v>
      </c>
      <c r="P758">
        <v>1</v>
      </c>
      <c r="Q758" s="2">
        <f>Ventas[[#This Row],[precio_base]]*Ventas[[#This Row],[cantidad]]</f>
        <v>599.98</v>
      </c>
      <c r="R758" s="2">
        <f>Ventas[[#This Row],[Total bruto (antes de descuento)]]-Ventas[[#This Row],[total_venta]]</f>
        <v>60</v>
      </c>
    </row>
    <row r="759" spans="1:18" x14ac:dyDescent="0.25">
      <c r="A759" t="s">
        <v>852</v>
      </c>
      <c r="B759" s="1">
        <v>45422</v>
      </c>
      <c r="C759" t="s">
        <v>76</v>
      </c>
      <c r="D759" t="s">
        <v>31</v>
      </c>
      <c r="E759">
        <v>5</v>
      </c>
      <c r="F759" s="2">
        <v>69.989999999999995</v>
      </c>
      <c r="G759">
        <v>20</v>
      </c>
      <c r="H759" s="2">
        <v>55.99</v>
      </c>
      <c r="I759" s="2">
        <v>279.95</v>
      </c>
      <c r="J759" t="s">
        <v>116</v>
      </c>
      <c r="K759" t="s">
        <v>20</v>
      </c>
      <c r="L759" t="s">
        <v>32</v>
      </c>
      <c r="M759" t="s">
        <v>58</v>
      </c>
      <c r="N759" t="s">
        <v>59</v>
      </c>
      <c r="O759" t="s">
        <v>24</v>
      </c>
      <c r="Q759" s="2">
        <f>Ventas[[#This Row],[precio_base]]*Ventas[[#This Row],[cantidad]]</f>
        <v>349.95</v>
      </c>
      <c r="R759" s="2">
        <f>Ventas[[#This Row],[Total bruto (antes de descuento)]]-Ventas[[#This Row],[total_venta]]</f>
        <v>70</v>
      </c>
    </row>
    <row r="760" spans="1:18" x14ac:dyDescent="0.25">
      <c r="A760" t="s">
        <v>853</v>
      </c>
      <c r="B760" s="1">
        <v>45192</v>
      </c>
      <c r="C760" t="s">
        <v>87</v>
      </c>
      <c r="D760" t="s">
        <v>27</v>
      </c>
      <c r="E760">
        <v>5</v>
      </c>
      <c r="F760" s="2">
        <v>249.99</v>
      </c>
      <c r="G760">
        <v>10</v>
      </c>
      <c r="H760" s="2">
        <v>224.99</v>
      </c>
      <c r="I760" s="2">
        <v>1124.95</v>
      </c>
      <c r="J760" t="s">
        <v>19</v>
      </c>
      <c r="K760" t="s">
        <v>44</v>
      </c>
      <c r="L760" t="s">
        <v>45</v>
      </c>
      <c r="M760" t="s">
        <v>63</v>
      </c>
      <c r="N760" t="s">
        <v>34</v>
      </c>
      <c r="O760" t="s">
        <v>24</v>
      </c>
      <c r="P760">
        <v>4</v>
      </c>
      <c r="Q760" s="2">
        <f>Ventas[[#This Row],[precio_base]]*Ventas[[#This Row],[cantidad]]</f>
        <v>1249.95</v>
      </c>
      <c r="R760" s="2">
        <f>Ventas[[#This Row],[Total bruto (antes de descuento)]]-Ventas[[#This Row],[total_venta]]</f>
        <v>125</v>
      </c>
    </row>
    <row r="761" spans="1:18" x14ac:dyDescent="0.25">
      <c r="A761" t="s">
        <v>854</v>
      </c>
      <c r="B761" s="1">
        <v>45431</v>
      </c>
      <c r="C761" t="s">
        <v>70</v>
      </c>
      <c r="D761" t="s">
        <v>31</v>
      </c>
      <c r="E761">
        <v>2</v>
      </c>
      <c r="F761" s="2">
        <v>59.99</v>
      </c>
      <c r="G761">
        <v>10</v>
      </c>
      <c r="H761" s="2">
        <v>53.99</v>
      </c>
      <c r="I761" s="2">
        <v>107.98</v>
      </c>
      <c r="J761" t="s">
        <v>19</v>
      </c>
      <c r="K761" t="s">
        <v>57</v>
      </c>
      <c r="L761" t="s">
        <v>21</v>
      </c>
      <c r="M761" t="s">
        <v>58</v>
      </c>
      <c r="N761" t="s">
        <v>59</v>
      </c>
      <c r="O761" t="s">
        <v>24</v>
      </c>
      <c r="P761">
        <v>1</v>
      </c>
      <c r="Q761" s="2">
        <f>Ventas[[#This Row],[precio_base]]*Ventas[[#This Row],[cantidad]]</f>
        <v>119.98</v>
      </c>
      <c r="R761" s="2">
        <f>Ventas[[#This Row],[Total bruto (antes de descuento)]]-Ventas[[#This Row],[total_venta]]</f>
        <v>12</v>
      </c>
    </row>
    <row r="762" spans="1:18" x14ac:dyDescent="0.25">
      <c r="A762" t="s">
        <v>855</v>
      </c>
      <c r="B762" s="1">
        <v>45403</v>
      </c>
      <c r="C762" t="s">
        <v>72</v>
      </c>
      <c r="D762" t="s">
        <v>31</v>
      </c>
      <c r="E762">
        <v>1</v>
      </c>
      <c r="F762" s="2">
        <v>29.99</v>
      </c>
      <c r="G762">
        <v>15</v>
      </c>
      <c r="H762" s="2">
        <v>25.49</v>
      </c>
      <c r="I762" s="2">
        <v>25.49</v>
      </c>
      <c r="J762" t="s">
        <v>62</v>
      </c>
      <c r="K762" t="s">
        <v>44</v>
      </c>
      <c r="L762" t="s">
        <v>45</v>
      </c>
      <c r="M762" t="s">
        <v>39</v>
      </c>
      <c r="N762" t="s">
        <v>40</v>
      </c>
      <c r="O762" t="s">
        <v>35</v>
      </c>
      <c r="Q762" s="2">
        <f>Ventas[[#This Row],[precio_base]]*Ventas[[#This Row],[cantidad]]</f>
        <v>29.99</v>
      </c>
      <c r="R762" s="2">
        <f>Ventas[[#This Row],[Total bruto (antes de descuento)]]-Ventas[[#This Row],[total_venta]]</f>
        <v>4.5</v>
      </c>
    </row>
    <row r="763" spans="1:18" x14ac:dyDescent="0.25">
      <c r="A763" t="s">
        <v>856</v>
      </c>
      <c r="B763" s="1">
        <v>44973</v>
      </c>
      <c r="C763" t="s">
        <v>141</v>
      </c>
      <c r="D763" t="s">
        <v>38</v>
      </c>
      <c r="E763">
        <v>3</v>
      </c>
      <c r="F763" s="2">
        <v>89.99</v>
      </c>
      <c r="G763">
        <v>10</v>
      </c>
      <c r="H763" s="2">
        <v>80.989999999999995</v>
      </c>
      <c r="I763" s="2">
        <v>242.97</v>
      </c>
      <c r="J763" t="s">
        <v>62</v>
      </c>
      <c r="K763" t="s">
        <v>20</v>
      </c>
      <c r="L763" t="s">
        <v>21</v>
      </c>
      <c r="M763" t="s">
        <v>22</v>
      </c>
      <c r="N763" t="s">
        <v>23</v>
      </c>
      <c r="O763" t="s">
        <v>24</v>
      </c>
      <c r="Q763" s="2">
        <f>Ventas[[#This Row],[precio_base]]*Ventas[[#This Row],[cantidad]]</f>
        <v>269.96999999999997</v>
      </c>
      <c r="R763" s="2">
        <f>Ventas[[#This Row],[Total bruto (antes de descuento)]]-Ventas[[#This Row],[total_venta]]</f>
        <v>26.999999999999972</v>
      </c>
    </row>
    <row r="764" spans="1:18" x14ac:dyDescent="0.25">
      <c r="A764" t="s">
        <v>857</v>
      </c>
      <c r="B764" s="1">
        <v>45215</v>
      </c>
      <c r="C764" t="s">
        <v>61</v>
      </c>
      <c r="D764" t="s">
        <v>38</v>
      </c>
      <c r="E764">
        <v>1</v>
      </c>
      <c r="F764" s="2">
        <v>19.989999999999998</v>
      </c>
      <c r="G764">
        <v>0</v>
      </c>
      <c r="H764" s="2">
        <v>19.989999999999998</v>
      </c>
      <c r="I764" s="2">
        <v>19.989999999999998</v>
      </c>
      <c r="J764" t="s">
        <v>19</v>
      </c>
      <c r="K764" t="s">
        <v>20</v>
      </c>
      <c r="L764" t="s">
        <v>21</v>
      </c>
      <c r="M764" t="s">
        <v>65</v>
      </c>
      <c r="N764" t="s">
        <v>54</v>
      </c>
      <c r="O764" t="s">
        <v>35</v>
      </c>
      <c r="P764">
        <v>3</v>
      </c>
      <c r="Q764" s="2">
        <f>Ventas[[#This Row],[precio_base]]*Ventas[[#This Row],[cantidad]]</f>
        <v>19.989999999999998</v>
      </c>
      <c r="R764" s="2">
        <f>Ventas[[#This Row],[Total bruto (antes de descuento)]]-Ventas[[#This Row],[total_venta]]</f>
        <v>0</v>
      </c>
    </row>
    <row r="765" spans="1:18" x14ac:dyDescent="0.25">
      <c r="A765" t="s">
        <v>858</v>
      </c>
      <c r="B765" s="1">
        <v>45276</v>
      </c>
      <c r="C765" t="s">
        <v>109</v>
      </c>
      <c r="D765" t="s">
        <v>38</v>
      </c>
      <c r="E765">
        <v>5</v>
      </c>
      <c r="F765" s="2">
        <v>39.99</v>
      </c>
      <c r="G765">
        <v>10</v>
      </c>
      <c r="H765" s="2">
        <v>35.99</v>
      </c>
      <c r="I765" s="2">
        <v>179.95</v>
      </c>
      <c r="J765" t="s">
        <v>116</v>
      </c>
      <c r="K765" t="s">
        <v>20</v>
      </c>
      <c r="L765" t="s">
        <v>21</v>
      </c>
      <c r="M765" t="s">
        <v>67</v>
      </c>
      <c r="N765" t="s">
        <v>68</v>
      </c>
      <c r="O765" t="s">
        <v>35</v>
      </c>
      <c r="Q765" s="2">
        <f>Ventas[[#This Row],[precio_base]]*Ventas[[#This Row],[cantidad]]</f>
        <v>199.95000000000002</v>
      </c>
      <c r="R765" s="2">
        <f>Ventas[[#This Row],[Total bruto (antes de descuento)]]-Ventas[[#This Row],[total_venta]]</f>
        <v>20.000000000000028</v>
      </c>
    </row>
    <row r="766" spans="1:18" x14ac:dyDescent="0.25">
      <c r="A766" t="s">
        <v>859</v>
      </c>
      <c r="B766" s="1">
        <v>45273</v>
      </c>
      <c r="C766" t="s">
        <v>122</v>
      </c>
      <c r="D766" t="s">
        <v>43</v>
      </c>
      <c r="E766">
        <v>4</v>
      </c>
      <c r="F766" s="2">
        <v>44.99</v>
      </c>
      <c r="G766">
        <v>5</v>
      </c>
      <c r="H766" s="2">
        <v>42.74</v>
      </c>
      <c r="I766" s="2">
        <v>170.96</v>
      </c>
      <c r="J766" t="s">
        <v>51</v>
      </c>
      <c r="K766" t="s">
        <v>20</v>
      </c>
      <c r="L766" t="s">
        <v>21</v>
      </c>
      <c r="M766" t="s">
        <v>73</v>
      </c>
      <c r="N766" t="s">
        <v>74</v>
      </c>
      <c r="O766" t="s">
        <v>35</v>
      </c>
      <c r="Q766" s="2">
        <f>Ventas[[#This Row],[precio_base]]*Ventas[[#This Row],[cantidad]]</f>
        <v>179.96</v>
      </c>
      <c r="R766" s="2">
        <f>Ventas[[#This Row],[Total bruto (antes de descuento)]]-Ventas[[#This Row],[total_venta]]</f>
        <v>9</v>
      </c>
    </row>
    <row r="767" spans="1:18" x14ac:dyDescent="0.25">
      <c r="A767" t="s">
        <v>860</v>
      </c>
      <c r="B767" s="1">
        <v>45398</v>
      </c>
      <c r="C767" t="s">
        <v>130</v>
      </c>
      <c r="D767" t="s">
        <v>43</v>
      </c>
      <c r="E767">
        <v>5</v>
      </c>
      <c r="F767" s="2">
        <v>24.99</v>
      </c>
      <c r="G767">
        <v>0</v>
      </c>
      <c r="H767" s="2">
        <v>24.99</v>
      </c>
      <c r="I767" s="2">
        <v>124.95</v>
      </c>
      <c r="J767" t="s">
        <v>19</v>
      </c>
      <c r="K767" t="s">
        <v>20</v>
      </c>
      <c r="L767" t="s">
        <v>28</v>
      </c>
      <c r="M767" t="s">
        <v>67</v>
      </c>
      <c r="N767" t="s">
        <v>68</v>
      </c>
      <c r="O767" t="s">
        <v>35</v>
      </c>
      <c r="P767">
        <v>5</v>
      </c>
      <c r="Q767" s="2">
        <f>Ventas[[#This Row],[precio_base]]*Ventas[[#This Row],[cantidad]]</f>
        <v>124.94999999999999</v>
      </c>
      <c r="R767" s="2">
        <f>Ventas[[#This Row],[Total bruto (antes de descuento)]]-Ventas[[#This Row],[total_venta]]</f>
        <v>0</v>
      </c>
    </row>
    <row r="768" spans="1:18" x14ac:dyDescent="0.25">
      <c r="A768" t="s">
        <v>861</v>
      </c>
      <c r="B768" s="1">
        <v>45233</v>
      </c>
      <c r="C768" t="s">
        <v>26</v>
      </c>
      <c r="D768" t="s">
        <v>27</v>
      </c>
      <c r="E768">
        <v>3</v>
      </c>
      <c r="F768" s="2">
        <v>399.99</v>
      </c>
      <c r="G768">
        <v>10</v>
      </c>
      <c r="H768" s="2">
        <v>359.99</v>
      </c>
      <c r="I768" s="2">
        <v>1079.97</v>
      </c>
      <c r="J768" t="s">
        <v>19</v>
      </c>
      <c r="K768" t="s">
        <v>44</v>
      </c>
      <c r="L768" t="s">
        <v>21</v>
      </c>
      <c r="M768" t="s">
        <v>22</v>
      </c>
      <c r="N768" t="s">
        <v>23</v>
      </c>
      <c r="O768" t="s">
        <v>24</v>
      </c>
      <c r="P768">
        <v>3</v>
      </c>
      <c r="Q768" s="2">
        <f>Ventas[[#This Row],[precio_base]]*Ventas[[#This Row],[cantidad]]</f>
        <v>1199.97</v>
      </c>
      <c r="R768" s="2">
        <f>Ventas[[#This Row],[Total bruto (antes de descuento)]]-Ventas[[#This Row],[total_venta]]</f>
        <v>120</v>
      </c>
    </row>
    <row r="769" spans="1:18" x14ac:dyDescent="0.25">
      <c r="A769" t="s">
        <v>862</v>
      </c>
      <c r="B769" s="1">
        <v>44994</v>
      </c>
      <c r="C769" t="s">
        <v>78</v>
      </c>
      <c r="D769" t="s">
        <v>18</v>
      </c>
      <c r="E769">
        <v>3</v>
      </c>
      <c r="F769" s="2">
        <v>349.99</v>
      </c>
      <c r="G769">
        <v>20</v>
      </c>
      <c r="H769" s="2">
        <v>279.99</v>
      </c>
      <c r="I769" s="2">
        <v>839.97</v>
      </c>
      <c r="J769" t="s">
        <v>19</v>
      </c>
      <c r="K769" t="s">
        <v>44</v>
      </c>
      <c r="L769" t="s">
        <v>32</v>
      </c>
      <c r="M769" t="s">
        <v>120</v>
      </c>
      <c r="N769" t="s">
        <v>23</v>
      </c>
      <c r="O769" t="s">
        <v>24</v>
      </c>
      <c r="P769">
        <v>5</v>
      </c>
      <c r="Q769" s="2">
        <f>Ventas[[#This Row],[precio_base]]*Ventas[[#This Row],[cantidad]]</f>
        <v>1049.97</v>
      </c>
      <c r="R769" s="2">
        <f>Ventas[[#This Row],[Total bruto (antes de descuento)]]-Ventas[[#This Row],[total_venta]]</f>
        <v>210</v>
      </c>
    </row>
    <row r="770" spans="1:18" x14ac:dyDescent="0.25">
      <c r="A770" t="s">
        <v>863</v>
      </c>
      <c r="B770" s="1">
        <v>45547</v>
      </c>
      <c r="C770" t="s">
        <v>109</v>
      </c>
      <c r="D770" t="s">
        <v>38</v>
      </c>
      <c r="E770">
        <v>2</v>
      </c>
      <c r="F770" s="2">
        <v>39.99</v>
      </c>
      <c r="G770">
        <v>10</v>
      </c>
      <c r="H770" s="2">
        <v>35.99</v>
      </c>
      <c r="I770" s="2">
        <v>71.98</v>
      </c>
      <c r="J770" t="s">
        <v>19</v>
      </c>
      <c r="K770" t="s">
        <v>52</v>
      </c>
      <c r="L770" t="s">
        <v>28</v>
      </c>
      <c r="M770" t="s">
        <v>39</v>
      </c>
      <c r="N770" t="s">
        <v>40</v>
      </c>
      <c r="O770" t="s">
        <v>35</v>
      </c>
      <c r="P770">
        <v>3</v>
      </c>
      <c r="Q770" s="2">
        <f>Ventas[[#This Row],[precio_base]]*Ventas[[#This Row],[cantidad]]</f>
        <v>79.98</v>
      </c>
      <c r="R770" s="2">
        <f>Ventas[[#This Row],[Total bruto (antes de descuento)]]-Ventas[[#This Row],[total_venta]]</f>
        <v>8</v>
      </c>
    </row>
    <row r="771" spans="1:18" x14ac:dyDescent="0.25">
      <c r="A771" t="s">
        <v>864</v>
      </c>
      <c r="B771" s="1">
        <v>45653</v>
      </c>
      <c r="C771" t="s">
        <v>94</v>
      </c>
      <c r="D771" t="s">
        <v>18</v>
      </c>
      <c r="E771">
        <v>3</v>
      </c>
      <c r="F771" s="2">
        <v>899.99</v>
      </c>
      <c r="G771">
        <v>5</v>
      </c>
      <c r="H771" s="2">
        <v>854.99</v>
      </c>
      <c r="I771" s="2">
        <v>2564.9699999999998</v>
      </c>
      <c r="J771" t="s">
        <v>19</v>
      </c>
      <c r="K771" t="s">
        <v>20</v>
      </c>
      <c r="L771" t="s">
        <v>45</v>
      </c>
      <c r="M771" t="s">
        <v>53</v>
      </c>
      <c r="N771" t="s">
        <v>54</v>
      </c>
      <c r="O771" t="s">
        <v>35</v>
      </c>
      <c r="P771">
        <v>3</v>
      </c>
      <c r="Q771" s="2">
        <f>Ventas[[#This Row],[precio_base]]*Ventas[[#This Row],[cantidad]]</f>
        <v>2699.9700000000003</v>
      </c>
      <c r="R771" s="2">
        <f>Ventas[[#This Row],[Total bruto (antes de descuento)]]-Ventas[[#This Row],[total_venta]]</f>
        <v>135.00000000000045</v>
      </c>
    </row>
    <row r="772" spans="1:18" x14ac:dyDescent="0.25">
      <c r="A772" t="s">
        <v>865</v>
      </c>
      <c r="B772" s="1">
        <v>45148</v>
      </c>
      <c r="C772" t="s">
        <v>87</v>
      </c>
      <c r="D772" t="s">
        <v>27</v>
      </c>
      <c r="E772">
        <v>3</v>
      </c>
      <c r="F772" s="2">
        <v>249.99</v>
      </c>
      <c r="G772">
        <v>0</v>
      </c>
      <c r="H772" s="2">
        <v>249.99</v>
      </c>
      <c r="I772" s="2">
        <v>749.97</v>
      </c>
      <c r="J772" t="s">
        <v>19</v>
      </c>
      <c r="K772" t="s">
        <v>20</v>
      </c>
      <c r="L772" t="s">
        <v>21</v>
      </c>
      <c r="M772" t="s">
        <v>39</v>
      </c>
      <c r="N772" t="s">
        <v>40</v>
      </c>
      <c r="O772" t="s">
        <v>35</v>
      </c>
      <c r="P772">
        <v>1</v>
      </c>
      <c r="Q772" s="2">
        <f>Ventas[[#This Row],[precio_base]]*Ventas[[#This Row],[cantidad]]</f>
        <v>749.97</v>
      </c>
      <c r="R772" s="2">
        <f>Ventas[[#This Row],[Total bruto (antes de descuento)]]-Ventas[[#This Row],[total_venta]]</f>
        <v>0</v>
      </c>
    </row>
    <row r="773" spans="1:18" x14ac:dyDescent="0.25">
      <c r="A773" t="s">
        <v>866</v>
      </c>
      <c r="B773" s="1">
        <v>45381</v>
      </c>
      <c r="C773" t="s">
        <v>87</v>
      </c>
      <c r="D773" t="s">
        <v>27</v>
      </c>
      <c r="E773">
        <v>1</v>
      </c>
      <c r="F773" s="2">
        <v>249.99</v>
      </c>
      <c r="G773">
        <v>20</v>
      </c>
      <c r="H773" s="2">
        <v>199.99</v>
      </c>
      <c r="I773" s="2">
        <v>199.99</v>
      </c>
      <c r="J773" t="s">
        <v>19</v>
      </c>
      <c r="K773" t="s">
        <v>20</v>
      </c>
      <c r="L773" t="s">
        <v>21</v>
      </c>
      <c r="M773" t="s">
        <v>65</v>
      </c>
      <c r="N773" t="s">
        <v>54</v>
      </c>
      <c r="O773" t="s">
        <v>35</v>
      </c>
      <c r="P773">
        <v>4</v>
      </c>
      <c r="Q773" s="2">
        <f>Ventas[[#This Row],[precio_base]]*Ventas[[#This Row],[cantidad]]</f>
        <v>249.99</v>
      </c>
      <c r="R773" s="2">
        <f>Ventas[[#This Row],[Total bruto (antes de descuento)]]-Ventas[[#This Row],[total_venta]]</f>
        <v>50</v>
      </c>
    </row>
    <row r="774" spans="1:18" x14ac:dyDescent="0.25">
      <c r="A774" t="s">
        <v>867</v>
      </c>
      <c r="B774" s="1">
        <v>45463</v>
      </c>
      <c r="C774" t="s">
        <v>83</v>
      </c>
      <c r="D774" t="s">
        <v>38</v>
      </c>
      <c r="E774">
        <v>3</v>
      </c>
      <c r="F774" s="2">
        <v>49.99</v>
      </c>
      <c r="G774">
        <v>0</v>
      </c>
      <c r="H774" s="2">
        <v>49.99</v>
      </c>
      <c r="I774" s="2">
        <v>149.97</v>
      </c>
      <c r="J774" t="s">
        <v>51</v>
      </c>
      <c r="K774" t="s">
        <v>52</v>
      </c>
      <c r="L774" t="s">
        <v>152</v>
      </c>
      <c r="M774" t="s">
        <v>95</v>
      </c>
      <c r="N774" t="s">
        <v>96</v>
      </c>
      <c r="O774" t="s">
        <v>48</v>
      </c>
      <c r="Q774" s="2">
        <f>Ventas[[#This Row],[precio_base]]*Ventas[[#This Row],[cantidad]]</f>
        <v>149.97</v>
      </c>
      <c r="R774" s="2">
        <f>Ventas[[#This Row],[Total bruto (antes de descuento)]]-Ventas[[#This Row],[total_venta]]</f>
        <v>0</v>
      </c>
    </row>
    <row r="775" spans="1:18" x14ac:dyDescent="0.25">
      <c r="A775" t="s">
        <v>868</v>
      </c>
      <c r="B775" s="1">
        <v>45619</v>
      </c>
      <c r="C775" t="s">
        <v>78</v>
      </c>
      <c r="D775" t="s">
        <v>18</v>
      </c>
      <c r="E775">
        <v>2</v>
      </c>
      <c r="F775" s="2">
        <v>349.99</v>
      </c>
      <c r="G775">
        <v>15</v>
      </c>
      <c r="H775" s="2">
        <v>297.49</v>
      </c>
      <c r="I775" s="2">
        <v>594.98</v>
      </c>
      <c r="J775" t="s">
        <v>19</v>
      </c>
      <c r="K775" t="s">
        <v>44</v>
      </c>
      <c r="L775" t="s">
        <v>45</v>
      </c>
      <c r="M775" t="s">
        <v>120</v>
      </c>
      <c r="N775" t="s">
        <v>23</v>
      </c>
      <c r="O775" t="s">
        <v>24</v>
      </c>
      <c r="P775">
        <v>1</v>
      </c>
      <c r="Q775" s="2">
        <f>Ventas[[#This Row],[precio_base]]*Ventas[[#This Row],[cantidad]]</f>
        <v>699.98</v>
      </c>
      <c r="R775" s="2">
        <f>Ventas[[#This Row],[Total bruto (antes de descuento)]]-Ventas[[#This Row],[total_venta]]</f>
        <v>105</v>
      </c>
    </row>
    <row r="776" spans="1:18" x14ac:dyDescent="0.25">
      <c r="A776" t="s">
        <v>869</v>
      </c>
      <c r="B776" s="1">
        <v>45245</v>
      </c>
      <c r="C776" t="s">
        <v>122</v>
      </c>
      <c r="D776" t="s">
        <v>43</v>
      </c>
      <c r="E776">
        <v>1</v>
      </c>
      <c r="F776" s="2">
        <v>44.99</v>
      </c>
      <c r="G776">
        <v>15</v>
      </c>
      <c r="H776" s="2">
        <v>38.24</v>
      </c>
      <c r="I776" s="2">
        <v>38.24</v>
      </c>
      <c r="J776" t="s">
        <v>62</v>
      </c>
      <c r="K776" t="s">
        <v>20</v>
      </c>
      <c r="L776" t="s">
        <v>45</v>
      </c>
      <c r="M776" t="s">
        <v>67</v>
      </c>
      <c r="N776" t="s">
        <v>68</v>
      </c>
      <c r="O776" t="s">
        <v>35</v>
      </c>
      <c r="Q776" s="2">
        <f>Ventas[[#This Row],[precio_base]]*Ventas[[#This Row],[cantidad]]</f>
        <v>44.99</v>
      </c>
      <c r="R776" s="2">
        <f>Ventas[[#This Row],[Total bruto (antes de descuento)]]-Ventas[[#This Row],[total_venta]]</f>
        <v>6.75</v>
      </c>
    </row>
    <row r="777" spans="1:18" x14ac:dyDescent="0.25">
      <c r="A777" t="s">
        <v>870</v>
      </c>
      <c r="B777" s="1">
        <v>44974</v>
      </c>
      <c r="C777" t="s">
        <v>17</v>
      </c>
      <c r="D777" t="s">
        <v>18</v>
      </c>
      <c r="E777">
        <v>5</v>
      </c>
      <c r="F777" s="2">
        <v>45.99</v>
      </c>
      <c r="G777">
        <v>20</v>
      </c>
      <c r="H777" s="2">
        <v>36.79</v>
      </c>
      <c r="I777" s="2">
        <v>183.95</v>
      </c>
      <c r="J777" t="s">
        <v>51</v>
      </c>
      <c r="K777" t="s">
        <v>20</v>
      </c>
      <c r="L777" t="s">
        <v>28</v>
      </c>
      <c r="M777" t="s">
        <v>58</v>
      </c>
      <c r="N777" t="s">
        <v>59</v>
      </c>
      <c r="O777" t="s">
        <v>24</v>
      </c>
      <c r="Q777" s="2">
        <f>Ventas[[#This Row],[precio_base]]*Ventas[[#This Row],[cantidad]]</f>
        <v>229.95000000000002</v>
      </c>
      <c r="R777" s="2">
        <f>Ventas[[#This Row],[Total bruto (antes de descuento)]]-Ventas[[#This Row],[total_venta]]</f>
        <v>46.000000000000028</v>
      </c>
    </row>
    <row r="778" spans="1:18" x14ac:dyDescent="0.25">
      <c r="A778" t="s">
        <v>871</v>
      </c>
      <c r="B778" s="1">
        <v>45581</v>
      </c>
      <c r="C778" t="s">
        <v>130</v>
      </c>
      <c r="D778" t="s">
        <v>43</v>
      </c>
      <c r="E778">
        <v>2</v>
      </c>
      <c r="F778" s="2">
        <v>24.99</v>
      </c>
      <c r="G778">
        <v>0</v>
      </c>
      <c r="H778" s="2">
        <v>24.99</v>
      </c>
      <c r="I778" s="2">
        <v>49.98</v>
      </c>
      <c r="J778" t="s">
        <v>19</v>
      </c>
      <c r="K778" t="s">
        <v>20</v>
      </c>
      <c r="L778" t="s">
        <v>21</v>
      </c>
      <c r="M778" t="s">
        <v>58</v>
      </c>
      <c r="N778" t="s">
        <v>59</v>
      </c>
      <c r="O778" t="s">
        <v>24</v>
      </c>
      <c r="P778">
        <v>4</v>
      </c>
      <c r="Q778" s="2">
        <f>Ventas[[#This Row],[precio_base]]*Ventas[[#This Row],[cantidad]]</f>
        <v>49.98</v>
      </c>
      <c r="R778" s="2">
        <f>Ventas[[#This Row],[Total bruto (antes de descuento)]]-Ventas[[#This Row],[total_venta]]</f>
        <v>0</v>
      </c>
    </row>
    <row r="779" spans="1:18" x14ac:dyDescent="0.25">
      <c r="A779" t="s">
        <v>872</v>
      </c>
      <c r="B779" s="1">
        <v>45614</v>
      </c>
      <c r="C779" t="s">
        <v>17</v>
      </c>
      <c r="D779" t="s">
        <v>18</v>
      </c>
      <c r="E779">
        <v>3</v>
      </c>
      <c r="F779" s="2">
        <v>45.99</v>
      </c>
      <c r="G779">
        <v>0</v>
      </c>
      <c r="H779" s="2">
        <v>45.99</v>
      </c>
      <c r="I779" s="2">
        <v>137.97</v>
      </c>
      <c r="J779" t="s">
        <v>19</v>
      </c>
      <c r="K779" t="s">
        <v>20</v>
      </c>
      <c r="L779" t="s">
        <v>28</v>
      </c>
      <c r="M779" t="s">
        <v>95</v>
      </c>
      <c r="N779" t="s">
        <v>96</v>
      </c>
      <c r="O779" t="s">
        <v>48</v>
      </c>
      <c r="P779">
        <v>5</v>
      </c>
      <c r="Q779" s="2">
        <f>Ventas[[#This Row],[precio_base]]*Ventas[[#This Row],[cantidad]]</f>
        <v>137.97</v>
      </c>
      <c r="R779" s="2">
        <f>Ventas[[#This Row],[Total bruto (antes de descuento)]]-Ventas[[#This Row],[total_venta]]</f>
        <v>0</v>
      </c>
    </row>
    <row r="780" spans="1:18" x14ac:dyDescent="0.25">
      <c r="A780" t="s">
        <v>873</v>
      </c>
      <c r="B780" s="1">
        <v>45031</v>
      </c>
      <c r="C780" t="s">
        <v>115</v>
      </c>
      <c r="D780" t="s">
        <v>18</v>
      </c>
      <c r="E780">
        <v>5</v>
      </c>
      <c r="F780" s="2">
        <v>799.99</v>
      </c>
      <c r="G780">
        <v>0</v>
      </c>
      <c r="H780" s="2">
        <v>799.99</v>
      </c>
      <c r="I780" s="2">
        <v>3999.95</v>
      </c>
      <c r="J780" t="s">
        <v>19</v>
      </c>
      <c r="K780" t="s">
        <v>20</v>
      </c>
      <c r="L780" t="s">
        <v>28</v>
      </c>
      <c r="M780" t="s">
        <v>58</v>
      </c>
      <c r="N780" t="s">
        <v>59</v>
      </c>
      <c r="O780" t="s">
        <v>24</v>
      </c>
      <c r="P780">
        <v>3</v>
      </c>
      <c r="Q780" s="2">
        <f>Ventas[[#This Row],[precio_base]]*Ventas[[#This Row],[cantidad]]</f>
        <v>3999.95</v>
      </c>
      <c r="R780" s="2">
        <f>Ventas[[#This Row],[Total bruto (antes de descuento)]]-Ventas[[#This Row],[total_venta]]</f>
        <v>0</v>
      </c>
    </row>
    <row r="781" spans="1:18" x14ac:dyDescent="0.25">
      <c r="A781" t="s">
        <v>874</v>
      </c>
      <c r="B781" s="1">
        <v>45514</v>
      </c>
      <c r="C781" t="s">
        <v>163</v>
      </c>
      <c r="D781" t="s">
        <v>18</v>
      </c>
      <c r="E781">
        <v>2</v>
      </c>
      <c r="F781" s="2">
        <v>499.99</v>
      </c>
      <c r="G781">
        <v>0</v>
      </c>
      <c r="H781" s="2">
        <v>499.99</v>
      </c>
      <c r="I781" s="2">
        <v>999.98</v>
      </c>
      <c r="J781" t="s">
        <v>19</v>
      </c>
      <c r="K781" t="s">
        <v>20</v>
      </c>
      <c r="L781" t="s">
        <v>45</v>
      </c>
      <c r="M781" t="s">
        <v>53</v>
      </c>
      <c r="N781" t="s">
        <v>54</v>
      </c>
      <c r="O781" t="s">
        <v>35</v>
      </c>
      <c r="P781">
        <v>2</v>
      </c>
      <c r="Q781" s="2">
        <f>Ventas[[#This Row],[precio_base]]*Ventas[[#This Row],[cantidad]]</f>
        <v>999.98</v>
      </c>
      <c r="R781" s="2">
        <f>Ventas[[#This Row],[Total bruto (antes de descuento)]]-Ventas[[#This Row],[total_venta]]</f>
        <v>0</v>
      </c>
    </row>
    <row r="782" spans="1:18" x14ac:dyDescent="0.25">
      <c r="A782" t="s">
        <v>875</v>
      </c>
      <c r="B782" s="1">
        <v>44956</v>
      </c>
      <c r="C782" t="s">
        <v>92</v>
      </c>
      <c r="D782" t="s">
        <v>27</v>
      </c>
      <c r="E782">
        <v>1</v>
      </c>
      <c r="F782" s="2">
        <v>79.989999999999995</v>
      </c>
      <c r="G782">
        <v>0</v>
      </c>
      <c r="H782" s="2">
        <v>79.989999999999995</v>
      </c>
      <c r="I782" s="2">
        <v>79.989999999999995</v>
      </c>
      <c r="J782" t="s">
        <v>19</v>
      </c>
      <c r="K782" t="s">
        <v>20</v>
      </c>
      <c r="L782" t="s">
        <v>21</v>
      </c>
      <c r="M782" t="s">
        <v>95</v>
      </c>
      <c r="N782" t="s">
        <v>96</v>
      </c>
      <c r="O782" t="s">
        <v>48</v>
      </c>
      <c r="P782">
        <v>5</v>
      </c>
      <c r="Q782" s="2">
        <f>Ventas[[#This Row],[precio_base]]*Ventas[[#This Row],[cantidad]]</f>
        <v>79.989999999999995</v>
      </c>
      <c r="R782" s="2">
        <f>Ventas[[#This Row],[Total bruto (antes de descuento)]]-Ventas[[#This Row],[total_venta]]</f>
        <v>0</v>
      </c>
    </row>
    <row r="783" spans="1:18" x14ac:dyDescent="0.25">
      <c r="A783" t="s">
        <v>876</v>
      </c>
      <c r="B783" s="1">
        <v>45533</v>
      </c>
      <c r="C783" t="s">
        <v>72</v>
      </c>
      <c r="D783" t="s">
        <v>31</v>
      </c>
      <c r="E783">
        <v>4</v>
      </c>
      <c r="F783" s="2">
        <v>29.99</v>
      </c>
      <c r="G783">
        <v>10</v>
      </c>
      <c r="H783" s="2">
        <v>26.99</v>
      </c>
      <c r="I783" s="2">
        <v>107.96</v>
      </c>
      <c r="J783" t="s">
        <v>19</v>
      </c>
      <c r="K783" t="s">
        <v>52</v>
      </c>
      <c r="L783" t="s">
        <v>28</v>
      </c>
      <c r="M783" t="s">
        <v>123</v>
      </c>
      <c r="N783" t="s">
        <v>124</v>
      </c>
      <c r="O783" t="s">
        <v>24</v>
      </c>
      <c r="P783">
        <v>5</v>
      </c>
      <c r="Q783" s="2">
        <f>Ventas[[#This Row],[precio_base]]*Ventas[[#This Row],[cantidad]]</f>
        <v>119.96</v>
      </c>
      <c r="R783" s="2">
        <f>Ventas[[#This Row],[Total bruto (antes de descuento)]]-Ventas[[#This Row],[total_venta]]</f>
        <v>12</v>
      </c>
    </row>
    <row r="784" spans="1:18" x14ac:dyDescent="0.25">
      <c r="A784" t="s">
        <v>877</v>
      </c>
      <c r="B784" s="1">
        <v>45007</v>
      </c>
      <c r="C784" t="s">
        <v>122</v>
      </c>
      <c r="D784" t="s">
        <v>43</v>
      </c>
      <c r="E784">
        <v>4</v>
      </c>
      <c r="F784" s="2">
        <v>44.99</v>
      </c>
      <c r="G784">
        <v>10</v>
      </c>
      <c r="H784" s="2">
        <v>40.49</v>
      </c>
      <c r="I784" s="2">
        <v>161.96</v>
      </c>
      <c r="J784" t="s">
        <v>19</v>
      </c>
      <c r="K784" t="s">
        <v>52</v>
      </c>
      <c r="L784" t="s">
        <v>28</v>
      </c>
      <c r="M784" t="s">
        <v>67</v>
      </c>
      <c r="N784" t="s">
        <v>68</v>
      </c>
      <c r="O784" t="s">
        <v>35</v>
      </c>
      <c r="P784">
        <v>1</v>
      </c>
      <c r="Q784" s="2">
        <f>Ventas[[#This Row],[precio_base]]*Ventas[[#This Row],[cantidad]]</f>
        <v>179.96</v>
      </c>
      <c r="R784" s="2">
        <f>Ventas[[#This Row],[Total bruto (antes de descuento)]]-Ventas[[#This Row],[total_venta]]</f>
        <v>18</v>
      </c>
    </row>
    <row r="785" spans="1:18" x14ac:dyDescent="0.25">
      <c r="A785" t="s">
        <v>878</v>
      </c>
      <c r="B785" s="1">
        <v>45393</v>
      </c>
      <c r="C785" t="s">
        <v>83</v>
      </c>
      <c r="D785" t="s">
        <v>38</v>
      </c>
      <c r="E785">
        <v>4</v>
      </c>
      <c r="F785" s="2">
        <v>49.99</v>
      </c>
      <c r="G785">
        <v>5</v>
      </c>
      <c r="H785" s="2">
        <v>47.49</v>
      </c>
      <c r="I785" s="2">
        <v>189.96</v>
      </c>
      <c r="J785" t="s">
        <v>19</v>
      </c>
      <c r="K785" t="s">
        <v>20</v>
      </c>
      <c r="L785" t="s">
        <v>32</v>
      </c>
      <c r="M785" t="s">
        <v>22</v>
      </c>
      <c r="N785" t="s">
        <v>23</v>
      </c>
      <c r="O785" t="s">
        <v>24</v>
      </c>
      <c r="P785">
        <v>3</v>
      </c>
      <c r="Q785" s="2">
        <f>Ventas[[#This Row],[precio_base]]*Ventas[[#This Row],[cantidad]]</f>
        <v>199.96</v>
      </c>
      <c r="R785" s="2">
        <f>Ventas[[#This Row],[Total bruto (antes de descuento)]]-Ventas[[#This Row],[total_venta]]</f>
        <v>10</v>
      </c>
    </row>
    <row r="786" spans="1:18" x14ac:dyDescent="0.25">
      <c r="A786" t="s">
        <v>879</v>
      </c>
      <c r="B786" s="1">
        <v>45299</v>
      </c>
      <c r="C786" t="s">
        <v>109</v>
      </c>
      <c r="D786" t="s">
        <v>38</v>
      </c>
      <c r="E786">
        <v>2</v>
      </c>
      <c r="F786" s="2">
        <v>39.99</v>
      </c>
      <c r="G786">
        <v>15</v>
      </c>
      <c r="H786" s="2">
        <v>33.99</v>
      </c>
      <c r="I786" s="2">
        <v>67.98</v>
      </c>
      <c r="J786" t="s">
        <v>90</v>
      </c>
      <c r="K786" t="s">
        <v>52</v>
      </c>
      <c r="L786" t="s">
        <v>32</v>
      </c>
      <c r="M786" t="s">
        <v>123</v>
      </c>
      <c r="N786" t="s">
        <v>124</v>
      </c>
      <c r="O786" t="s">
        <v>24</v>
      </c>
      <c r="Q786" s="2">
        <f>Ventas[[#This Row],[precio_base]]*Ventas[[#This Row],[cantidad]]</f>
        <v>79.98</v>
      </c>
      <c r="R786" s="2">
        <f>Ventas[[#This Row],[Total bruto (antes de descuento)]]-Ventas[[#This Row],[total_venta]]</f>
        <v>12</v>
      </c>
    </row>
    <row r="787" spans="1:18" x14ac:dyDescent="0.25">
      <c r="A787" t="s">
        <v>880</v>
      </c>
      <c r="B787" s="1">
        <v>45391</v>
      </c>
      <c r="C787" t="s">
        <v>92</v>
      </c>
      <c r="D787" t="s">
        <v>27</v>
      </c>
      <c r="E787">
        <v>1</v>
      </c>
      <c r="F787" s="2">
        <v>79.989999999999995</v>
      </c>
      <c r="G787">
        <v>0</v>
      </c>
      <c r="H787" s="2">
        <v>79.989999999999995</v>
      </c>
      <c r="I787" s="2">
        <v>79.989999999999995</v>
      </c>
      <c r="J787" t="s">
        <v>19</v>
      </c>
      <c r="K787" t="s">
        <v>44</v>
      </c>
      <c r="L787" t="s">
        <v>32</v>
      </c>
      <c r="M787" t="s">
        <v>123</v>
      </c>
      <c r="N787" t="s">
        <v>124</v>
      </c>
      <c r="O787" t="s">
        <v>24</v>
      </c>
      <c r="P787">
        <v>3</v>
      </c>
      <c r="Q787" s="2">
        <f>Ventas[[#This Row],[precio_base]]*Ventas[[#This Row],[cantidad]]</f>
        <v>79.989999999999995</v>
      </c>
      <c r="R787" s="2">
        <f>Ventas[[#This Row],[Total bruto (antes de descuento)]]-Ventas[[#This Row],[total_venta]]</f>
        <v>0</v>
      </c>
    </row>
    <row r="788" spans="1:18" x14ac:dyDescent="0.25">
      <c r="A788" t="s">
        <v>881</v>
      </c>
      <c r="B788" s="1">
        <v>45283</v>
      </c>
      <c r="C788" t="s">
        <v>156</v>
      </c>
      <c r="D788" t="s">
        <v>27</v>
      </c>
      <c r="E788">
        <v>5</v>
      </c>
      <c r="F788" s="2">
        <v>49.99</v>
      </c>
      <c r="G788">
        <v>0</v>
      </c>
      <c r="H788" s="2">
        <v>49.99</v>
      </c>
      <c r="I788" s="2">
        <v>249.95</v>
      </c>
      <c r="J788" t="s">
        <v>19</v>
      </c>
      <c r="K788" t="s">
        <v>52</v>
      </c>
      <c r="L788" t="s">
        <v>28</v>
      </c>
      <c r="M788" t="s">
        <v>120</v>
      </c>
      <c r="N788" t="s">
        <v>23</v>
      </c>
      <c r="O788" t="s">
        <v>24</v>
      </c>
      <c r="P788">
        <v>3</v>
      </c>
      <c r="Q788" s="2">
        <f>Ventas[[#This Row],[precio_base]]*Ventas[[#This Row],[cantidad]]</f>
        <v>249.95000000000002</v>
      </c>
      <c r="R788" s="2">
        <f>Ventas[[#This Row],[Total bruto (antes de descuento)]]-Ventas[[#This Row],[total_venta]]</f>
        <v>0</v>
      </c>
    </row>
    <row r="789" spans="1:18" x14ac:dyDescent="0.25">
      <c r="A789" t="s">
        <v>882</v>
      </c>
      <c r="B789" s="1">
        <v>45496</v>
      </c>
      <c r="C789" t="s">
        <v>72</v>
      </c>
      <c r="D789" t="s">
        <v>31</v>
      </c>
      <c r="E789">
        <v>1</v>
      </c>
      <c r="F789" s="2">
        <v>29.99</v>
      </c>
      <c r="G789">
        <v>20</v>
      </c>
      <c r="H789" s="2">
        <v>23.99</v>
      </c>
      <c r="I789" s="2">
        <v>23.99</v>
      </c>
      <c r="J789" t="s">
        <v>19</v>
      </c>
      <c r="K789" t="s">
        <v>20</v>
      </c>
      <c r="L789" t="s">
        <v>45</v>
      </c>
      <c r="M789" t="s">
        <v>101</v>
      </c>
      <c r="N789" t="s">
        <v>102</v>
      </c>
      <c r="O789" t="s">
        <v>35</v>
      </c>
      <c r="P789">
        <v>5</v>
      </c>
      <c r="Q789" s="2">
        <f>Ventas[[#This Row],[precio_base]]*Ventas[[#This Row],[cantidad]]</f>
        <v>29.99</v>
      </c>
      <c r="R789" s="2">
        <f>Ventas[[#This Row],[Total bruto (antes de descuento)]]-Ventas[[#This Row],[total_venta]]</f>
        <v>6</v>
      </c>
    </row>
    <row r="790" spans="1:18" x14ac:dyDescent="0.25">
      <c r="A790" t="s">
        <v>883</v>
      </c>
      <c r="B790" s="1">
        <v>45176</v>
      </c>
      <c r="C790" t="s">
        <v>50</v>
      </c>
      <c r="D790" t="s">
        <v>27</v>
      </c>
      <c r="E790">
        <v>2</v>
      </c>
      <c r="F790" s="2">
        <v>149.99</v>
      </c>
      <c r="G790">
        <v>5</v>
      </c>
      <c r="H790" s="2">
        <v>142.49</v>
      </c>
      <c r="I790" s="2">
        <v>284.98</v>
      </c>
      <c r="J790" t="s">
        <v>19</v>
      </c>
      <c r="K790" t="s">
        <v>20</v>
      </c>
      <c r="L790" t="s">
        <v>28</v>
      </c>
      <c r="M790" t="s">
        <v>123</v>
      </c>
      <c r="N790" t="s">
        <v>124</v>
      </c>
      <c r="O790" t="s">
        <v>24</v>
      </c>
      <c r="P790">
        <v>4</v>
      </c>
      <c r="Q790" s="2">
        <f>Ventas[[#This Row],[precio_base]]*Ventas[[#This Row],[cantidad]]</f>
        <v>299.98</v>
      </c>
      <c r="R790" s="2">
        <f>Ventas[[#This Row],[Total bruto (antes de descuento)]]-Ventas[[#This Row],[total_venta]]</f>
        <v>15</v>
      </c>
    </row>
    <row r="791" spans="1:18" x14ac:dyDescent="0.25">
      <c r="A791" t="s">
        <v>884</v>
      </c>
      <c r="B791" s="1">
        <v>45372</v>
      </c>
      <c r="C791" t="s">
        <v>26</v>
      </c>
      <c r="D791" t="s">
        <v>27</v>
      </c>
      <c r="E791">
        <v>3</v>
      </c>
      <c r="F791" s="2">
        <v>399.99</v>
      </c>
      <c r="G791">
        <v>10</v>
      </c>
      <c r="H791" s="2">
        <v>359.99</v>
      </c>
      <c r="I791" s="2">
        <v>1079.97</v>
      </c>
      <c r="J791" t="s">
        <v>51</v>
      </c>
      <c r="K791" t="s">
        <v>44</v>
      </c>
      <c r="L791" t="s">
        <v>21</v>
      </c>
      <c r="M791" t="s">
        <v>63</v>
      </c>
      <c r="N791" t="s">
        <v>34</v>
      </c>
      <c r="O791" t="s">
        <v>24</v>
      </c>
      <c r="Q791" s="2">
        <f>Ventas[[#This Row],[precio_base]]*Ventas[[#This Row],[cantidad]]</f>
        <v>1199.97</v>
      </c>
      <c r="R791" s="2">
        <f>Ventas[[#This Row],[Total bruto (antes de descuento)]]-Ventas[[#This Row],[total_venta]]</f>
        <v>120</v>
      </c>
    </row>
    <row r="792" spans="1:18" x14ac:dyDescent="0.25">
      <c r="A792" t="s">
        <v>885</v>
      </c>
      <c r="B792" s="1">
        <v>45655</v>
      </c>
      <c r="C792" t="s">
        <v>26</v>
      </c>
      <c r="D792" t="s">
        <v>27</v>
      </c>
      <c r="E792">
        <v>4</v>
      </c>
      <c r="F792" s="2">
        <v>399.99</v>
      </c>
      <c r="G792">
        <v>0</v>
      </c>
      <c r="H792" s="2">
        <v>399.99</v>
      </c>
      <c r="I792" s="2">
        <v>1599.96</v>
      </c>
      <c r="J792" t="s">
        <v>19</v>
      </c>
      <c r="K792" t="s">
        <v>20</v>
      </c>
      <c r="L792" t="s">
        <v>21</v>
      </c>
      <c r="M792" t="s">
        <v>101</v>
      </c>
      <c r="N792" t="s">
        <v>102</v>
      </c>
      <c r="O792" t="s">
        <v>35</v>
      </c>
      <c r="P792">
        <v>4</v>
      </c>
      <c r="Q792" s="2">
        <f>Ventas[[#This Row],[precio_base]]*Ventas[[#This Row],[cantidad]]</f>
        <v>1599.96</v>
      </c>
      <c r="R792" s="2">
        <f>Ventas[[#This Row],[Total bruto (antes de descuento)]]-Ventas[[#This Row],[total_venta]]</f>
        <v>0</v>
      </c>
    </row>
    <row r="793" spans="1:18" x14ac:dyDescent="0.25">
      <c r="A793" t="s">
        <v>886</v>
      </c>
      <c r="B793" s="1">
        <v>45107</v>
      </c>
      <c r="C793" t="s">
        <v>83</v>
      </c>
      <c r="D793" t="s">
        <v>38</v>
      </c>
      <c r="E793">
        <v>4</v>
      </c>
      <c r="F793" s="2">
        <v>49.99</v>
      </c>
      <c r="G793">
        <v>0</v>
      </c>
      <c r="H793" s="2">
        <v>49.99</v>
      </c>
      <c r="I793" s="2">
        <v>199.96</v>
      </c>
      <c r="J793" t="s">
        <v>19</v>
      </c>
      <c r="K793" t="s">
        <v>52</v>
      </c>
      <c r="L793" t="s">
        <v>28</v>
      </c>
      <c r="M793" t="s">
        <v>73</v>
      </c>
      <c r="N793" t="s">
        <v>74</v>
      </c>
      <c r="O793" t="s">
        <v>35</v>
      </c>
      <c r="P793">
        <v>4</v>
      </c>
      <c r="Q793" s="2">
        <f>Ventas[[#This Row],[precio_base]]*Ventas[[#This Row],[cantidad]]</f>
        <v>199.96</v>
      </c>
      <c r="R793" s="2">
        <f>Ventas[[#This Row],[Total bruto (antes de descuento)]]-Ventas[[#This Row],[total_venta]]</f>
        <v>0</v>
      </c>
    </row>
    <row r="794" spans="1:18" x14ac:dyDescent="0.25">
      <c r="A794" t="s">
        <v>887</v>
      </c>
      <c r="B794" s="1">
        <v>45262</v>
      </c>
      <c r="C794" t="s">
        <v>92</v>
      </c>
      <c r="D794" t="s">
        <v>27</v>
      </c>
      <c r="E794">
        <v>1</v>
      </c>
      <c r="F794" s="2">
        <v>79.989999999999995</v>
      </c>
      <c r="G794">
        <v>0</v>
      </c>
      <c r="H794" s="2">
        <v>79.989999999999995</v>
      </c>
      <c r="I794" s="2">
        <v>79.989999999999995</v>
      </c>
      <c r="J794" t="s">
        <v>19</v>
      </c>
      <c r="K794" t="s">
        <v>52</v>
      </c>
      <c r="L794" t="s">
        <v>152</v>
      </c>
      <c r="M794" t="s">
        <v>63</v>
      </c>
      <c r="N794" t="s">
        <v>34</v>
      </c>
      <c r="O794" t="s">
        <v>24</v>
      </c>
      <c r="P794">
        <v>1</v>
      </c>
      <c r="Q794" s="2">
        <f>Ventas[[#This Row],[precio_base]]*Ventas[[#This Row],[cantidad]]</f>
        <v>79.989999999999995</v>
      </c>
      <c r="R794" s="2">
        <f>Ventas[[#This Row],[Total bruto (antes de descuento)]]-Ventas[[#This Row],[total_venta]]</f>
        <v>0</v>
      </c>
    </row>
    <row r="795" spans="1:18" x14ac:dyDescent="0.25">
      <c r="A795" t="s">
        <v>888</v>
      </c>
      <c r="B795" s="1">
        <v>45077</v>
      </c>
      <c r="C795" t="s">
        <v>81</v>
      </c>
      <c r="D795" t="s">
        <v>31</v>
      </c>
      <c r="E795">
        <v>2</v>
      </c>
      <c r="F795" s="2">
        <v>189.99</v>
      </c>
      <c r="G795">
        <v>5</v>
      </c>
      <c r="H795" s="2">
        <v>180.49</v>
      </c>
      <c r="I795" s="2">
        <v>360.98</v>
      </c>
      <c r="J795" t="s">
        <v>19</v>
      </c>
      <c r="K795" t="s">
        <v>44</v>
      </c>
      <c r="L795" t="s">
        <v>45</v>
      </c>
      <c r="M795" t="s">
        <v>120</v>
      </c>
      <c r="N795" t="s">
        <v>23</v>
      </c>
      <c r="O795" t="s">
        <v>24</v>
      </c>
      <c r="P795">
        <v>2</v>
      </c>
      <c r="Q795" s="2">
        <f>Ventas[[#This Row],[precio_base]]*Ventas[[#This Row],[cantidad]]</f>
        <v>379.98</v>
      </c>
      <c r="R795" s="2">
        <f>Ventas[[#This Row],[Total bruto (antes de descuento)]]-Ventas[[#This Row],[total_venta]]</f>
        <v>19</v>
      </c>
    </row>
    <row r="796" spans="1:18" x14ac:dyDescent="0.25">
      <c r="A796" t="s">
        <v>889</v>
      </c>
      <c r="B796" s="1">
        <v>45624</v>
      </c>
      <c r="C796" t="s">
        <v>130</v>
      </c>
      <c r="D796" t="s">
        <v>43</v>
      </c>
      <c r="E796">
        <v>3</v>
      </c>
      <c r="F796" s="2">
        <v>24.99</v>
      </c>
      <c r="G796">
        <v>0</v>
      </c>
      <c r="H796" s="2">
        <v>24.99</v>
      </c>
      <c r="I796" s="2">
        <v>74.97</v>
      </c>
      <c r="J796" t="s">
        <v>19</v>
      </c>
      <c r="K796" t="s">
        <v>44</v>
      </c>
      <c r="L796" t="s">
        <v>152</v>
      </c>
      <c r="M796" t="s">
        <v>53</v>
      </c>
      <c r="N796" t="s">
        <v>54</v>
      </c>
      <c r="O796" t="s">
        <v>35</v>
      </c>
      <c r="P796">
        <v>4</v>
      </c>
      <c r="Q796" s="2">
        <f>Ventas[[#This Row],[precio_base]]*Ventas[[#This Row],[cantidad]]</f>
        <v>74.97</v>
      </c>
      <c r="R796" s="2">
        <f>Ventas[[#This Row],[Total bruto (antes de descuento)]]-Ventas[[#This Row],[total_venta]]</f>
        <v>0</v>
      </c>
    </row>
    <row r="797" spans="1:18" x14ac:dyDescent="0.25">
      <c r="A797" t="s">
        <v>890</v>
      </c>
      <c r="B797" s="1">
        <v>45279</v>
      </c>
      <c r="C797" t="s">
        <v>56</v>
      </c>
      <c r="D797" t="s">
        <v>18</v>
      </c>
      <c r="E797">
        <v>5</v>
      </c>
      <c r="F797" s="2">
        <v>89.99</v>
      </c>
      <c r="G797">
        <v>0</v>
      </c>
      <c r="H797" s="2">
        <v>89.99</v>
      </c>
      <c r="I797" s="2">
        <v>449.95</v>
      </c>
      <c r="J797" t="s">
        <v>51</v>
      </c>
      <c r="K797" t="s">
        <v>20</v>
      </c>
      <c r="L797" t="s">
        <v>21</v>
      </c>
      <c r="M797" t="s">
        <v>65</v>
      </c>
      <c r="N797" t="s">
        <v>54</v>
      </c>
      <c r="O797" t="s">
        <v>35</v>
      </c>
      <c r="Q797" s="2">
        <f>Ventas[[#This Row],[precio_base]]*Ventas[[#This Row],[cantidad]]</f>
        <v>449.95</v>
      </c>
      <c r="R797" s="2">
        <f>Ventas[[#This Row],[Total bruto (antes de descuento)]]-Ventas[[#This Row],[total_venta]]</f>
        <v>0</v>
      </c>
    </row>
    <row r="798" spans="1:18" x14ac:dyDescent="0.25">
      <c r="A798" t="s">
        <v>891</v>
      </c>
      <c r="B798" s="1">
        <v>45228</v>
      </c>
      <c r="C798" t="s">
        <v>94</v>
      </c>
      <c r="D798" t="s">
        <v>18</v>
      </c>
      <c r="E798">
        <v>3</v>
      </c>
      <c r="F798" s="2">
        <v>899.99</v>
      </c>
      <c r="G798">
        <v>10</v>
      </c>
      <c r="H798" s="2">
        <v>809.99</v>
      </c>
      <c r="I798" s="2">
        <v>2429.9699999999998</v>
      </c>
      <c r="J798" t="s">
        <v>116</v>
      </c>
      <c r="K798" t="s">
        <v>44</v>
      </c>
      <c r="L798" t="s">
        <v>32</v>
      </c>
      <c r="M798" t="s">
        <v>46</v>
      </c>
      <c r="N798" t="s">
        <v>47</v>
      </c>
      <c r="O798" t="s">
        <v>48</v>
      </c>
      <c r="Q798" s="2">
        <f>Ventas[[#This Row],[precio_base]]*Ventas[[#This Row],[cantidad]]</f>
        <v>2699.9700000000003</v>
      </c>
      <c r="R798" s="2">
        <f>Ventas[[#This Row],[Total bruto (antes de descuento)]]-Ventas[[#This Row],[total_venta]]</f>
        <v>270.00000000000045</v>
      </c>
    </row>
    <row r="799" spans="1:18" x14ac:dyDescent="0.25">
      <c r="A799" t="s">
        <v>892</v>
      </c>
      <c r="B799" s="1">
        <v>45294</v>
      </c>
      <c r="C799" t="s">
        <v>17</v>
      </c>
      <c r="D799" t="s">
        <v>18</v>
      </c>
      <c r="E799">
        <v>3</v>
      </c>
      <c r="F799" s="2">
        <v>45.99</v>
      </c>
      <c r="G799">
        <v>20</v>
      </c>
      <c r="H799" s="2">
        <v>36.79</v>
      </c>
      <c r="I799" s="2">
        <v>110.37</v>
      </c>
      <c r="J799" t="s">
        <v>19</v>
      </c>
      <c r="K799" t="s">
        <v>44</v>
      </c>
      <c r="L799" t="s">
        <v>45</v>
      </c>
      <c r="M799" t="s">
        <v>120</v>
      </c>
      <c r="N799" t="s">
        <v>23</v>
      </c>
      <c r="O799" t="s">
        <v>24</v>
      </c>
      <c r="P799">
        <v>3</v>
      </c>
      <c r="Q799" s="2">
        <f>Ventas[[#This Row],[precio_base]]*Ventas[[#This Row],[cantidad]]</f>
        <v>137.97</v>
      </c>
      <c r="R799" s="2">
        <f>Ventas[[#This Row],[Total bruto (antes de descuento)]]-Ventas[[#This Row],[total_venta]]</f>
        <v>27.599999999999994</v>
      </c>
    </row>
    <row r="800" spans="1:18" x14ac:dyDescent="0.25">
      <c r="A800" t="s">
        <v>893</v>
      </c>
      <c r="B800" s="1">
        <v>45655</v>
      </c>
      <c r="C800" t="s">
        <v>109</v>
      </c>
      <c r="D800" t="s">
        <v>38</v>
      </c>
      <c r="E800">
        <v>4</v>
      </c>
      <c r="F800" s="2">
        <v>39.99</v>
      </c>
      <c r="G800">
        <v>5</v>
      </c>
      <c r="H800" s="2">
        <v>37.99</v>
      </c>
      <c r="I800" s="2">
        <v>151.96</v>
      </c>
      <c r="J800" t="s">
        <v>19</v>
      </c>
      <c r="K800" t="s">
        <v>44</v>
      </c>
      <c r="L800" t="s">
        <v>45</v>
      </c>
      <c r="M800" t="s">
        <v>22</v>
      </c>
      <c r="N800" t="s">
        <v>23</v>
      </c>
      <c r="O800" t="s">
        <v>24</v>
      </c>
      <c r="P800">
        <v>2</v>
      </c>
      <c r="Q800" s="2">
        <f>Ventas[[#This Row],[precio_base]]*Ventas[[#This Row],[cantidad]]</f>
        <v>159.96</v>
      </c>
      <c r="R800" s="2">
        <f>Ventas[[#This Row],[Total bruto (antes de descuento)]]-Ventas[[#This Row],[total_venta]]</f>
        <v>8</v>
      </c>
    </row>
    <row r="801" spans="1:18" x14ac:dyDescent="0.25">
      <c r="A801" t="s">
        <v>894</v>
      </c>
      <c r="B801" s="1">
        <v>45495</v>
      </c>
      <c r="C801" t="s">
        <v>109</v>
      </c>
      <c r="D801" t="s">
        <v>38</v>
      </c>
      <c r="E801">
        <v>3</v>
      </c>
      <c r="F801" s="2">
        <v>39.99</v>
      </c>
      <c r="G801">
        <v>20</v>
      </c>
      <c r="H801" s="2">
        <v>31.99</v>
      </c>
      <c r="I801" s="2">
        <v>95.97</v>
      </c>
      <c r="J801" t="s">
        <v>19</v>
      </c>
      <c r="K801" t="s">
        <v>57</v>
      </c>
      <c r="L801" t="s">
        <v>28</v>
      </c>
      <c r="M801" t="s">
        <v>58</v>
      </c>
      <c r="N801" t="s">
        <v>59</v>
      </c>
      <c r="O801" t="s">
        <v>24</v>
      </c>
      <c r="P801">
        <v>2</v>
      </c>
      <c r="Q801" s="2">
        <f>Ventas[[#This Row],[precio_base]]*Ventas[[#This Row],[cantidad]]</f>
        <v>119.97</v>
      </c>
      <c r="R801" s="2">
        <f>Ventas[[#This Row],[Total bruto (antes de descuento)]]-Ventas[[#This Row],[total_venta]]</f>
        <v>24</v>
      </c>
    </row>
    <row r="802" spans="1:18" x14ac:dyDescent="0.25">
      <c r="A802" t="s">
        <v>895</v>
      </c>
      <c r="B802" s="1">
        <v>44938</v>
      </c>
      <c r="C802" t="s">
        <v>56</v>
      </c>
      <c r="D802" t="s">
        <v>18</v>
      </c>
      <c r="E802">
        <v>1</v>
      </c>
      <c r="F802" s="2">
        <v>89.99</v>
      </c>
      <c r="G802">
        <v>0</v>
      </c>
      <c r="H802" s="2">
        <v>89.99</v>
      </c>
      <c r="I802" s="2">
        <v>89.99</v>
      </c>
      <c r="J802" t="s">
        <v>51</v>
      </c>
      <c r="K802" t="s">
        <v>44</v>
      </c>
      <c r="L802" t="s">
        <v>152</v>
      </c>
      <c r="M802" t="s">
        <v>101</v>
      </c>
      <c r="N802" t="s">
        <v>102</v>
      </c>
      <c r="O802" t="s">
        <v>35</v>
      </c>
      <c r="Q802" s="2">
        <f>Ventas[[#This Row],[precio_base]]*Ventas[[#This Row],[cantidad]]</f>
        <v>89.99</v>
      </c>
      <c r="R802" s="2">
        <f>Ventas[[#This Row],[Total bruto (antes de descuento)]]-Ventas[[#This Row],[total_venta]]</f>
        <v>0</v>
      </c>
    </row>
    <row r="803" spans="1:18" x14ac:dyDescent="0.25">
      <c r="A803" t="s">
        <v>896</v>
      </c>
      <c r="B803" s="1">
        <v>45066</v>
      </c>
      <c r="C803" t="s">
        <v>56</v>
      </c>
      <c r="D803" t="s">
        <v>18</v>
      </c>
      <c r="E803">
        <v>2</v>
      </c>
      <c r="F803" s="2">
        <v>89.99</v>
      </c>
      <c r="G803">
        <v>15</v>
      </c>
      <c r="H803" s="2">
        <v>76.489999999999995</v>
      </c>
      <c r="I803" s="2">
        <v>152.97999999999999</v>
      </c>
      <c r="J803" t="s">
        <v>62</v>
      </c>
      <c r="K803" t="s">
        <v>44</v>
      </c>
      <c r="L803" t="s">
        <v>28</v>
      </c>
      <c r="M803" t="s">
        <v>67</v>
      </c>
      <c r="N803" t="s">
        <v>68</v>
      </c>
      <c r="O803" t="s">
        <v>35</v>
      </c>
      <c r="Q803" s="2">
        <f>Ventas[[#This Row],[precio_base]]*Ventas[[#This Row],[cantidad]]</f>
        <v>179.98</v>
      </c>
      <c r="R803" s="2">
        <f>Ventas[[#This Row],[Total bruto (antes de descuento)]]-Ventas[[#This Row],[total_venta]]</f>
        <v>27</v>
      </c>
    </row>
    <row r="804" spans="1:18" x14ac:dyDescent="0.25">
      <c r="A804" t="s">
        <v>897</v>
      </c>
      <c r="B804" s="1">
        <v>45545</v>
      </c>
      <c r="C804" t="s">
        <v>122</v>
      </c>
      <c r="D804" t="s">
        <v>43</v>
      </c>
      <c r="E804">
        <v>4</v>
      </c>
      <c r="F804" s="2">
        <v>44.99</v>
      </c>
      <c r="G804">
        <v>10</v>
      </c>
      <c r="H804" s="2">
        <v>40.49</v>
      </c>
      <c r="I804" s="2">
        <v>161.96</v>
      </c>
      <c r="J804" t="s">
        <v>19</v>
      </c>
      <c r="K804" t="s">
        <v>20</v>
      </c>
      <c r="L804" t="s">
        <v>32</v>
      </c>
      <c r="M804" t="s">
        <v>65</v>
      </c>
      <c r="N804" t="s">
        <v>54</v>
      </c>
      <c r="O804" t="s">
        <v>35</v>
      </c>
      <c r="P804">
        <v>4</v>
      </c>
      <c r="Q804" s="2">
        <f>Ventas[[#This Row],[precio_base]]*Ventas[[#This Row],[cantidad]]</f>
        <v>179.96</v>
      </c>
      <c r="R804" s="2">
        <f>Ventas[[#This Row],[Total bruto (antes de descuento)]]-Ventas[[#This Row],[total_venta]]</f>
        <v>18</v>
      </c>
    </row>
    <row r="805" spans="1:18" x14ac:dyDescent="0.25">
      <c r="A805" t="s">
        <v>898</v>
      </c>
      <c r="B805" s="1">
        <v>45290</v>
      </c>
      <c r="C805" t="s">
        <v>163</v>
      </c>
      <c r="D805" t="s">
        <v>18</v>
      </c>
      <c r="E805">
        <v>2</v>
      </c>
      <c r="F805" s="2">
        <v>499.99</v>
      </c>
      <c r="G805">
        <v>5</v>
      </c>
      <c r="H805" s="2">
        <v>474.99</v>
      </c>
      <c r="I805" s="2">
        <v>949.98</v>
      </c>
      <c r="J805" t="s">
        <v>51</v>
      </c>
      <c r="K805" t="s">
        <v>44</v>
      </c>
      <c r="L805" t="s">
        <v>28</v>
      </c>
      <c r="M805" t="s">
        <v>33</v>
      </c>
      <c r="N805" t="s">
        <v>34</v>
      </c>
      <c r="O805" t="s">
        <v>35</v>
      </c>
      <c r="Q805" s="2">
        <f>Ventas[[#This Row],[precio_base]]*Ventas[[#This Row],[cantidad]]</f>
        <v>999.98</v>
      </c>
      <c r="R805" s="2">
        <f>Ventas[[#This Row],[Total bruto (antes de descuento)]]-Ventas[[#This Row],[total_venta]]</f>
        <v>50</v>
      </c>
    </row>
    <row r="806" spans="1:18" x14ac:dyDescent="0.25">
      <c r="A806" t="s">
        <v>899</v>
      </c>
      <c r="B806" s="1">
        <v>45656</v>
      </c>
      <c r="C806" t="s">
        <v>87</v>
      </c>
      <c r="D806" t="s">
        <v>27</v>
      </c>
      <c r="E806">
        <v>3</v>
      </c>
      <c r="F806" s="2">
        <v>249.99</v>
      </c>
      <c r="G806">
        <v>5</v>
      </c>
      <c r="H806" s="2">
        <v>237.49</v>
      </c>
      <c r="I806" s="2">
        <v>712.47</v>
      </c>
      <c r="J806" t="s">
        <v>90</v>
      </c>
      <c r="K806" t="s">
        <v>20</v>
      </c>
      <c r="L806" t="s">
        <v>152</v>
      </c>
      <c r="M806" t="s">
        <v>33</v>
      </c>
      <c r="N806" t="s">
        <v>34</v>
      </c>
      <c r="O806" t="s">
        <v>35</v>
      </c>
      <c r="Q806" s="2">
        <f>Ventas[[#This Row],[precio_base]]*Ventas[[#This Row],[cantidad]]</f>
        <v>749.97</v>
      </c>
      <c r="R806" s="2">
        <f>Ventas[[#This Row],[Total bruto (antes de descuento)]]-Ventas[[#This Row],[total_venta]]</f>
        <v>37.5</v>
      </c>
    </row>
    <row r="807" spans="1:18" x14ac:dyDescent="0.25">
      <c r="A807" t="s">
        <v>900</v>
      </c>
      <c r="B807" s="1">
        <v>45508</v>
      </c>
      <c r="C807" t="s">
        <v>92</v>
      </c>
      <c r="D807" t="s">
        <v>27</v>
      </c>
      <c r="E807">
        <v>3</v>
      </c>
      <c r="F807" s="2">
        <v>79.989999999999995</v>
      </c>
      <c r="G807">
        <v>0</v>
      </c>
      <c r="H807" s="2">
        <v>79.989999999999995</v>
      </c>
      <c r="I807" s="2">
        <v>239.97</v>
      </c>
      <c r="J807" t="s">
        <v>19</v>
      </c>
      <c r="K807" t="s">
        <v>20</v>
      </c>
      <c r="L807" t="s">
        <v>28</v>
      </c>
      <c r="M807" t="s">
        <v>84</v>
      </c>
      <c r="N807" t="s">
        <v>85</v>
      </c>
      <c r="O807" t="s">
        <v>35</v>
      </c>
      <c r="P807">
        <v>5</v>
      </c>
      <c r="Q807" s="2">
        <f>Ventas[[#This Row],[precio_base]]*Ventas[[#This Row],[cantidad]]</f>
        <v>239.96999999999997</v>
      </c>
      <c r="R807" s="2">
        <f>Ventas[[#This Row],[Total bruto (antes de descuento)]]-Ventas[[#This Row],[total_venta]]</f>
        <v>0</v>
      </c>
    </row>
    <row r="808" spans="1:18" x14ac:dyDescent="0.25">
      <c r="A808" t="s">
        <v>901</v>
      </c>
      <c r="B808" s="1">
        <v>45213</v>
      </c>
      <c r="C808" t="s">
        <v>151</v>
      </c>
      <c r="D808" t="s">
        <v>27</v>
      </c>
      <c r="E808">
        <v>5</v>
      </c>
      <c r="F808" s="2">
        <v>599.99</v>
      </c>
      <c r="G808">
        <v>0</v>
      </c>
      <c r="H808" s="2">
        <v>599.99</v>
      </c>
      <c r="I808" s="2">
        <v>2999.95</v>
      </c>
      <c r="J808" t="s">
        <v>19</v>
      </c>
      <c r="K808" t="s">
        <v>20</v>
      </c>
      <c r="L808" t="s">
        <v>45</v>
      </c>
      <c r="M808" t="s">
        <v>33</v>
      </c>
      <c r="N808" t="s">
        <v>34</v>
      </c>
      <c r="O808" t="s">
        <v>35</v>
      </c>
      <c r="P808">
        <v>1</v>
      </c>
      <c r="Q808" s="2">
        <f>Ventas[[#This Row],[precio_base]]*Ventas[[#This Row],[cantidad]]</f>
        <v>2999.95</v>
      </c>
      <c r="R808" s="2">
        <f>Ventas[[#This Row],[Total bruto (antes de descuento)]]-Ventas[[#This Row],[total_venta]]</f>
        <v>0</v>
      </c>
    </row>
    <row r="809" spans="1:18" x14ac:dyDescent="0.25">
      <c r="A809" t="s">
        <v>902</v>
      </c>
      <c r="B809" s="1">
        <v>45627</v>
      </c>
      <c r="C809" t="s">
        <v>72</v>
      </c>
      <c r="D809" t="s">
        <v>31</v>
      </c>
      <c r="E809">
        <v>5</v>
      </c>
      <c r="F809" s="2">
        <v>29.99</v>
      </c>
      <c r="G809">
        <v>20</v>
      </c>
      <c r="H809" s="2">
        <v>23.99</v>
      </c>
      <c r="I809" s="2">
        <v>119.95</v>
      </c>
      <c r="J809" t="s">
        <v>19</v>
      </c>
      <c r="K809" t="s">
        <v>20</v>
      </c>
      <c r="L809" t="s">
        <v>21</v>
      </c>
      <c r="M809" t="s">
        <v>33</v>
      </c>
      <c r="N809" t="s">
        <v>34</v>
      </c>
      <c r="O809" t="s">
        <v>35</v>
      </c>
      <c r="P809">
        <v>1</v>
      </c>
      <c r="Q809" s="2">
        <f>Ventas[[#This Row],[precio_base]]*Ventas[[#This Row],[cantidad]]</f>
        <v>149.94999999999999</v>
      </c>
      <c r="R809" s="2">
        <f>Ventas[[#This Row],[Total bruto (antes de descuento)]]-Ventas[[#This Row],[total_venta]]</f>
        <v>29.999999999999986</v>
      </c>
    </row>
    <row r="810" spans="1:18" x14ac:dyDescent="0.25">
      <c r="A810" t="s">
        <v>903</v>
      </c>
      <c r="B810" s="1">
        <v>45407</v>
      </c>
      <c r="C810" t="s">
        <v>151</v>
      </c>
      <c r="D810" t="s">
        <v>27</v>
      </c>
      <c r="E810">
        <v>5</v>
      </c>
      <c r="F810" s="2">
        <v>599.99</v>
      </c>
      <c r="G810">
        <v>5</v>
      </c>
      <c r="H810" s="2">
        <v>569.99</v>
      </c>
      <c r="I810" s="2">
        <v>2849.95</v>
      </c>
      <c r="J810" t="s">
        <v>19</v>
      </c>
      <c r="K810" t="s">
        <v>20</v>
      </c>
      <c r="L810" t="s">
        <v>152</v>
      </c>
      <c r="M810" t="s">
        <v>123</v>
      </c>
      <c r="N810" t="s">
        <v>124</v>
      </c>
      <c r="O810" t="s">
        <v>24</v>
      </c>
      <c r="P810">
        <v>3</v>
      </c>
      <c r="Q810" s="2">
        <f>Ventas[[#This Row],[precio_base]]*Ventas[[#This Row],[cantidad]]</f>
        <v>2999.95</v>
      </c>
      <c r="R810" s="2">
        <f>Ventas[[#This Row],[Total bruto (antes de descuento)]]-Ventas[[#This Row],[total_venta]]</f>
        <v>150</v>
      </c>
    </row>
    <row r="811" spans="1:18" x14ac:dyDescent="0.25">
      <c r="A811" t="s">
        <v>904</v>
      </c>
      <c r="B811" s="1">
        <v>45223</v>
      </c>
      <c r="C811" t="s">
        <v>205</v>
      </c>
      <c r="D811" t="s">
        <v>18</v>
      </c>
      <c r="E811">
        <v>1</v>
      </c>
      <c r="F811" s="2">
        <v>129.99</v>
      </c>
      <c r="G811">
        <v>15</v>
      </c>
      <c r="H811" s="2">
        <v>110.49</v>
      </c>
      <c r="I811" s="2">
        <v>110.49</v>
      </c>
      <c r="J811" t="s">
        <v>90</v>
      </c>
      <c r="K811" t="s">
        <v>20</v>
      </c>
      <c r="L811" t="s">
        <v>28</v>
      </c>
      <c r="M811" t="s">
        <v>84</v>
      </c>
      <c r="N811" t="s">
        <v>85</v>
      </c>
      <c r="O811" t="s">
        <v>35</v>
      </c>
      <c r="Q811" s="2">
        <f>Ventas[[#This Row],[precio_base]]*Ventas[[#This Row],[cantidad]]</f>
        <v>129.99</v>
      </c>
      <c r="R811" s="2">
        <f>Ventas[[#This Row],[Total bruto (antes de descuento)]]-Ventas[[#This Row],[total_venta]]</f>
        <v>19.500000000000014</v>
      </c>
    </row>
    <row r="812" spans="1:18" x14ac:dyDescent="0.25">
      <c r="A812" t="s">
        <v>905</v>
      </c>
      <c r="B812" s="1">
        <v>45193</v>
      </c>
      <c r="C812" t="s">
        <v>94</v>
      </c>
      <c r="D812" t="s">
        <v>18</v>
      </c>
      <c r="E812">
        <v>4</v>
      </c>
      <c r="F812" s="2">
        <v>899.99</v>
      </c>
      <c r="G812">
        <v>10</v>
      </c>
      <c r="H812" s="2">
        <v>809.99</v>
      </c>
      <c r="I812" s="2">
        <v>3239.96</v>
      </c>
      <c r="J812" t="s">
        <v>19</v>
      </c>
      <c r="K812" t="s">
        <v>44</v>
      </c>
      <c r="L812" t="s">
        <v>21</v>
      </c>
      <c r="M812" t="s">
        <v>46</v>
      </c>
      <c r="N812" t="s">
        <v>47</v>
      </c>
      <c r="O812" t="s">
        <v>48</v>
      </c>
      <c r="P812">
        <v>5</v>
      </c>
      <c r="Q812" s="2">
        <f>Ventas[[#This Row],[precio_base]]*Ventas[[#This Row],[cantidad]]</f>
        <v>3599.96</v>
      </c>
      <c r="R812" s="2">
        <f>Ventas[[#This Row],[Total bruto (antes de descuento)]]-Ventas[[#This Row],[total_venta]]</f>
        <v>360</v>
      </c>
    </row>
    <row r="813" spans="1:18" x14ac:dyDescent="0.25">
      <c r="A813" t="s">
        <v>906</v>
      </c>
      <c r="B813" s="1">
        <v>44954</v>
      </c>
      <c r="C813" t="s">
        <v>83</v>
      </c>
      <c r="D813" t="s">
        <v>38</v>
      </c>
      <c r="E813">
        <v>4</v>
      </c>
      <c r="F813" s="2">
        <v>49.99</v>
      </c>
      <c r="G813">
        <v>0</v>
      </c>
      <c r="H813" s="2">
        <v>49.99</v>
      </c>
      <c r="I813" s="2">
        <v>199.96</v>
      </c>
      <c r="J813" t="s">
        <v>19</v>
      </c>
      <c r="K813" t="s">
        <v>52</v>
      </c>
      <c r="L813" t="s">
        <v>21</v>
      </c>
      <c r="M813" t="s">
        <v>95</v>
      </c>
      <c r="N813" t="s">
        <v>96</v>
      </c>
      <c r="O813" t="s">
        <v>48</v>
      </c>
      <c r="P813">
        <v>2</v>
      </c>
      <c r="Q813" s="2">
        <f>Ventas[[#This Row],[precio_base]]*Ventas[[#This Row],[cantidad]]</f>
        <v>199.96</v>
      </c>
      <c r="R813" s="2">
        <f>Ventas[[#This Row],[Total bruto (antes de descuento)]]-Ventas[[#This Row],[total_venta]]</f>
        <v>0</v>
      </c>
    </row>
    <row r="814" spans="1:18" x14ac:dyDescent="0.25">
      <c r="A814" t="s">
        <v>907</v>
      </c>
      <c r="B814" s="1">
        <v>45557</v>
      </c>
      <c r="C814" t="s">
        <v>61</v>
      </c>
      <c r="D814" t="s">
        <v>38</v>
      </c>
      <c r="E814">
        <v>3</v>
      </c>
      <c r="F814" s="2">
        <v>19.989999999999998</v>
      </c>
      <c r="G814">
        <v>20</v>
      </c>
      <c r="H814" s="2">
        <v>15.99</v>
      </c>
      <c r="I814" s="2">
        <v>47.97</v>
      </c>
      <c r="J814" t="s">
        <v>19</v>
      </c>
      <c r="K814" t="s">
        <v>20</v>
      </c>
      <c r="L814" t="s">
        <v>21</v>
      </c>
      <c r="M814" t="s">
        <v>84</v>
      </c>
      <c r="N814" t="s">
        <v>85</v>
      </c>
      <c r="O814" t="s">
        <v>35</v>
      </c>
      <c r="P814">
        <v>5</v>
      </c>
      <c r="Q814" s="2">
        <f>Ventas[[#This Row],[precio_base]]*Ventas[[#This Row],[cantidad]]</f>
        <v>59.97</v>
      </c>
      <c r="R814" s="2">
        <f>Ventas[[#This Row],[Total bruto (antes de descuento)]]-Ventas[[#This Row],[total_venta]]</f>
        <v>12</v>
      </c>
    </row>
    <row r="815" spans="1:18" x14ac:dyDescent="0.25">
      <c r="A815" t="s">
        <v>908</v>
      </c>
      <c r="B815" s="1">
        <v>45081</v>
      </c>
      <c r="C815" t="s">
        <v>81</v>
      </c>
      <c r="D815" t="s">
        <v>31</v>
      </c>
      <c r="E815">
        <v>4</v>
      </c>
      <c r="F815" s="2">
        <v>189.99</v>
      </c>
      <c r="G815">
        <v>0</v>
      </c>
      <c r="H815" s="2">
        <v>189.99</v>
      </c>
      <c r="I815" s="2">
        <v>759.96</v>
      </c>
      <c r="J815" t="s">
        <v>62</v>
      </c>
      <c r="K815" t="s">
        <v>52</v>
      </c>
      <c r="L815" t="s">
        <v>21</v>
      </c>
      <c r="M815" t="s">
        <v>58</v>
      </c>
      <c r="N815" t="s">
        <v>59</v>
      </c>
      <c r="O815" t="s">
        <v>24</v>
      </c>
      <c r="Q815" s="2">
        <f>Ventas[[#This Row],[precio_base]]*Ventas[[#This Row],[cantidad]]</f>
        <v>759.96</v>
      </c>
      <c r="R815" s="2">
        <f>Ventas[[#This Row],[Total bruto (antes de descuento)]]-Ventas[[#This Row],[total_venta]]</f>
        <v>0</v>
      </c>
    </row>
    <row r="816" spans="1:18" x14ac:dyDescent="0.25">
      <c r="A816" t="s">
        <v>909</v>
      </c>
      <c r="B816" s="1">
        <v>45112</v>
      </c>
      <c r="C816" t="s">
        <v>70</v>
      </c>
      <c r="D816" t="s">
        <v>31</v>
      </c>
      <c r="E816">
        <v>5</v>
      </c>
      <c r="F816" s="2">
        <v>59.99</v>
      </c>
      <c r="G816">
        <v>20</v>
      </c>
      <c r="H816" s="2">
        <v>47.99</v>
      </c>
      <c r="I816" s="2">
        <v>239.95</v>
      </c>
      <c r="J816" t="s">
        <v>19</v>
      </c>
      <c r="K816" t="s">
        <v>57</v>
      </c>
      <c r="L816" t="s">
        <v>45</v>
      </c>
      <c r="M816" t="s">
        <v>95</v>
      </c>
      <c r="N816" t="s">
        <v>96</v>
      </c>
      <c r="O816" t="s">
        <v>48</v>
      </c>
      <c r="P816">
        <v>2</v>
      </c>
      <c r="Q816" s="2">
        <f>Ventas[[#This Row],[precio_base]]*Ventas[[#This Row],[cantidad]]</f>
        <v>299.95</v>
      </c>
      <c r="R816" s="2">
        <f>Ventas[[#This Row],[Total bruto (antes de descuento)]]-Ventas[[#This Row],[total_venta]]</f>
        <v>60</v>
      </c>
    </row>
    <row r="817" spans="1:18" x14ac:dyDescent="0.25">
      <c r="A817" t="s">
        <v>910</v>
      </c>
      <c r="B817" s="1">
        <v>45434</v>
      </c>
      <c r="C817" t="s">
        <v>98</v>
      </c>
      <c r="D817" t="s">
        <v>31</v>
      </c>
      <c r="E817">
        <v>4</v>
      </c>
      <c r="F817" s="2">
        <v>99.99</v>
      </c>
      <c r="G817">
        <v>20</v>
      </c>
      <c r="H817" s="2">
        <v>79.989999999999995</v>
      </c>
      <c r="I817" s="2">
        <v>319.95999999999998</v>
      </c>
      <c r="J817" t="s">
        <v>19</v>
      </c>
      <c r="K817" t="s">
        <v>20</v>
      </c>
      <c r="L817" t="s">
        <v>28</v>
      </c>
      <c r="M817" t="s">
        <v>73</v>
      </c>
      <c r="N817" t="s">
        <v>74</v>
      </c>
      <c r="O817" t="s">
        <v>35</v>
      </c>
      <c r="P817">
        <v>2</v>
      </c>
      <c r="Q817" s="2">
        <f>Ventas[[#This Row],[precio_base]]*Ventas[[#This Row],[cantidad]]</f>
        <v>399.96</v>
      </c>
      <c r="R817" s="2">
        <f>Ventas[[#This Row],[Total bruto (antes de descuento)]]-Ventas[[#This Row],[total_venta]]</f>
        <v>80</v>
      </c>
    </row>
    <row r="818" spans="1:18" x14ac:dyDescent="0.25">
      <c r="A818" t="s">
        <v>911</v>
      </c>
      <c r="B818" s="1">
        <v>45518</v>
      </c>
      <c r="C818" t="s">
        <v>76</v>
      </c>
      <c r="D818" t="s">
        <v>31</v>
      </c>
      <c r="E818">
        <v>3</v>
      </c>
      <c r="F818" s="2">
        <v>69.989999999999995</v>
      </c>
      <c r="G818">
        <v>0</v>
      </c>
      <c r="H818" s="2">
        <v>69.989999999999995</v>
      </c>
      <c r="I818" s="2">
        <v>209.97</v>
      </c>
      <c r="J818" t="s">
        <v>51</v>
      </c>
      <c r="K818" t="s">
        <v>52</v>
      </c>
      <c r="L818" t="s">
        <v>21</v>
      </c>
      <c r="M818" t="s">
        <v>39</v>
      </c>
      <c r="N818" t="s">
        <v>40</v>
      </c>
      <c r="O818" t="s">
        <v>35</v>
      </c>
      <c r="Q818" s="2">
        <f>Ventas[[#This Row],[precio_base]]*Ventas[[#This Row],[cantidad]]</f>
        <v>209.96999999999997</v>
      </c>
      <c r="R818" s="2">
        <f>Ventas[[#This Row],[Total bruto (antes de descuento)]]-Ventas[[#This Row],[total_venta]]</f>
        <v>0</v>
      </c>
    </row>
    <row r="819" spans="1:18" x14ac:dyDescent="0.25">
      <c r="A819" t="s">
        <v>912</v>
      </c>
      <c r="B819" s="1">
        <v>45402</v>
      </c>
      <c r="C819" t="s">
        <v>109</v>
      </c>
      <c r="D819" t="s">
        <v>38</v>
      </c>
      <c r="E819">
        <v>4</v>
      </c>
      <c r="F819" s="2">
        <v>39.99</v>
      </c>
      <c r="G819">
        <v>0</v>
      </c>
      <c r="H819" s="2">
        <v>39.99</v>
      </c>
      <c r="I819" s="2">
        <v>159.96</v>
      </c>
      <c r="J819" t="s">
        <v>19</v>
      </c>
      <c r="K819" t="s">
        <v>52</v>
      </c>
      <c r="L819" t="s">
        <v>21</v>
      </c>
      <c r="M819" t="s">
        <v>39</v>
      </c>
      <c r="N819" t="s">
        <v>40</v>
      </c>
      <c r="O819" t="s">
        <v>35</v>
      </c>
      <c r="P819">
        <v>4</v>
      </c>
      <c r="Q819" s="2">
        <f>Ventas[[#This Row],[precio_base]]*Ventas[[#This Row],[cantidad]]</f>
        <v>159.96</v>
      </c>
      <c r="R819" s="2">
        <f>Ventas[[#This Row],[Total bruto (antes de descuento)]]-Ventas[[#This Row],[total_venta]]</f>
        <v>0</v>
      </c>
    </row>
    <row r="820" spans="1:18" x14ac:dyDescent="0.25">
      <c r="A820" t="s">
        <v>913</v>
      </c>
      <c r="B820" s="1">
        <v>45412</v>
      </c>
      <c r="C820" t="s">
        <v>61</v>
      </c>
      <c r="D820" t="s">
        <v>38</v>
      </c>
      <c r="E820">
        <v>2</v>
      </c>
      <c r="F820" s="2">
        <v>19.989999999999998</v>
      </c>
      <c r="G820">
        <v>10</v>
      </c>
      <c r="H820" s="2">
        <v>17.989999999999998</v>
      </c>
      <c r="I820" s="2">
        <v>35.979999999999997</v>
      </c>
      <c r="J820" t="s">
        <v>62</v>
      </c>
      <c r="K820" t="s">
        <v>20</v>
      </c>
      <c r="L820" t="s">
        <v>28</v>
      </c>
      <c r="M820" t="s">
        <v>46</v>
      </c>
      <c r="N820" t="s">
        <v>47</v>
      </c>
      <c r="O820" t="s">
        <v>48</v>
      </c>
      <c r="Q820" s="2">
        <f>Ventas[[#This Row],[precio_base]]*Ventas[[#This Row],[cantidad]]</f>
        <v>39.979999999999997</v>
      </c>
      <c r="R820" s="2">
        <f>Ventas[[#This Row],[Total bruto (antes de descuento)]]-Ventas[[#This Row],[total_venta]]</f>
        <v>4</v>
      </c>
    </row>
    <row r="821" spans="1:18" x14ac:dyDescent="0.25">
      <c r="A821" t="s">
        <v>914</v>
      </c>
      <c r="B821" s="1">
        <v>45318</v>
      </c>
      <c r="C821" t="s">
        <v>81</v>
      </c>
      <c r="D821" t="s">
        <v>31</v>
      </c>
      <c r="E821">
        <v>3</v>
      </c>
      <c r="F821" s="2">
        <v>189.99</v>
      </c>
      <c r="G821">
        <v>10</v>
      </c>
      <c r="H821" s="2">
        <v>170.99</v>
      </c>
      <c r="I821" s="2">
        <v>512.97</v>
      </c>
      <c r="J821" t="s">
        <v>51</v>
      </c>
      <c r="K821" t="s">
        <v>20</v>
      </c>
      <c r="L821" t="s">
        <v>45</v>
      </c>
      <c r="M821" t="s">
        <v>46</v>
      </c>
      <c r="N821" t="s">
        <v>47</v>
      </c>
      <c r="O821" t="s">
        <v>48</v>
      </c>
      <c r="Q821" s="2">
        <f>Ventas[[#This Row],[precio_base]]*Ventas[[#This Row],[cantidad]]</f>
        <v>569.97</v>
      </c>
      <c r="R821" s="2">
        <f>Ventas[[#This Row],[Total bruto (antes de descuento)]]-Ventas[[#This Row],[total_venta]]</f>
        <v>57</v>
      </c>
    </row>
    <row r="822" spans="1:18" x14ac:dyDescent="0.25">
      <c r="A822" t="s">
        <v>915</v>
      </c>
      <c r="B822" s="1">
        <v>45289</v>
      </c>
      <c r="C822" t="s">
        <v>42</v>
      </c>
      <c r="D822" t="s">
        <v>43</v>
      </c>
      <c r="E822">
        <v>4</v>
      </c>
      <c r="F822" s="2">
        <v>349.99</v>
      </c>
      <c r="G822">
        <v>10</v>
      </c>
      <c r="H822" s="2">
        <v>314.99</v>
      </c>
      <c r="I822" s="2">
        <v>1259.96</v>
      </c>
      <c r="J822" t="s">
        <v>90</v>
      </c>
      <c r="K822" t="s">
        <v>20</v>
      </c>
      <c r="L822" t="s">
        <v>21</v>
      </c>
      <c r="M822" t="s">
        <v>67</v>
      </c>
      <c r="N822" t="s">
        <v>68</v>
      </c>
      <c r="O822" t="s">
        <v>35</v>
      </c>
      <c r="Q822" s="2">
        <f>Ventas[[#This Row],[precio_base]]*Ventas[[#This Row],[cantidad]]</f>
        <v>1399.96</v>
      </c>
      <c r="R822" s="2">
        <f>Ventas[[#This Row],[Total bruto (antes de descuento)]]-Ventas[[#This Row],[total_venta]]</f>
        <v>140</v>
      </c>
    </row>
    <row r="823" spans="1:18" x14ac:dyDescent="0.25">
      <c r="A823" t="s">
        <v>916</v>
      </c>
      <c r="B823" s="1">
        <v>45027</v>
      </c>
      <c r="C823" t="s">
        <v>61</v>
      </c>
      <c r="D823" t="s">
        <v>38</v>
      </c>
      <c r="E823">
        <v>5</v>
      </c>
      <c r="F823" s="2">
        <v>19.989999999999998</v>
      </c>
      <c r="G823">
        <v>5</v>
      </c>
      <c r="H823" s="2">
        <v>18.989999999999998</v>
      </c>
      <c r="I823" s="2">
        <v>94.95</v>
      </c>
      <c r="J823" t="s">
        <v>19</v>
      </c>
      <c r="K823" t="s">
        <v>44</v>
      </c>
      <c r="L823" t="s">
        <v>28</v>
      </c>
      <c r="M823" t="s">
        <v>73</v>
      </c>
      <c r="N823" t="s">
        <v>74</v>
      </c>
      <c r="O823" t="s">
        <v>35</v>
      </c>
      <c r="P823">
        <v>5</v>
      </c>
      <c r="Q823" s="2">
        <f>Ventas[[#This Row],[precio_base]]*Ventas[[#This Row],[cantidad]]</f>
        <v>99.949999999999989</v>
      </c>
      <c r="R823" s="2">
        <f>Ventas[[#This Row],[Total bruto (antes de descuento)]]-Ventas[[#This Row],[total_venta]]</f>
        <v>4.9999999999999858</v>
      </c>
    </row>
    <row r="824" spans="1:18" x14ac:dyDescent="0.25">
      <c r="A824" t="s">
        <v>917</v>
      </c>
      <c r="B824" s="1">
        <v>45126</v>
      </c>
      <c r="C824" t="s">
        <v>87</v>
      </c>
      <c r="D824" t="s">
        <v>27</v>
      </c>
      <c r="E824">
        <v>3</v>
      </c>
      <c r="F824" s="2">
        <v>249.99</v>
      </c>
      <c r="G824">
        <v>15</v>
      </c>
      <c r="H824" s="2">
        <v>212.49</v>
      </c>
      <c r="I824" s="2">
        <v>637.47</v>
      </c>
      <c r="J824" t="s">
        <v>51</v>
      </c>
      <c r="K824" t="s">
        <v>20</v>
      </c>
      <c r="L824" t="s">
        <v>21</v>
      </c>
      <c r="M824" t="s">
        <v>63</v>
      </c>
      <c r="N824" t="s">
        <v>34</v>
      </c>
      <c r="O824" t="s">
        <v>24</v>
      </c>
      <c r="Q824" s="2">
        <f>Ventas[[#This Row],[precio_base]]*Ventas[[#This Row],[cantidad]]</f>
        <v>749.97</v>
      </c>
      <c r="R824" s="2">
        <f>Ventas[[#This Row],[Total bruto (antes de descuento)]]-Ventas[[#This Row],[total_venta]]</f>
        <v>112.5</v>
      </c>
    </row>
    <row r="825" spans="1:18" x14ac:dyDescent="0.25">
      <c r="A825" t="s">
        <v>918</v>
      </c>
      <c r="B825" s="1">
        <v>44935</v>
      </c>
      <c r="C825" t="s">
        <v>143</v>
      </c>
      <c r="D825" t="s">
        <v>43</v>
      </c>
      <c r="E825">
        <v>1</v>
      </c>
      <c r="F825" s="2">
        <v>34.99</v>
      </c>
      <c r="G825">
        <v>0</v>
      </c>
      <c r="H825" s="2">
        <v>34.99</v>
      </c>
      <c r="I825" s="2">
        <v>34.99</v>
      </c>
      <c r="J825" t="s">
        <v>19</v>
      </c>
      <c r="K825" t="s">
        <v>20</v>
      </c>
      <c r="L825" t="s">
        <v>45</v>
      </c>
      <c r="M825" t="s">
        <v>65</v>
      </c>
      <c r="N825" t="s">
        <v>54</v>
      </c>
      <c r="O825" t="s">
        <v>35</v>
      </c>
      <c r="P825">
        <v>2</v>
      </c>
      <c r="Q825" s="2">
        <f>Ventas[[#This Row],[precio_base]]*Ventas[[#This Row],[cantidad]]</f>
        <v>34.99</v>
      </c>
      <c r="R825" s="2">
        <f>Ventas[[#This Row],[Total bruto (antes de descuento)]]-Ventas[[#This Row],[total_venta]]</f>
        <v>0</v>
      </c>
    </row>
    <row r="826" spans="1:18" x14ac:dyDescent="0.25">
      <c r="A826" t="s">
        <v>919</v>
      </c>
      <c r="B826" s="1">
        <v>45217</v>
      </c>
      <c r="C826" t="s">
        <v>61</v>
      </c>
      <c r="D826" t="s">
        <v>38</v>
      </c>
      <c r="E826">
        <v>2</v>
      </c>
      <c r="F826" s="2">
        <v>19.989999999999998</v>
      </c>
      <c r="G826">
        <v>0</v>
      </c>
      <c r="H826" s="2">
        <v>19.989999999999998</v>
      </c>
      <c r="I826" s="2">
        <v>39.979999999999997</v>
      </c>
      <c r="J826" t="s">
        <v>19</v>
      </c>
      <c r="K826" t="s">
        <v>20</v>
      </c>
      <c r="L826" t="s">
        <v>45</v>
      </c>
      <c r="M826" t="s">
        <v>95</v>
      </c>
      <c r="N826" t="s">
        <v>96</v>
      </c>
      <c r="O826" t="s">
        <v>48</v>
      </c>
      <c r="P826">
        <v>2</v>
      </c>
      <c r="Q826" s="2">
        <f>Ventas[[#This Row],[precio_base]]*Ventas[[#This Row],[cantidad]]</f>
        <v>39.979999999999997</v>
      </c>
      <c r="R826" s="2">
        <f>Ventas[[#This Row],[Total bruto (antes de descuento)]]-Ventas[[#This Row],[total_venta]]</f>
        <v>0</v>
      </c>
    </row>
    <row r="827" spans="1:18" x14ac:dyDescent="0.25">
      <c r="A827" t="s">
        <v>920</v>
      </c>
      <c r="B827" s="1">
        <v>45540</v>
      </c>
      <c r="C827" t="s">
        <v>72</v>
      </c>
      <c r="D827" t="s">
        <v>31</v>
      </c>
      <c r="E827">
        <v>1</v>
      </c>
      <c r="F827" s="2">
        <v>29.99</v>
      </c>
      <c r="G827">
        <v>15</v>
      </c>
      <c r="H827" s="2">
        <v>25.49</v>
      </c>
      <c r="I827" s="2">
        <v>25.49</v>
      </c>
      <c r="J827" t="s">
        <v>90</v>
      </c>
      <c r="K827" t="s">
        <v>52</v>
      </c>
      <c r="L827" t="s">
        <v>21</v>
      </c>
      <c r="M827" t="s">
        <v>95</v>
      </c>
      <c r="N827" t="s">
        <v>96</v>
      </c>
      <c r="O827" t="s">
        <v>48</v>
      </c>
      <c r="Q827" s="2">
        <f>Ventas[[#This Row],[precio_base]]*Ventas[[#This Row],[cantidad]]</f>
        <v>29.99</v>
      </c>
      <c r="R827" s="2">
        <f>Ventas[[#This Row],[Total bruto (antes de descuento)]]-Ventas[[#This Row],[total_venta]]</f>
        <v>4.5</v>
      </c>
    </row>
    <row r="828" spans="1:18" x14ac:dyDescent="0.25">
      <c r="A828" t="s">
        <v>921</v>
      </c>
      <c r="B828" s="1">
        <v>45599</v>
      </c>
      <c r="C828" t="s">
        <v>98</v>
      </c>
      <c r="D828" t="s">
        <v>31</v>
      </c>
      <c r="E828">
        <v>5</v>
      </c>
      <c r="F828" s="2">
        <v>99.99</v>
      </c>
      <c r="G828">
        <v>20</v>
      </c>
      <c r="H828" s="2">
        <v>79.989999999999995</v>
      </c>
      <c r="I828" s="2">
        <v>399.95</v>
      </c>
      <c r="J828" t="s">
        <v>116</v>
      </c>
      <c r="K828" t="s">
        <v>20</v>
      </c>
      <c r="L828" t="s">
        <v>21</v>
      </c>
      <c r="M828" t="s">
        <v>53</v>
      </c>
      <c r="N828" t="s">
        <v>54</v>
      </c>
      <c r="O828" t="s">
        <v>35</v>
      </c>
      <c r="Q828" s="2">
        <f>Ventas[[#This Row],[precio_base]]*Ventas[[#This Row],[cantidad]]</f>
        <v>499.95</v>
      </c>
      <c r="R828" s="2">
        <f>Ventas[[#This Row],[Total bruto (antes de descuento)]]-Ventas[[#This Row],[total_venta]]</f>
        <v>100</v>
      </c>
    </row>
    <row r="829" spans="1:18" x14ac:dyDescent="0.25">
      <c r="A829" t="s">
        <v>922</v>
      </c>
      <c r="B829" s="1">
        <v>45228</v>
      </c>
      <c r="C829" t="s">
        <v>151</v>
      </c>
      <c r="D829" t="s">
        <v>27</v>
      </c>
      <c r="E829">
        <v>1</v>
      </c>
      <c r="F829" s="2">
        <v>599.99</v>
      </c>
      <c r="G829">
        <v>15</v>
      </c>
      <c r="H829" s="2">
        <v>509.99</v>
      </c>
      <c r="I829" s="2">
        <v>509.99</v>
      </c>
      <c r="J829" t="s">
        <v>19</v>
      </c>
      <c r="K829" t="s">
        <v>52</v>
      </c>
      <c r="L829" t="s">
        <v>28</v>
      </c>
      <c r="M829" t="s">
        <v>58</v>
      </c>
      <c r="N829" t="s">
        <v>59</v>
      </c>
      <c r="O829" t="s">
        <v>24</v>
      </c>
      <c r="P829">
        <v>3</v>
      </c>
      <c r="Q829" s="2">
        <f>Ventas[[#This Row],[precio_base]]*Ventas[[#This Row],[cantidad]]</f>
        <v>599.99</v>
      </c>
      <c r="R829" s="2">
        <f>Ventas[[#This Row],[Total bruto (antes de descuento)]]-Ventas[[#This Row],[total_venta]]</f>
        <v>90</v>
      </c>
    </row>
    <row r="830" spans="1:18" x14ac:dyDescent="0.25">
      <c r="A830" t="s">
        <v>923</v>
      </c>
      <c r="B830" s="1">
        <v>45190</v>
      </c>
      <c r="C830" t="s">
        <v>205</v>
      </c>
      <c r="D830" t="s">
        <v>18</v>
      </c>
      <c r="E830">
        <v>1</v>
      </c>
      <c r="F830" s="2">
        <v>129.99</v>
      </c>
      <c r="G830">
        <v>0</v>
      </c>
      <c r="H830" s="2">
        <v>129.99</v>
      </c>
      <c r="I830" s="2">
        <v>129.99</v>
      </c>
      <c r="J830" t="s">
        <v>51</v>
      </c>
      <c r="K830" t="s">
        <v>20</v>
      </c>
      <c r="L830" t="s">
        <v>152</v>
      </c>
      <c r="M830" t="s">
        <v>120</v>
      </c>
      <c r="N830" t="s">
        <v>23</v>
      </c>
      <c r="O830" t="s">
        <v>24</v>
      </c>
      <c r="Q830" s="2">
        <f>Ventas[[#This Row],[precio_base]]*Ventas[[#This Row],[cantidad]]</f>
        <v>129.99</v>
      </c>
      <c r="R830" s="2">
        <f>Ventas[[#This Row],[Total bruto (antes de descuento)]]-Ventas[[#This Row],[total_venta]]</f>
        <v>0</v>
      </c>
    </row>
    <row r="831" spans="1:18" x14ac:dyDescent="0.25">
      <c r="A831" t="s">
        <v>924</v>
      </c>
      <c r="B831" s="1">
        <v>45191</v>
      </c>
      <c r="C831" t="s">
        <v>143</v>
      </c>
      <c r="D831" t="s">
        <v>43</v>
      </c>
      <c r="E831">
        <v>3</v>
      </c>
      <c r="F831" s="2">
        <v>34.99</v>
      </c>
      <c r="G831">
        <v>0</v>
      </c>
      <c r="H831" s="2">
        <v>34.99</v>
      </c>
      <c r="I831" s="2">
        <v>104.97</v>
      </c>
      <c r="J831" t="s">
        <v>19</v>
      </c>
      <c r="K831" t="s">
        <v>57</v>
      </c>
      <c r="L831" t="s">
        <v>21</v>
      </c>
      <c r="M831" t="s">
        <v>101</v>
      </c>
      <c r="N831" t="s">
        <v>102</v>
      </c>
      <c r="O831" t="s">
        <v>35</v>
      </c>
      <c r="P831">
        <v>4</v>
      </c>
      <c r="Q831" s="2">
        <f>Ventas[[#This Row],[precio_base]]*Ventas[[#This Row],[cantidad]]</f>
        <v>104.97</v>
      </c>
      <c r="R831" s="2">
        <f>Ventas[[#This Row],[Total bruto (antes de descuento)]]-Ventas[[#This Row],[total_venta]]</f>
        <v>0</v>
      </c>
    </row>
    <row r="832" spans="1:18" x14ac:dyDescent="0.25">
      <c r="A832" t="s">
        <v>925</v>
      </c>
      <c r="B832" s="1">
        <v>45109</v>
      </c>
      <c r="C832" t="s">
        <v>72</v>
      </c>
      <c r="D832" t="s">
        <v>31</v>
      </c>
      <c r="E832">
        <v>4</v>
      </c>
      <c r="F832" s="2">
        <v>29.99</v>
      </c>
      <c r="G832">
        <v>0</v>
      </c>
      <c r="H832" s="2">
        <v>29.99</v>
      </c>
      <c r="I832" s="2">
        <v>119.96</v>
      </c>
      <c r="J832" t="s">
        <v>19</v>
      </c>
      <c r="K832" t="s">
        <v>20</v>
      </c>
      <c r="L832" t="s">
        <v>28</v>
      </c>
      <c r="M832" t="s">
        <v>39</v>
      </c>
      <c r="N832" t="s">
        <v>40</v>
      </c>
      <c r="O832" t="s">
        <v>35</v>
      </c>
      <c r="P832">
        <v>1</v>
      </c>
      <c r="Q832" s="2">
        <f>Ventas[[#This Row],[precio_base]]*Ventas[[#This Row],[cantidad]]</f>
        <v>119.96</v>
      </c>
      <c r="R832" s="2">
        <f>Ventas[[#This Row],[Total bruto (antes de descuento)]]-Ventas[[#This Row],[total_venta]]</f>
        <v>0</v>
      </c>
    </row>
    <row r="833" spans="1:18" x14ac:dyDescent="0.25">
      <c r="A833" t="s">
        <v>926</v>
      </c>
      <c r="B833" s="1">
        <v>45379</v>
      </c>
      <c r="C833" t="s">
        <v>30</v>
      </c>
      <c r="D833" t="s">
        <v>31</v>
      </c>
      <c r="E833">
        <v>3</v>
      </c>
      <c r="F833" s="2">
        <v>299.99</v>
      </c>
      <c r="G833">
        <v>0</v>
      </c>
      <c r="H833" s="2">
        <v>299.99</v>
      </c>
      <c r="I833" s="2">
        <v>899.97</v>
      </c>
      <c r="J833" t="s">
        <v>19</v>
      </c>
      <c r="K833" t="s">
        <v>44</v>
      </c>
      <c r="L833" t="s">
        <v>21</v>
      </c>
      <c r="M833" t="s">
        <v>95</v>
      </c>
      <c r="N833" t="s">
        <v>96</v>
      </c>
      <c r="O833" t="s">
        <v>48</v>
      </c>
      <c r="P833">
        <v>4</v>
      </c>
      <c r="Q833" s="2">
        <f>Ventas[[#This Row],[precio_base]]*Ventas[[#This Row],[cantidad]]</f>
        <v>899.97</v>
      </c>
      <c r="R833" s="2">
        <f>Ventas[[#This Row],[Total bruto (antes de descuento)]]-Ventas[[#This Row],[total_venta]]</f>
        <v>0</v>
      </c>
    </row>
    <row r="834" spans="1:18" x14ac:dyDescent="0.25">
      <c r="A834" t="s">
        <v>927</v>
      </c>
      <c r="B834" s="1">
        <v>44946</v>
      </c>
      <c r="C834" t="s">
        <v>130</v>
      </c>
      <c r="D834" t="s">
        <v>43</v>
      </c>
      <c r="E834">
        <v>4</v>
      </c>
      <c r="F834" s="2">
        <v>24.99</v>
      </c>
      <c r="G834">
        <v>0</v>
      </c>
      <c r="H834" s="2">
        <v>24.99</v>
      </c>
      <c r="I834" s="2">
        <v>99.96</v>
      </c>
      <c r="J834" t="s">
        <v>51</v>
      </c>
      <c r="K834" t="s">
        <v>52</v>
      </c>
      <c r="L834" t="s">
        <v>28</v>
      </c>
      <c r="M834" t="s">
        <v>46</v>
      </c>
      <c r="N834" t="s">
        <v>47</v>
      </c>
      <c r="O834" t="s">
        <v>48</v>
      </c>
      <c r="Q834" s="2">
        <f>Ventas[[#This Row],[precio_base]]*Ventas[[#This Row],[cantidad]]</f>
        <v>99.96</v>
      </c>
      <c r="R834" s="2">
        <f>Ventas[[#This Row],[Total bruto (antes de descuento)]]-Ventas[[#This Row],[total_venta]]</f>
        <v>0</v>
      </c>
    </row>
    <row r="835" spans="1:18" x14ac:dyDescent="0.25">
      <c r="A835" t="s">
        <v>928</v>
      </c>
      <c r="B835" s="1">
        <v>45199</v>
      </c>
      <c r="C835" t="s">
        <v>78</v>
      </c>
      <c r="D835" t="s">
        <v>18</v>
      </c>
      <c r="E835">
        <v>3</v>
      </c>
      <c r="F835" s="2">
        <v>349.99</v>
      </c>
      <c r="G835">
        <v>5</v>
      </c>
      <c r="H835" s="2">
        <v>332.49</v>
      </c>
      <c r="I835" s="2">
        <v>997.47</v>
      </c>
      <c r="J835" t="s">
        <v>19</v>
      </c>
      <c r="K835" t="s">
        <v>44</v>
      </c>
      <c r="L835" t="s">
        <v>28</v>
      </c>
      <c r="M835" t="s">
        <v>65</v>
      </c>
      <c r="N835" t="s">
        <v>54</v>
      </c>
      <c r="O835" t="s">
        <v>35</v>
      </c>
      <c r="P835">
        <v>4</v>
      </c>
      <c r="Q835" s="2">
        <f>Ventas[[#This Row],[precio_base]]*Ventas[[#This Row],[cantidad]]</f>
        <v>1049.97</v>
      </c>
      <c r="R835" s="2">
        <f>Ventas[[#This Row],[Total bruto (antes de descuento)]]-Ventas[[#This Row],[total_venta]]</f>
        <v>52.5</v>
      </c>
    </row>
    <row r="836" spans="1:18" x14ac:dyDescent="0.25">
      <c r="A836" t="s">
        <v>929</v>
      </c>
      <c r="B836" s="1">
        <v>45373</v>
      </c>
      <c r="C836" t="s">
        <v>109</v>
      </c>
      <c r="D836" t="s">
        <v>38</v>
      </c>
      <c r="E836">
        <v>1</v>
      </c>
      <c r="F836" s="2">
        <v>39.99</v>
      </c>
      <c r="G836">
        <v>10</v>
      </c>
      <c r="H836" s="2">
        <v>35.99</v>
      </c>
      <c r="I836" s="2">
        <v>35.99</v>
      </c>
      <c r="J836" t="s">
        <v>19</v>
      </c>
      <c r="K836" t="s">
        <v>57</v>
      </c>
      <c r="L836" t="s">
        <v>32</v>
      </c>
      <c r="M836" t="s">
        <v>120</v>
      </c>
      <c r="N836" t="s">
        <v>23</v>
      </c>
      <c r="O836" t="s">
        <v>24</v>
      </c>
      <c r="P836">
        <v>4</v>
      </c>
      <c r="Q836" s="2">
        <f>Ventas[[#This Row],[precio_base]]*Ventas[[#This Row],[cantidad]]</f>
        <v>39.99</v>
      </c>
      <c r="R836" s="2">
        <f>Ventas[[#This Row],[Total bruto (antes de descuento)]]-Ventas[[#This Row],[total_venta]]</f>
        <v>4</v>
      </c>
    </row>
    <row r="837" spans="1:18" x14ac:dyDescent="0.25">
      <c r="A837" t="s">
        <v>930</v>
      </c>
      <c r="B837" s="1">
        <v>45051</v>
      </c>
      <c r="C837" t="s">
        <v>26</v>
      </c>
      <c r="D837" t="s">
        <v>27</v>
      </c>
      <c r="E837">
        <v>5</v>
      </c>
      <c r="F837" s="2">
        <v>399.99</v>
      </c>
      <c r="G837">
        <v>0</v>
      </c>
      <c r="H837" s="2">
        <v>399.99</v>
      </c>
      <c r="I837" s="2">
        <v>1999.95</v>
      </c>
      <c r="J837" t="s">
        <v>19</v>
      </c>
      <c r="K837" t="s">
        <v>20</v>
      </c>
      <c r="L837" t="s">
        <v>28</v>
      </c>
      <c r="M837" t="s">
        <v>58</v>
      </c>
      <c r="N837" t="s">
        <v>59</v>
      </c>
      <c r="O837" t="s">
        <v>24</v>
      </c>
      <c r="P837">
        <v>1</v>
      </c>
      <c r="Q837" s="2">
        <f>Ventas[[#This Row],[precio_base]]*Ventas[[#This Row],[cantidad]]</f>
        <v>1999.95</v>
      </c>
      <c r="R837" s="2">
        <f>Ventas[[#This Row],[Total bruto (antes de descuento)]]-Ventas[[#This Row],[total_venta]]</f>
        <v>0</v>
      </c>
    </row>
    <row r="838" spans="1:18" x14ac:dyDescent="0.25">
      <c r="A838" t="s">
        <v>931</v>
      </c>
      <c r="B838" s="1">
        <v>45301</v>
      </c>
      <c r="C838" t="s">
        <v>50</v>
      </c>
      <c r="D838" t="s">
        <v>27</v>
      </c>
      <c r="E838">
        <v>3</v>
      </c>
      <c r="F838" s="2">
        <v>149.99</v>
      </c>
      <c r="G838">
        <v>0</v>
      </c>
      <c r="H838" s="2">
        <v>149.99</v>
      </c>
      <c r="I838" s="2">
        <v>449.97</v>
      </c>
      <c r="J838" t="s">
        <v>62</v>
      </c>
      <c r="K838" t="s">
        <v>52</v>
      </c>
      <c r="L838" t="s">
        <v>28</v>
      </c>
      <c r="M838" t="s">
        <v>39</v>
      </c>
      <c r="N838" t="s">
        <v>40</v>
      </c>
      <c r="O838" t="s">
        <v>35</v>
      </c>
      <c r="Q838" s="2">
        <f>Ventas[[#This Row],[precio_base]]*Ventas[[#This Row],[cantidad]]</f>
        <v>449.97</v>
      </c>
      <c r="R838" s="2">
        <f>Ventas[[#This Row],[Total bruto (antes de descuento)]]-Ventas[[#This Row],[total_venta]]</f>
        <v>0</v>
      </c>
    </row>
    <row r="839" spans="1:18" x14ac:dyDescent="0.25">
      <c r="A839" t="s">
        <v>932</v>
      </c>
      <c r="B839" s="1">
        <v>45107</v>
      </c>
      <c r="C839" t="s">
        <v>50</v>
      </c>
      <c r="D839" t="s">
        <v>27</v>
      </c>
      <c r="E839">
        <v>1</v>
      </c>
      <c r="F839" s="2">
        <v>149.99</v>
      </c>
      <c r="G839">
        <v>5</v>
      </c>
      <c r="H839" s="2">
        <v>142.49</v>
      </c>
      <c r="I839" s="2">
        <v>142.49</v>
      </c>
      <c r="J839" t="s">
        <v>51</v>
      </c>
      <c r="K839" t="s">
        <v>44</v>
      </c>
      <c r="L839" t="s">
        <v>32</v>
      </c>
      <c r="M839" t="s">
        <v>58</v>
      </c>
      <c r="N839" t="s">
        <v>59</v>
      </c>
      <c r="O839" t="s">
        <v>24</v>
      </c>
      <c r="Q839" s="2">
        <f>Ventas[[#This Row],[precio_base]]*Ventas[[#This Row],[cantidad]]</f>
        <v>149.99</v>
      </c>
      <c r="R839" s="2">
        <f>Ventas[[#This Row],[Total bruto (antes de descuento)]]-Ventas[[#This Row],[total_venta]]</f>
        <v>7.5</v>
      </c>
    </row>
    <row r="840" spans="1:18" x14ac:dyDescent="0.25">
      <c r="A840" t="s">
        <v>933</v>
      </c>
      <c r="B840" s="1">
        <v>45572</v>
      </c>
      <c r="C840" t="s">
        <v>30</v>
      </c>
      <c r="D840" t="s">
        <v>31</v>
      </c>
      <c r="E840">
        <v>3</v>
      </c>
      <c r="F840" s="2">
        <v>299.99</v>
      </c>
      <c r="G840">
        <v>5</v>
      </c>
      <c r="H840" s="2">
        <v>284.99</v>
      </c>
      <c r="I840" s="2">
        <v>854.97</v>
      </c>
      <c r="J840" t="s">
        <v>19</v>
      </c>
      <c r="K840" t="s">
        <v>20</v>
      </c>
      <c r="L840" t="s">
        <v>21</v>
      </c>
      <c r="M840" t="s">
        <v>73</v>
      </c>
      <c r="N840" t="s">
        <v>74</v>
      </c>
      <c r="O840" t="s">
        <v>35</v>
      </c>
      <c r="P840">
        <v>1</v>
      </c>
      <c r="Q840" s="2">
        <f>Ventas[[#This Row],[precio_base]]*Ventas[[#This Row],[cantidad]]</f>
        <v>899.97</v>
      </c>
      <c r="R840" s="2">
        <f>Ventas[[#This Row],[Total bruto (antes de descuento)]]-Ventas[[#This Row],[total_venta]]</f>
        <v>45</v>
      </c>
    </row>
    <row r="841" spans="1:18" x14ac:dyDescent="0.25">
      <c r="A841" t="s">
        <v>934</v>
      </c>
      <c r="B841" s="1">
        <v>45124</v>
      </c>
      <c r="C841" t="s">
        <v>104</v>
      </c>
      <c r="D841" t="s">
        <v>18</v>
      </c>
      <c r="E841">
        <v>5</v>
      </c>
      <c r="F841" s="2">
        <v>1199.99</v>
      </c>
      <c r="G841">
        <v>0</v>
      </c>
      <c r="H841" s="2">
        <v>1199.99</v>
      </c>
      <c r="I841" s="2">
        <v>5999.95</v>
      </c>
      <c r="J841" t="s">
        <v>19</v>
      </c>
      <c r="K841" t="s">
        <v>52</v>
      </c>
      <c r="L841" t="s">
        <v>28</v>
      </c>
      <c r="M841" t="s">
        <v>95</v>
      </c>
      <c r="N841" t="s">
        <v>96</v>
      </c>
      <c r="O841" t="s">
        <v>48</v>
      </c>
      <c r="P841">
        <v>4</v>
      </c>
      <c r="Q841" s="2">
        <f>Ventas[[#This Row],[precio_base]]*Ventas[[#This Row],[cantidad]]</f>
        <v>5999.95</v>
      </c>
      <c r="R841" s="2">
        <f>Ventas[[#This Row],[Total bruto (antes de descuento)]]-Ventas[[#This Row],[total_venta]]</f>
        <v>0</v>
      </c>
    </row>
    <row r="842" spans="1:18" x14ac:dyDescent="0.25">
      <c r="A842" t="s">
        <v>935</v>
      </c>
      <c r="B842" s="1">
        <v>45473</v>
      </c>
      <c r="C842" t="s">
        <v>143</v>
      </c>
      <c r="D842" t="s">
        <v>43</v>
      </c>
      <c r="E842">
        <v>4</v>
      </c>
      <c r="F842" s="2">
        <v>34.99</v>
      </c>
      <c r="G842">
        <v>0</v>
      </c>
      <c r="H842" s="2">
        <v>34.99</v>
      </c>
      <c r="I842" s="2">
        <v>139.96</v>
      </c>
      <c r="J842" t="s">
        <v>19</v>
      </c>
      <c r="K842" t="s">
        <v>20</v>
      </c>
      <c r="L842" t="s">
        <v>28</v>
      </c>
      <c r="M842" t="s">
        <v>46</v>
      </c>
      <c r="N842" t="s">
        <v>47</v>
      </c>
      <c r="O842" t="s">
        <v>48</v>
      </c>
      <c r="P842">
        <v>4</v>
      </c>
      <c r="Q842" s="2">
        <f>Ventas[[#This Row],[precio_base]]*Ventas[[#This Row],[cantidad]]</f>
        <v>139.96</v>
      </c>
      <c r="R842" s="2">
        <f>Ventas[[#This Row],[Total bruto (antes de descuento)]]-Ventas[[#This Row],[total_venta]]</f>
        <v>0</v>
      </c>
    </row>
    <row r="843" spans="1:18" x14ac:dyDescent="0.25">
      <c r="A843" t="s">
        <v>936</v>
      </c>
      <c r="B843" s="1">
        <v>45048</v>
      </c>
      <c r="C843" t="s">
        <v>115</v>
      </c>
      <c r="D843" t="s">
        <v>18</v>
      </c>
      <c r="E843">
        <v>5</v>
      </c>
      <c r="F843" s="2">
        <v>799.99</v>
      </c>
      <c r="G843">
        <v>5</v>
      </c>
      <c r="H843" s="2">
        <v>759.99</v>
      </c>
      <c r="I843" s="2">
        <v>3799.95</v>
      </c>
      <c r="J843" t="s">
        <v>90</v>
      </c>
      <c r="K843" t="s">
        <v>52</v>
      </c>
      <c r="L843" t="s">
        <v>21</v>
      </c>
      <c r="M843" t="s">
        <v>67</v>
      </c>
      <c r="N843" t="s">
        <v>68</v>
      </c>
      <c r="O843" t="s">
        <v>35</v>
      </c>
      <c r="Q843" s="2">
        <f>Ventas[[#This Row],[precio_base]]*Ventas[[#This Row],[cantidad]]</f>
        <v>3999.95</v>
      </c>
      <c r="R843" s="2">
        <f>Ventas[[#This Row],[Total bruto (antes de descuento)]]-Ventas[[#This Row],[total_venta]]</f>
        <v>200</v>
      </c>
    </row>
    <row r="844" spans="1:18" x14ac:dyDescent="0.25">
      <c r="A844" t="s">
        <v>937</v>
      </c>
      <c r="B844" s="1">
        <v>45520</v>
      </c>
      <c r="C844" t="s">
        <v>163</v>
      </c>
      <c r="D844" t="s">
        <v>18</v>
      </c>
      <c r="E844">
        <v>1</v>
      </c>
      <c r="F844" s="2">
        <v>499.99</v>
      </c>
      <c r="G844">
        <v>0</v>
      </c>
      <c r="H844" s="2">
        <v>499.99</v>
      </c>
      <c r="I844" s="2">
        <v>499.99</v>
      </c>
      <c r="J844" t="s">
        <v>51</v>
      </c>
      <c r="K844" t="s">
        <v>44</v>
      </c>
      <c r="L844" t="s">
        <v>45</v>
      </c>
      <c r="M844" t="s">
        <v>101</v>
      </c>
      <c r="N844" t="s">
        <v>102</v>
      </c>
      <c r="O844" t="s">
        <v>35</v>
      </c>
      <c r="Q844" s="2">
        <f>Ventas[[#This Row],[precio_base]]*Ventas[[#This Row],[cantidad]]</f>
        <v>499.99</v>
      </c>
      <c r="R844" s="2">
        <f>Ventas[[#This Row],[Total bruto (antes de descuento)]]-Ventas[[#This Row],[total_venta]]</f>
        <v>0</v>
      </c>
    </row>
    <row r="845" spans="1:18" x14ac:dyDescent="0.25">
      <c r="A845" t="s">
        <v>938</v>
      </c>
      <c r="B845" s="1">
        <v>45560</v>
      </c>
      <c r="C845" t="s">
        <v>94</v>
      </c>
      <c r="D845" t="s">
        <v>18</v>
      </c>
      <c r="E845">
        <v>2</v>
      </c>
      <c r="F845" s="2">
        <v>899.99</v>
      </c>
      <c r="G845">
        <v>15</v>
      </c>
      <c r="H845" s="2">
        <v>764.99</v>
      </c>
      <c r="I845" s="2">
        <v>1529.98</v>
      </c>
      <c r="J845" t="s">
        <v>51</v>
      </c>
      <c r="K845" t="s">
        <v>20</v>
      </c>
      <c r="L845" t="s">
        <v>21</v>
      </c>
      <c r="M845" t="s">
        <v>46</v>
      </c>
      <c r="N845" t="s">
        <v>47</v>
      </c>
      <c r="O845" t="s">
        <v>48</v>
      </c>
      <c r="Q845" s="2">
        <f>Ventas[[#This Row],[precio_base]]*Ventas[[#This Row],[cantidad]]</f>
        <v>1799.98</v>
      </c>
      <c r="R845" s="2">
        <f>Ventas[[#This Row],[Total bruto (antes de descuento)]]-Ventas[[#This Row],[total_venta]]</f>
        <v>270</v>
      </c>
    </row>
    <row r="846" spans="1:18" x14ac:dyDescent="0.25">
      <c r="A846" t="s">
        <v>939</v>
      </c>
      <c r="B846" s="1">
        <v>45241</v>
      </c>
      <c r="C846" t="s">
        <v>143</v>
      </c>
      <c r="D846" t="s">
        <v>43</v>
      </c>
      <c r="E846">
        <v>1</v>
      </c>
      <c r="F846" s="2">
        <v>34.99</v>
      </c>
      <c r="G846">
        <v>5</v>
      </c>
      <c r="H846" s="2">
        <v>33.24</v>
      </c>
      <c r="I846" s="2">
        <v>33.24</v>
      </c>
      <c r="J846" t="s">
        <v>51</v>
      </c>
      <c r="K846" t="s">
        <v>44</v>
      </c>
      <c r="L846" t="s">
        <v>32</v>
      </c>
      <c r="M846" t="s">
        <v>67</v>
      </c>
      <c r="N846" t="s">
        <v>68</v>
      </c>
      <c r="O846" t="s">
        <v>35</v>
      </c>
      <c r="Q846" s="2">
        <f>Ventas[[#This Row],[precio_base]]*Ventas[[#This Row],[cantidad]]</f>
        <v>34.99</v>
      </c>
      <c r="R846" s="2">
        <f>Ventas[[#This Row],[Total bruto (antes de descuento)]]-Ventas[[#This Row],[total_venta]]</f>
        <v>1.75</v>
      </c>
    </row>
    <row r="847" spans="1:18" x14ac:dyDescent="0.25">
      <c r="A847" t="s">
        <v>940</v>
      </c>
      <c r="B847" s="1">
        <v>45035</v>
      </c>
      <c r="C847" t="s">
        <v>17</v>
      </c>
      <c r="D847" t="s">
        <v>18</v>
      </c>
      <c r="E847">
        <v>4</v>
      </c>
      <c r="F847" s="2">
        <v>45.99</v>
      </c>
      <c r="G847">
        <v>10</v>
      </c>
      <c r="H847" s="2">
        <v>41.39</v>
      </c>
      <c r="I847" s="2">
        <v>165.56</v>
      </c>
      <c r="J847" t="s">
        <v>51</v>
      </c>
      <c r="K847" t="s">
        <v>20</v>
      </c>
      <c r="L847" t="s">
        <v>21</v>
      </c>
      <c r="M847" t="s">
        <v>22</v>
      </c>
      <c r="N847" t="s">
        <v>23</v>
      </c>
      <c r="O847" t="s">
        <v>24</v>
      </c>
      <c r="Q847" s="2">
        <f>Ventas[[#This Row],[precio_base]]*Ventas[[#This Row],[cantidad]]</f>
        <v>183.96</v>
      </c>
      <c r="R847" s="2">
        <f>Ventas[[#This Row],[Total bruto (antes de descuento)]]-Ventas[[#This Row],[total_venta]]</f>
        <v>18.400000000000006</v>
      </c>
    </row>
    <row r="848" spans="1:18" x14ac:dyDescent="0.25">
      <c r="A848" t="s">
        <v>941</v>
      </c>
      <c r="B848" s="1">
        <v>45272</v>
      </c>
      <c r="C848" t="s">
        <v>70</v>
      </c>
      <c r="D848" t="s">
        <v>31</v>
      </c>
      <c r="E848">
        <v>4</v>
      </c>
      <c r="F848" s="2">
        <v>59.99</v>
      </c>
      <c r="G848">
        <v>0</v>
      </c>
      <c r="H848" s="2">
        <v>59.99</v>
      </c>
      <c r="I848" s="2">
        <v>239.96</v>
      </c>
      <c r="J848" t="s">
        <v>19</v>
      </c>
      <c r="K848" t="s">
        <v>44</v>
      </c>
      <c r="L848" t="s">
        <v>21</v>
      </c>
      <c r="M848" t="s">
        <v>73</v>
      </c>
      <c r="N848" t="s">
        <v>74</v>
      </c>
      <c r="O848" t="s">
        <v>35</v>
      </c>
      <c r="P848">
        <v>2</v>
      </c>
      <c r="Q848" s="2">
        <f>Ventas[[#This Row],[precio_base]]*Ventas[[#This Row],[cantidad]]</f>
        <v>239.96</v>
      </c>
      <c r="R848" s="2">
        <f>Ventas[[#This Row],[Total bruto (antes de descuento)]]-Ventas[[#This Row],[total_venta]]</f>
        <v>0</v>
      </c>
    </row>
    <row r="849" spans="1:18" x14ac:dyDescent="0.25">
      <c r="A849" t="s">
        <v>942</v>
      </c>
      <c r="B849" s="1">
        <v>44973</v>
      </c>
      <c r="C849" t="s">
        <v>26</v>
      </c>
      <c r="D849" t="s">
        <v>27</v>
      </c>
      <c r="E849">
        <v>2</v>
      </c>
      <c r="F849" s="2">
        <v>399.99</v>
      </c>
      <c r="G849">
        <v>0</v>
      </c>
      <c r="H849" s="2">
        <v>399.99</v>
      </c>
      <c r="I849" s="2">
        <v>799.98</v>
      </c>
      <c r="J849" t="s">
        <v>19</v>
      </c>
      <c r="K849" t="s">
        <v>20</v>
      </c>
      <c r="L849" t="s">
        <v>45</v>
      </c>
      <c r="M849" t="s">
        <v>58</v>
      </c>
      <c r="N849" t="s">
        <v>59</v>
      </c>
      <c r="O849" t="s">
        <v>24</v>
      </c>
      <c r="P849">
        <v>3</v>
      </c>
      <c r="Q849" s="2">
        <f>Ventas[[#This Row],[precio_base]]*Ventas[[#This Row],[cantidad]]</f>
        <v>799.98</v>
      </c>
      <c r="R849" s="2">
        <f>Ventas[[#This Row],[Total bruto (antes de descuento)]]-Ventas[[#This Row],[total_venta]]</f>
        <v>0</v>
      </c>
    </row>
    <row r="850" spans="1:18" x14ac:dyDescent="0.25">
      <c r="A850" t="s">
        <v>943</v>
      </c>
      <c r="B850" s="1">
        <v>45493</v>
      </c>
      <c r="C850" t="s">
        <v>205</v>
      </c>
      <c r="D850" t="s">
        <v>18</v>
      </c>
      <c r="E850">
        <v>4</v>
      </c>
      <c r="F850" s="2">
        <v>129.99</v>
      </c>
      <c r="G850">
        <v>0</v>
      </c>
      <c r="H850" s="2">
        <v>129.99</v>
      </c>
      <c r="I850" s="2">
        <v>519.96</v>
      </c>
      <c r="J850" t="s">
        <v>90</v>
      </c>
      <c r="K850" t="s">
        <v>20</v>
      </c>
      <c r="L850" t="s">
        <v>28</v>
      </c>
      <c r="M850" t="s">
        <v>46</v>
      </c>
      <c r="N850" t="s">
        <v>47</v>
      </c>
      <c r="O850" t="s">
        <v>48</v>
      </c>
      <c r="Q850" s="2">
        <f>Ventas[[#This Row],[precio_base]]*Ventas[[#This Row],[cantidad]]</f>
        <v>519.96</v>
      </c>
      <c r="R850" s="2">
        <f>Ventas[[#This Row],[Total bruto (antes de descuento)]]-Ventas[[#This Row],[total_venta]]</f>
        <v>0</v>
      </c>
    </row>
    <row r="851" spans="1:18" x14ac:dyDescent="0.25">
      <c r="A851" t="s">
        <v>944</v>
      </c>
      <c r="B851" s="1">
        <v>45574</v>
      </c>
      <c r="C851" t="s">
        <v>156</v>
      </c>
      <c r="D851" t="s">
        <v>27</v>
      </c>
      <c r="E851">
        <v>4</v>
      </c>
      <c r="F851" s="2">
        <v>49.99</v>
      </c>
      <c r="G851">
        <v>20</v>
      </c>
      <c r="H851" s="2">
        <v>39.99</v>
      </c>
      <c r="I851" s="2">
        <v>159.96</v>
      </c>
      <c r="J851" t="s">
        <v>19</v>
      </c>
      <c r="K851" t="s">
        <v>44</v>
      </c>
      <c r="L851" t="s">
        <v>21</v>
      </c>
      <c r="M851" t="s">
        <v>53</v>
      </c>
      <c r="N851" t="s">
        <v>54</v>
      </c>
      <c r="O851" t="s">
        <v>35</v>
      </c>
      <c r="P851">
        <v>2</v>
      </c>
      <c r="Q851" s="2">
        <f>Ventas[[#This Row],[precio_base]]*Ventas[[#This Row],[cantidad]]</f>
        <v>199.96</v>
      </c>
      <c r="R851" s="2">
        <f>Ventas[[#This Row],[Total bruto (antes de descuento)]]-Ventas[[#This Row],[total_venta]]</f>
        <v>40</v>
      </c>
    </row>
    <row r="852" spans="1:18" x14ac:dyDescent="0.25">
      <c r="A852" t="s">
        <v>945</v>
      </c>
      <c r="B852" s="1">
        <v>45018</v>
      </c>
      <c r="C852" t="s">
        <v>30</v>
      </c>
      <c r="D852" t="s">
        <v>31</v>
      </c>
      <c r="E852">
        <v>5</v>
      </c>
      <c r="F852" s="2">
        <v>299.99</v>
      </c>
      <c r="G852">
        <v>0</v>
      </c>
      <c r="H852" s="2">
        <v>299.99</v>
      </c>
      <c r="I852" s="2">
        <v>1499.95</v>
      </c>
      <c r="J852" t="s">
        <v>19</v>
      </c>
      <c r="K852" t="s">
        <v>52</v>
      </c>
      <c r="L852" t="s">
        <v>45</v>
      </c>
      <c r="M852" t="s">
        <v>39</v>
      </c>
      <c r="N852" t="s">
        <v>40</v>
      </c>
      <c r="O852" t="s">
        <v>35</v>
      </c>
      <c r="P852">
        <v>2</v>
      </c>
      <c r="Q852" s="2">
        <f>Ventas[[#This Row],[precio_base]]*Ventas[[#This Row],[cantidad]]</f>
        <v>1499.95</v>
      </c>
      <c r="R852" s="2">
        <f>Ventas[[#This Row],[Total bruto (antes de descuento)]]-Ventas[[#This Row],[total_venta]]</f>
        <v>0</v>
      </c>
    </row>
    <row r="853" spans="1:18" x14ac:dyDescent="0.25">
      <c r="A853" t="s">
        <v>946</v>
      </c>
      <c r="B853" s="1">
        <v>45138</v>
      </c>
      <c r="C853" t="s">
        <v>78</v>
      </c>
      <c r="D853" t="s">
        <v>18</v>
      </c>
      <c r="E853">
        <v>3</v>
      </c>
      <c r="F853" s="2">
        <v>349.99</v>
      </c>
      <c r="G853">
        <v>10</v>
      </c>
      <c r="H853" s="2">
        <v>314.99</v>
      </c>
      <c r="I853" s="2">
        <v>944.97</v>
      </c>
      <c r="J853" t="s">
        <v>19</v>
      </c>
      <c r="K853" t="s">
        <v>52</v>
      </c>
      <c r="L853" t="s">
        <v>28</v>
      </c>
      <c r="M853" t="s">
        <v>22</v>
      </c>
      <c r="N853" t="s">
        <v>23</v>
      </c>
      <c r="O853" t="s">
        <v>24</v>
      </c>
      <c r="P853">
        <v>1</v>
      </c>
      <c r="Q853" s="2">
        <f>Ventas[[#This Row],[precio_base]]*Ventas[[#This Row],[cantidad]]</f>
        <v>1049.97</v>
      </c>
      <c r="R853" s="2">
        <f>Ventas[[#This Row],[Total bruto (antes de descuento)]]-Ventas[[#This Row],[total_venta]]</f>
        <v>105</v>
      </c>
    </row>
    <row r="854" spans="1:18" x14ac:dyDescent="0.25">
      <c r="A854" t="s">
        <v>947</v>
      </c>
      <c r="B854" s="1">
        <v>45537</v>
      </c>
      <c r="C854" t="s">
        <v>205</v>
      </c>
      <c r="D854" t="s">
        <v>18</v>
      </c>
      <c r="E854">
        <v>4</v>
      </c>
      <c r="F854" s="2">
        <v>129.99</v>
      </c>
      <c r="G854">
        <v>10</v>
      </c>
      <c r="H854" s="2">
        <v>116.99</v>
      </c>
      <c r="I854" s="2">
        <v>467.96</v>
      </c>
      <c r="J854" t="s">
        <v>90</v>
      </c>
      <c r="K854" t="s">
        <v>52</v>
      </c>
      <c r="L854" t="s">
        <v>21</v>
      </c>
      <c r="M854" t="s">
        <v>73</v>
      </c>
      <c r="N854" t="s">
        <v>74</v>
      </c>
      <c r="O854" t="s">
        <v>35</v>
      </c>
      <c r="Q854" s="2">
        <f>Ventas[[#This Row],[precio_base]]*Ventas[[#This Row],[cantidad]]</f>
        <v>519.96</v>
      </c>
      <c r="R854" s="2">
        <f>Ventas[[#This Row],[Total bruto (antes de descuento)]]-Ventas[[#This Row],[total_venta]]</f>
        <v>52.000000000000057</v>
      </c>
    </row>
    <row r="855" spans="1:18" x14ac:dyDescent="0.25">
      <c r="A855" t="s">
        <v>948</v>
      </c>
      <c r="B855" s="1">
        <v>45355</v>
      </c>
      <c r="C855" t="s">
        <v>104</v>
      </c>
      <c r="D855" t="s">
        <v>18</v>
      </c>
      <c r="E855">
        <v>5</v>
      </c>
      <c r="F855" s="2">
        <v>1199.99</v>
      </c>
      <c r="G855">
        <v>0</v>
      </c>
      <c r="H855" s="2">
        <v>1199.99</v>
      </c>
      <c r="I855" s="2">
        <v>5999.95</v>
      </c>
      <c r="J855" t="s">
        <v>19</v>
      </c>
      <c r="K855" t="s">
        <v>57</v>
      </c>
      <c r="L855" t="s">
        <v>28</v>
      </c>
      <c r="M855" t="s">
        <v>65</v>
      </c>
      <c r="N855" t="s">
        <v>54</v>
      </c>
      <c r="O855" t="s">
        <v>35</v>
      </c>
      <c r="P855">
        <v>5</v>
      </c>
      <c r="Q855" s="2">
        <f>Ventas[[#This Row],[precio_base]]*Ventas[[#This Row],[cantidad]]</f>
        <v>5999.95</v>
      </c>
      <c r="R855" s="2">
        <f>Ventas[[#This Row],[Total bruto (antes de descuento)]]-Ventas[[#This Row],[total_venta]]</f>
        <v>0</v>
      </c>
    </row>
    <row r="856" spans="1:18" x14ac:dyDescent="0.25">
      <c r="A856" t="s">
        <v>949</v>
      </c>
      <c r="B856" s="1">
        <v>45446</v>
      </c>
      <c r="C856" t="s">
        <v>163</v>
      </c>
      <c r="D856" t="s">
        <v>18</v>
      </c>
      <c r="E856">
        <v>4</v>
      </c>
      <c r="F856" s="2">
        <v>499.99</v>
      </c>
      <c r="G856">
        <v>20</v>
      </c>
      <c r="H856" s="2">
        <v>399.99</v>
      </c>
      <c r="I856" s="2">
        <v>1599.96</v>
      </c>
      <c r="J856" t="s">
        <v>51</v>
      </c>
      <c r="K856" t="s">
        <v>20</v>
      </c>
      <c r="L856" t="s">
        <v>21</v>
      </c>
      <c r="M856" t="s">
        <v>22</v>
      </c>
      <c r="N856" t="s">
        <v>23</v>
      </c>
      <c r="O856" t="s">
        <v>24</v>
      </c>
      <c r="Q856" s="2">
        <f>Ventas[[#This Row],[precio_base]]*Ventas[[#This Row],[cantidad]]</f>
        <v>1999.96</v>
      </c>
      <c r="R856" s="2">
        <f>Ventas[[#This Row],[Total bruto (antes de descuento)]]-Ventas[[#This Row],[total_venta]]</f>
        <v>400</v>
      </c>
    </row>
    <row r="857" spans="1:18" x14ac:dyDescent="0.25">
      <c r="A857" t="s">
        <v>950</v>
      </c>
      <c r="B857" s="1">
        <v>45079</v>
      </c>
      <c r="C857" t="s">
        <v>81</v>
      </c>
      <c r="D857" t="s">
        <v>31</v>
      </c>
      <c r="E857">
        <v>4</v>
      </c>
      <c r="F857" s="2">
        <v>189.99</v>
      </c>
      <c r="G857">
        <v>5</v>
      </c>
      <c r="H857" s="2">
        <v>180.49</v>
      </c>
      <c r="I857" s="2">
        <v>721.96</v>
      </c>
      <c r="J857" t="s">
        <v>19</v>
      </c>
      <c r="K857" t="s">
        <v>52</v>
      </c>
      <c r="L857" t="s">
        <v>21</v>
      </c>
      <c r="M857" t="s">
        <v>73</v>
      </c>
      <c r="N857" t="s">
        <v>74</v>
      </c>
      <c r="O857" t="s">
        <v>35</v>
      </c>
      <c r="P857">
        <v>3</v>
      </c>
      <c r="Q857" s="2">
        <f>Ventas[[#This Row],[precio_base]]*Ventas[[#This Row],[cantidad]]</f>
        <v>759.96</v>
      </c>
      <c r="R857" s="2">
        <f>Ventas[[#This Row],[Total bruto (antes de descuento)]]-Ventas[[#This Row],[total_venta]]</f>
        <v>38</v>
      </c>
    </row>
    <row r="858" spans="1:18" x14ac:dyDescent="0.25">
      <c r="A858" t="s">
        <v>951</v>
      </c>
      <c r="B858" s="1">
        <v>45218</v>
      </c>
      <c r="C858" t="s">
        <v>115</v>
      </c>
      <c r="D858" t="s">
        <v>18</v>
      </c>
      <c r="E858">
        <v>4</v>
      </c>
      <c r="F858" s="2">
        <v>799.99</v>
      </c>
      <c r="G858">
        <v>0</v>
      </c>
      <c r="H858" s="2">
        <v>799.99</v>
      </c>
      <c r="I858" s="2">
        <v>3199.96</v>
      </c>
      <c r="J858" t="s">
        <v>19</v>
      </c>
      <c r="K858" t="s">
        <v>52</v>
      </c>
      <c r="L858" t="s">
        <v>45</v>
      </c>
      <c r="M858" t="s">
        <v>39</v>
      </c>
      <c r="N858" t="s">
        <v>40</v>
      </c>
      <c r="O858" t="s">
        <v>35</v>
      </c>
      <c r="P858">
        <v>1</v>
      </c>
      <c r="Q858" s="2">
        <f>Ventas[[#This Row],[precio_base]]*Ventas[[#This Row],[cantidad]]</f>
        <v>3199.96</v>
      </c>
      <c r="R858" s="2">
        <f>Ventas[[#This Row],[Total bruto (antes de descuento)]]-Ventas[[#This Row],[total_venta]]</f>
        <v>0</v>
      </c>
    </row>
    <row r="859" spans="1:18" x14ac:dyDescent="0.25">
      <c r="A859" t="s">
        <v>952</v>
      </c>
      <c r="B859" s="1">
        <v>44980</v>
      </c>
      <c r="C859" t="s">
        <v>122</v>
      </c>
      <c r="D859" t="s">
        <v>43</v>
      </c>
      <c r="E859">
        <v>5</v>
      </c>
      <c r="F859" s="2">
        <v>44.99</v>
      </c>
      <c r="G859">
        <v>0</v>
      </c>
      <c r="H859" s="2">
        <v>44.99</v>
      </c>
      <c r="I859" s="2">
        <v>224.95</v>
      </c>
      <c r="J859" t="s">
        <v>19</v>
      </c>
      <c r="K859" t="s">
        <v>44</v>
      </c>
      <c r="L859" t="s">
        <v>21</v>
      </c>
      <c r="M859" t="s">
        <v>46</v>
      </c>
      <c r="N859" t="s">
        <v>47</v>
      </c>
      <c r="O859" t="s">
        <v>48</v>
      </c>
      <c r="P859">
        <v>2</v>
      </c>
      <c r="Q859" s="2">
        <f>Ventas[[#This Row],[precio_base]]*Ventas[[#This Row],[cantidad]]</f>
        <v>224.95000000000002</v>
      </c>
      <c r="R859" s="2">
        <f>Ventas[[#This Row],[Total bruto (antes de descuento)]]-Ventas[[#This Row],[total_venta]]</f>
        <v>0</v>
      </c>
    </row>
    <row r="860" spans="1:18" x14ac:dyDescent="0.25">
      <c r="A860" t="s">
        <v>953</v>
      </c>
      <c r="B860" s="1">
        <v>45382</v>
      </c>
      <c r="C860" t="s">
        <v>26</v>
      </c>
      <c r="D860" t="s">
        <v>27</v>
      </c>
      <c r="E860">
        <v>5</v>
      </c>
      <c r="F860" s="2">
        <v>399.99</v>
      </c>
      <c r="G860">
        <v>0</v>
      </c>
      <c r="H860" s="2">
        <v>399.99</v>
      </c>
      <c r="I860" s="2">
        <v>1999.95</v>
      </c>
      <c r="J860" t="s">
        <v>19</v>
      </c>
      <c r="K860" t="s">
        <v>44</v>
      </c>
      <c r="L860" t="s">
        <v>21</v>
      </c>
      <c r="M860" t="s">
        <v>84</v>
      </c>
      <c r="N860" t="s">
        <v>85</v>
      </c>
      <c r="O860" t="s">
        <v>35</v>
      </c>
      <c r="P860">
        <v>1</v>
      </c>
      <c r="Q860" s="2">
        <f>Ventas[[#This Row],[precio_base]]*Ventas[[#This Row],[cantidad]]</f>
        <v>1999.95</v>
      </c>
      <c r="R860" s="2">
        <f>Ventas[[#This Row],[Total bruto (antes de descuento)]]-Ventas[[#This Row],[total_venta]]</f>
        <v>0</v>
      </c>
    </row>
    <row r="861" spans="1:18" x14ac:dyDescent="0.25">
      <c r="A861" t="s">
        <v>954</v>
      </c>
      <c r="B861" s="1">
        <v>45260</v>
      </c>
      <c r="C861" t="s">
        <v>163</v>
      </c>
      <c r="D861" t="s">
        <v>18</v>
      </c>
      <c r="E861">
        <v>1</v>
      </c>
      <c r="F861" s="2">
        <v>499.99</v>
      </c>
      <c r="G861">
        <v>0</v>
      </c>
      <c r="H861" s="2">
        <v>499.99</v>
      </c>
      <c r="I861" s="2">
        <v>499.99</v>
      </c>
      <c r="J861" t="s">
        <v>51</v>
      </c>
      <c r="K861" t="s">
        <v>20</v>
      </c>
      <c r="L861" t="s">
        <v>32</v>
      </c>
      <c r="M861" t="s">
        <v>67</v>
      </c>
      <c r="N861" t="s">
        <v>68</v>
      </c>
      <c r="O861" t="s">
        <v>35</v>
      </c>
      <c r="Q861" s="2">
        <f>Ventas[[#This Row],[precio_base]]*Ventas[[#This Row],[cantidad]]</f>
        <v>499.99</v>
      </c>
      <c r="R861" s="2">
        <f>Ventas[[#This Row],[Total bruto (antes de descuento)]]-Ventas[[#This Row],[total_venta]]</f>
        <v>0</v>
      </c>
    </row>
    <row r="862" spans="1:18" x14ac:dyDescent="0.25">
      <c r="A862" t="s">
        <v>955</v>
      </c>
      <c r="B862" s="1">
        <v>45002</v>
      </c>
      <c r="C862" t="s">
        <v>92</v>
      </c>
      <c r="D862" t="s">
        <v>27</v>
      </c>
      <c r="E862">
        <v>5</v>
      </c>
      <c r="F862" s="2">
        <v>79.989999999999995</v>
      </c>
      <c r="G862">
        <v>5</v>
      </c>
      <c r="H862" s="2">
        <v>75.989999999999995</v>
      </c>
      <c r="I862" s="2">
        <v>379.95</v>
      </c>
      <c r="J862" t="s">
        <v>19</v>
      </c>
      <c r="K862" t="s">
        <v>20</v>
      </c>
      <c r="L862" t="s">
        <v>152</v>
      </c>
      <c r="M862" t="s">
        <v>120</v>
      </c>
      <c r="N862" t="s">
        <v>23</v>
      </c>
      <c r="O862" t="s">
        <v>24</v>
      </c>
      <c r="P862">
        <v>4</v>
      </c>
      <c r="Q862" s="2">
        <f>Ventas[[#This Row],[precio_base]]*Ventas[[#This Row],[cantidad]]</f>
        <v>399.95</v>
      </c>
      <c r="R862" s="2">
        <f>Ventas[[#This Row],[Total bruto (antes de descuento)]]-Ventas[[#This Row],[total_venta]]</f>
        <v>20</v>
      </c>
    </row>
    <row r="863" spans="1:18" x14ac:dyDescent="0.25">
      <c r="A863" t="s">
        <v>956</v>
      </c>
      <c r="B863" s="1">
        <v>45109</v>
      </c>
      <c r="C863" t="s">
        <v>109</v>
      </c>
      <c r="D863" t="s">
        <v>38</v>
      </c>
      <c r="E863">
        <v>3</v>
      </c>
      <c r="F863" s="2">
        <v>39.99</v>
      </c>
      <c r="G863">
        <v>0</v>
      </c>
      <c r="H863" s="2">
        <v>39.99</v>
      </c>
      <c r="I863" s="2">
        <v>119.97</v>
      </c>
      <c r="J863" t="s">
        <v>19</v>
      </c>
      <c r="K863" t="s">
        <v>44</v>
      </c>
      <c r="L863" t="s">
        <v>152</v>
      </c>
      <c r="M863" t="s">
        <v>22</v>
      </c>
      <c r="N863" t="s">
        <v>23</v>
      </c>
      <c r="O863" t="s">
        <v>24</v>
      </c>
      <c r="P863">
        <v>2</v>
      </c>
      <c r="Q863" s="2">
        <f>Ventas[[#This Row],[precio_base]]*Ventas[[#This Row],[cantidad]]</f>
        <v>119.97</v>
      </c>
      <c r="R863" s="2">
        <f>Ventas[[#This Row],[Total bruto (antes de descuento)]]-Ventas[[#This Row],[total_venta]]</f>
        <v>0</v>
      </c>
    </row>
    <row r="864" spans="1:18" x14ac:dyDescent="0.25">
      <c r="A864" t="s">
        <v>957</v>
      </c>
      <c r="B864" s="1">
        <v>45270</v>
      </c>
      <c r="C864" t="s">
        <v>78</v>
      </c>
      <c r="D864" t="s">
        <v>18</v>
      </c>
      <c r="E864">
        <v>1</v>
      </c>
      <c r="F864" s="2">
        <v>349.99</v>
      </c>
      <c r="G864">
        <v>15</v>
      </c>
      <c r="H864" s="2">
        <v>297.49</v>
      </c>
      <c r="I864" s="2">
        <v>297.49</v>
      </c>
      <c r="J864" t="s">
        <v>19</v>
      </c>
      <c r="K864" t="s">
        <v>20</v>
      </c>
      <c r="L864" t="s">
        <v>32</v>
      </c>
      <c r="M864" t="s">
        <v>58</v>
      </c>
      <c r="N864" t="s">
        <v>59</v>
      </c>
      <c r="O864" t="s">
        <v>24</v>
      </c>
      <c r="P864">
        <v>4</v>
      </c>
      <c r="Q864" s="2">
        <f>Ventas[[#This Row],[precio_base]]*Ventas[[#This Row],[cantidad]]</f>
        <v>349.99</v>
      </c>
      <c r="R864" s="2">
        <f>Ventas[[#This Row],[Total bruto (antes de descuento)]]-Ventas[[#This Row],[total_venta]]</f>
        <v>52.5</v>
      </c>
    </row>
    <row r="865" spans="1:18" x14ac:dyDescent="0.25">
      <c r="A865" t="s">
        <v>958</v>
      </c>
      <c r="B865" s="1">
        <v>45355</v>
      </c>
      <c r="C865" t="s">
        <v>205</v>
      </c>
      <c r="D865" t="s">
        <v>18</v>
      </c>
      <c r="E865">
        <v>3</v>
      </c>
      <c r="F865" s="2">
        <v>129.99</v>
      </c>
      <c r="G865">
        <v>0</v>
      </c>
      <c r="H865" s="2">
        <v>129.99</v>
      </c>
      <c r="I865" s="2">
        <v>389.97</v>
      </c>
      <c r="J865" t="s">
        <v>62</v>
      </c>
      <c r="K865" t="s">
        <v>20</v>
      </c>
      <c r="L865" t="s">
        <v>28</v>
      </c>
      <c r="M865" t="s">
        <v>33</v>
      </c>
      <c r="N865" t="s">
        <v>34</v>
      </c>
      <c r="O865" t="s">
        <v>35</v>
      </c>
      <c r="Q865" s="2">
        <f>Ventas[[#This Row],[precio_base]]*Ventas[[#This Row],[cantidad]]</f>
        <v>389.97</v>
      </c>
      <c r="R865" s="2">
        <f>Ventas[[#This Row],[Total bruto (antes de descuento)]]-Ventas[[#This Row],[total_venta]]</f>
        <v>0</v>
      </c>
    </row>
    <row r="866" spans="1:18" x14ac:dyDescent="0.25">
      <c r="A866" t="s">
        <v>959</v>
      </c>
      <c r="B866" s="1">
        <v>45553</v>
      </c>
      <c r="C866" t="s">
        <v>130</v>
      </c>
      <c r="D866" t="s">
        <v>43</v>
      </c>
      <c r="E866">
        <v>2</v>
      </c>
      <c r="F866" s="2">
        <v>24.99</v>
      </c>
      <c r="G866">
        <v>10</v>
      </c>
      <c r="H866" s="2">
        <v>22.49</v>
      </c>
      <c r="I866" s="2">
        <v>44.98</v>
      </c>
      <c r="J866" t="s">
        <v>116</v>
      </c>
      <c r="K866" t="s">
        <v>20</v>
      </c>
      <c r="L866" t="s">
        <v>45</v>
      </c>
      <c r="M866" t="s">
        <v>67</v>
      </c>
      <c r="N866" t="s">
        <v>68</v>
      </c>
      <c r="O866" t="s">
        <v>35</v>
      </c>
      <c r="Q866" s="2">
        <f>Ventas[[#This Row],[precio_base]]*Ventas[[#This Row],[cantidad]]</f>
        <v>49.98</v>
      </c>
      <c r="R866" s="2">
        <f>Ventas[[#This Row],[Total bruto (antes de descuento)]]-Ventas[[#This Row],[total_venta]]</f>
        <v>5</v>
      </c>
    </row>
    <row r="867" spans="1:18" x14ac:dyDescent="0.25">
      <c r="A867" t="s">
        <v>960</v>
      </c>
      <c r="B867" s="1">
        <v>45461</v>
      </c>
      <c r="C867" t="s">
        <v>92</v>
      </c>
      <c r="D867" t="s">
        <v>27</v>
      </c>
      <c r="E867">
        <v>2</v>
      </c>
      <c r="F867" s="2">
        <v>79.989999999999995</v>
      </c>
      <c r="G867">
        <v>10</v>
      </c>
      <c r="H867" s="2">
        <v>71.989999999999995</v>
      </c>
      <c r="I867" s="2">
        <v>143.97999999999999</v>
      </c>
      <c r="J867" t="s">
        <v>19</v>
      </c>
      <c r="K867" t="s">
        <v>20</v>
      </c>
      <c r="L867" t="s">
        <v>28</v>
      </c>
      <c r="M867" t="s">
        <v>101</v>
      </c>
      <c r="N867" t="s">
        <v>102</v>
      </c>
      <c r="O867" t="s">
        <v>35</v>
      </c>
      <c r="P867">
        <v>2</v>
      </c>
      <c r="Q867" s="2">
        <f>Ventas[[#This Row],[precio_base]]*Ventas[[#This Row],[cantidad]]</f>
        <v>159.97999999999999</v>
      </c>
      <c r="R867" s="2">
        <f>Ventas[[#This Row],[Total bruto (antes de descuento)]]-Ventas[[#This Row],[total_venta]]</f>
        <v>16</v>
      </c>
    </row>
    <row r="868" spans="1:18" x14ac:dyDescent="0.25">
      <c r="A868" t="s">
        <v>961</v>
      </c>
      <c r="B868" s="1">
        <v>45180</v>
      </c>
      <c r="C868" t="s">
        <v>141</v>
      </c>
      <c r="D868" t="s">
        <v>38</v>
      </c>
      <c r="E868">
        <v>4</v>
      </c>
      <c r="F868" s="2">
        <v>89.99</v>
      </c>
      <c r="G868">
        <v>10</v>
      </c>
      <c r="H868" s="2">
        <v>80.989999999999995</v>
      </c>
      <c r="I868" s="2">
        <v>323.95999999999998</v>
      </c>
      <c r="J868" t="s">
        <v>19</v>
      </c>
      <c r="K868" t="s">
        <v>44</v>
      </c>
      <c r="L868" t="s">
        <v>21</v>
      </c>
      <c r="M868" t="s">
        <v>53</v>
      </c>
      <c r="N868" t="s">
        <v>54</v>
      </c>
      <c r="O868" t="s">
        <v>35</v>
      </c>
      <c r="P868">
        <v>5</v>
      </c>
      <c r="Q868" s="2">
        <f>Ventas[[#This Row],[precio_base]]*Ventas[[#This Row],[cantidad]]</f>
        <v>359.96</v>
      </c>
      <c r="R868" s="2">
        <f>Ventas[[#This Row],[Total bruto (antes de descuento)]]-Ventas[[#This Row],[total_venta]]</f>
        <v>36</v>
      </c>
    </row>
    <row r="869" spans="1:18" x14ac:dyDescent="0.25">
      <c r="A869" t="s">
        <v>962</v>
      </c>
      <c r="B869" s="1">
        <v>44932</v>
      </c>
      <c r="C869" t="s">
        <v>37</v>
      </c>
      <c r="D869" t="s">
        <v>38</v>
      </c>
      <c r="E869">
        <v>1</v>
      </c>
      <c r="F869" s="2">
        <v>34.99</v>
      </c>
      <c r="G869">
        <v>0</v>
      </c>
      <c r="H869" s="2">
        <v>34.99</v>
      </c>
      <c r="I869" s="2">
        <v>34.99</v>
      </c>
      <c r="J869" t="s">
        <v>116</v>
      </c>
      <c r="K869" t="s">
        <v>52</v>
      </c>
      <c r="L869" t="s">
        <v>21</v>
      </c>
      <c r="M869" t="s">
        <v>84</v>
      </c>
      <c r="N869" t="s">
        <v>85</v>
      </c>
      <c r="O869" t="s">
        <v>35</v>
      </c>
      <c r="Q869" s="2">
        <f>Ventas[[#This Row],[precio_base]]*Ventas[[#This Row],[cantidad]]</f>
        <v>34.99</v>
      </c>
      <c r="R869" s="2">
        <f>Ventas[[#This Row],[Total bruto (antes de descuento)]]-Ventas[[#This Row],[total_venta]]</f>
        <v>0</v>
      </c>
    </row>
    <row r="870" spans="1:18" x14ac:dyDescent="0.25">
      <c r="A870" t="s">
        <v>963</v>
      </c>
      <c r="B870" s="1">
        <v>45470</v>
      </c>
      <c r="C870" t="s">
        <v>109</v>
      </c>
      <c r="D870" t="s">
        <v>38</v>
      </c>
      <c r="E870">
        <v>4</v>
      </c>
      <c r="F870" s="2">
        <v>39.99</v>
      </c>
      <c r="G870">
        <v>20</v>
      </c>
      <c r="H870" s="2">
        <v>31.99</v>
      </c>
      <c r="I870" s="2">
        <v>127.96</v>
      </c>
      <c r="J870" t="s">
        <v>51</v>
      </c>
      <c r="K870" t="s">
        <v>20</v>
      </c>
      <c r="L870" t="s">
        <v>45</v>
      </c>
      <c r="M870" t="s">
        <v>67</v>
      </c>
      <c r="N870" t="s">
        <v>68</v>
      </c>
      <c r="O870" t="s">
        <v>35</v>
      </c>
      <c r="Q870" s="2">
        <f>Ventas[[#This Row],[precio_base]]*Ventas[[#This Row],[cantidad]]</f>
        <v>159.96</v>
      </c>
      <c r="R870" s="2">
        <f>Ventas[[#This Row],[Total bruto (antes de descuento)]]-Ventas[[#This Row],[total_venta]]</f>
        <v>32.000000000000014</v>
      </c>
    </row>
    <row r="871" spans="1:18" x14ac:dyDescent="0.25">
      <c r="A871" t="s">
        <v>964</v>
      </c>
      <c r="B871" s="1">
        <v>45012</v>
      </c>
      <c r="C871" t="s">
        <v>50</v>
      </c>
      <c r="D871" t="s">
        <v>27</v>
      </c>
      <c r="E871">
        <v>1</v>
      </c>
      <c r="F871" s="2">
        <v>149.99</v>
      </c>
      <c r="G871">
        <v>15</v>
      </c>
      <c r="H871" s="2">
        <v>127.49</v>
      </c>
      <c r="I871" s="2">
        <v>127.49</v>
      </c>
      <c r="J871" t="s">
        <v>51</v>
      </c>
      <c r="K871" t="s">
        <v>20</v>
      </c>
      <c r="L871" t="s">
        <v>21</v>
      </c>
      <c r="M871" t="s">
        <v>22</v>
      </c>
      <c r="N871" t="s">
        <v>23</v>
      </c>
      <c r="O871" t="s">
        <v>24</v>
      </c>
      <c r="Q871" s="2">
        <f>Ventas[[#This Row],[precio_base]]*Ventas[[#This Row],[cantidad]]</f>
        <v>149.99</v>
      </c>
      <c r="R871" s="2">
        <f>Ventas[[#This Row],[Total bruto (antes de descuento)]]-Ventas[[#This Row],[total_venta]]</f>
        <v>22.500000000000014</v>
      </c>
    </row>
    <row r="872" spans="1:18" x14ac:dyDescent="0.25">
      <c r="A872" t="s">
        <v>965</v>
      </c>
      <c r="B872" s="1">
        <v>45590</v>
      </c>
      <c r="C872" t="s">
        <v>56</v>
      </c>
      <c r="D872" t="s">
        <v>18</v>
      </c>
      <c r="E872">
        <v>1</v>
      </c>
      <c r="F872" s="2">
        <v>89.99</v>
      </c>
      <c r="G872">
        <v>5</v>
      </c>
      <c r="H872" s="2">
        <v>85.49</v>
      </c>
      <c r="I872" s="2">
        <v>85.49</v>
      </c>
      <c r="J872" t="s">
        <v>51</v>
      </c>
      <c r="K872" t="s">
        <v>44</v>
      </c>
      <c r="L872" t="s">
        <v>32</v>
      </c>
      <c r="M872" t="s">
        <v>63</v>
      </c>
      <c r="N872" t="s">
        <v>34</v>
      </c>
      <c r="O872" t="s">
        <v>24</v>
      </c>
      <c r="Q872" s="2">
        <f>Ventas[[#This Row],[precio_base]]*Ventas[[#This Row],[cantidad]]</f>
        <v>89.99</v>
      </c>
      <c r="R872" s="2">
        <f>Ventas[[#This Row],[Total bruto (antes de descuento)]]-Ventas[[#This Row],[total_venta]]</f>
        <v>4.5</v>
      </c>
    </row>
    <row r="873" spans="1:18" x14ac:dyDescent="0.25">
      <c r="A873" t="s">
        <v>966</v>
      </c>
      <c r="B873" s="1">
        <v>45524</v>
      </c>
      <c r="C873" t="s">
        <v>104</v>
      </c>
      <c r="D873" t="s">
        <v>18</v>
      </c>
      <c r="E873">
        <v>4</v>
      </c>
      <c r="F873" s="2">
        <v>1199.99</v>
      </c>
      <c r="G873">
        <v>5</v>
      </c>
      <c r="H873" s="2">
        <v>1139.99</v>
      </c>
      <c r="I873" s="2">
        <v>4559.96</v>
      </c>
      <c r="J873" t="s">
        <v>51</v>
      </c>
      <c r="K873" t="s">
        <v>44</v>
      </c>
      <c r="L873" t="s">
        <v>21</v>
      </c>
      <c r="M873" t="s">
        <v>67</v>
      </c>
      <c r="N873" t="s">
        <v>68</v>
      </c>
      <c r="O873" t="s">
        <v>35</v>
      </c>
      <c r="Q873" s="2">
        <f>Ventas[[#This Row],[precio_base]]*Ventas[[#This Row],[cantidad]]</f>
        <v>4799.96</v>
      </c>
      <c r="R873" s="2">
        <f>Ventas[[#This Row],[Total bruto (antes de descuento)]]-Ventas[[#This Row],[total_venta]]</f>
        <v>240</v>
      </c>
    </row>
    <row r="874" spans="1:18" x14ac:dyDescent="0.25">
      <c r="A874" t="s">
        <v>967</v>
      </c>
      <c r="B874" s="1">
        <v>45306</v>
      </c>
      <c r="C874" t="s">
        <v>72</v>
      </c>
      <c r="D874" t="s">
        <v>31</v>
      </c>
      <c r="E874">
        <v>4</v>
      </c>
      <c r="F874" s="2">
        <v>29.99</v>
      </c>
      <c r="G874">
        <v>15</v>
      </c>
      <c r="H874" s="2">
        <v>25.49</v>
      </c>
      <c r="I874" s="2">
        <v>101.96</v>
      </c>
      <c r="J874" t="s">
        <v>51</v>
      </c>
      <c r="K874" t="s">
        <v>44</v>
      </c>
      <c r="L874" t="s">
        <v>45</v>
      </c>
      <c r="M874" t="s">
        <v>67</v>
      </c>
      <c r="N874" t="s">
        <v>68</v>
      </c>
      <c r="O874" t="s">
        <v>35</v>
      </c>
      <c r="Q874" s="2">
        <f>Ventas[[#This Row],[precio_base]]*Ventas[[#This Row],[cantidad]]</f>
        <v>119.96</v>
      </c>
      <c r="R874" s="2">
        <f>Ventas[[#This Row],[Total bruto (antes de descuento)]]-Ventas[[#This Row],[total_venta]]</f>
        <v>18</v>
      </c>
    </row>
    <row r="875" spans="1:18" x14ac:dyDescent="0.25">
      <c r="A875" t="s">
        <v>968</v>
      </c>
      <c r="B875" s="1">
        <v>45634</v>
      </c>
      <c r="C875" t="s">
        <v>141</v>
      </c>
      <c r="D875" t="s">
        <v>38</v>
      </c>
      <c r="E875">
        <v>5</v>
      </c>
      <c r="F875" s="2">
        <v>89.99</v>
      </c>
      <c r="G875">
        <v>0</v>
      </c>
      <c r="H875" s="2">
        <v>89.99</v>
      </c>
      <c r="I875" s="2">
        <v>449.95</v>
      </c>
      <c r="J875" t="s">
        <v>19</v>
      </c>
      <c r="K875" t="s">
        <v>20</v>
      </c>
      <c r="L875" t="s">
        <v>152</v>
      </c>
      <c r="M875" t="s">
        <v>39</v>
      </c>
      <c r="N875" t="s">
        <v>40</v>
      </c>
      <c r="O875" t="s">
        <v>35</v>
      </c>
      <c r="P875">
        <v>5</v>
      </c>
      <c r="Q875" s="2">
        <f>Ventas[[#This Row],[precio_base]]*Ventas[[#This Row],[cantidad]]</f>
        <v>449.95</v>
      </c>
      <c r="R875" s="2">
        <f>Ventas[[#This Row],[Total bruto (antes de descuento)]]-Ventas[[#This Row],[total_venta]]</f>
        <v>0</v>
      </c>
    </row>
    <row r="876" spans="1:18" x14ac:dyDescent="0.25">
      <c r="A876" t="s">
        <v>969</v>
      </c>
      <c r="B876" s="1">
        <v>45516</v>
      </c>
      <c r="C876" t="s">
        <v>70</v>
      </c>
      <c r="D876" t="s">
        <v>31</v>
      </c>
      <c r="E876">
        <v>2</v>
      </c>
      <c r="F876" s="2">
        <v>59.99</v>
      </c>
      <c r="G876">
        <v>20</v>
      </c>
      <c r="H876" s="2">
        <v>47.99</v>
      </c>
      <c r="I876" s="2">
        <v>95.98</v>
      </c>
      <c r="J876" t="s">
        <v>51</v>
      </c>
      <c r="K876" t="s">
        <v>52</v>
      </c>
      <c r="L876" t="s">
        <v>28</v>
      </c>
      <c r="M876" t="s">
        <v>33</v>
      </c>
      <c r="N876" t="s">
        <v>34</v>
      </c>
      <c r="O876" t="s">
        <v>35</v>
      </c>
      <c r="Q876" s="2">
        <f>Ventas[[#This Row],[precio_base]]*Ventas[[#This Row],[cantidad]]</f>
        <v>119.98</v>
      </c>
      <c r="R876" s="2">
        <f>Ventas[[#This Row],[Total bruto (antes de descuento)]]-Ventas[[#This Row],[total_venta]]</f>
        <v>24</v>
      </c>
    </row>
    <row r="877" spans="1:18" x14ac:dyDescent="0.25">
      <c r="A877" t="s">
        <v>970</v>
      </c>
      <c r="B877" s="1">
        <v>44983</v>
      </c>
      <c r="C877" t="s">
        <v>87</v>
      </c>
      <c r="D877" t="s">
        <v>27</v>
      </c>
      <c r="E877">
        <v>3</v>
      </c>
      <c r="F877" s="2">
        <v>249.99</v>
      </c>
      <c r="G877">
        <v>0</v>
      </c>
      <c r="H877" s="2">
        <v>249.99</v>
      </c>
      <c r="I877" s="2">
        <v>749.97</v>
      </c>
      <c r="J877" t="s">
        <v>19</v>
      </c>
      <c r="K877" t="s">
        <v>44</v>
      </c>
      <c r="L877" t="s">
        <v>21</v>
      </c>
      <c r="M877" t="s">
        <v>123</v>
      </c>
      <c r="N877" t="s">
        <v>124</v>
      </c>
      <c r="O877" t="s">
        <v>24</v>
      </c>
      <c r="P877">
        <v>3</v>
      </c>
      <c r="Q877" s="2">
        <f>Ventas[[#This Row],[precio_base]]*Ventas[[#This Row],[cantidad]]</f>
        <v>749.97</v>
      </c>
      <c r="R877" s="2">
        <f>Ventas[[#This Row],[Total bruto (antes de descuento)]]-Ventas[[#This Row],[total_venta]]</f>
        <v>0</v>
      </c>
    </row>
    <row r="878" spans="1:18" x14ac:dyDescent="0.25">
      <c r="A878" t="s">
        <v>971</v>
      </c>
      <c r="B878" s="1">
        <v>45106</v>
      </c>
      <c r="C878" t="s">
        <v>72</v>
      </c>
      <c r="D878" t="s">
        <v>31</v>
      </c>
      <c r="E878">
        <v>5</v>
      </c>
      <c r="F878" s="2">
        <v>29.99</v>
      </c>
      <c r="G878">
        <v>15</v>
      </c>
      <c r="H878" s="2">
        <v>25.49</v>
      </c>
      <c r="I878" s="2">
        <v>127.45</v>
      </c>
      <c r="J878" t="s">
        <v>19</v>
      </c>
      <c r="K878" t="s">
        <v>52</v>
      </c>
      <c r="L878" t="s">
        <v>21</v>
      </c>
      <c r="M878" t="s">
        <v>84</v>
      </c>
      <c r="N878" t="s">
        <v>85</v>
      </c>
      <c r="O878" t="s">
        <v>35</v>
      </c>
      <c r="P878">
        <v>3</v>
      </c>
      <c r="Q878" s="2">
        <f>Ventas[[#This Row],[precio_base]]*Ventas[[#This Row],[cantidad]]</f>
        <v>149.94999999999999</v>
      </c>
      <c r="R878" s="2">
        <f>Ventas[[#This Row],[Total bruto (antes de descuento)]]-Ventas[[#This Row],[total_venta]]</f>
        <v>22.499999999999986</v>
      </c>
    </row>
    <row r="879" spans="1:18" x14ac:dyDescent="0.25">
      <c r="A879" t="s">
        <v>972</v>
      </c>
      <c r="B879" s="1">
        <v>45171</v>
      </c>
      <c r="C879" t="s">
        <v>50</v>
      </c>
      <c r="D879" t="s">
        <v>27</v>
      </c>
      <c r="E879">
        <v>1</v>
      </c>
      <c r="F879" s="2">
        <v>149.99</v>
      </c>
      <c r="G879">
        <v>15</v>
      </c>
      <c r="H879" s="2">
        <v>127.49</v>
      </c>
      <c r="I879" s="2">
        <v>127.49</v>
      </c>
      <c r="J879" t="s">
        <v>19</v>
      </c>
      <c r="K879" t="s">
        <v>44</v>
      </c>
      <c r="L879" t="s">
        <v>152</v>
      </c>
      <c r="M879" t="s">
        <v>39</v>
      </c>
      <c r="N879" t="s">
        <v>40</v>
      </c>
      <c r="O879" t="s">
        <v>35</v>
      </c>
      <c r="P879">
        <v>2</v>
      </c>
      <c r="Q879" s="2">
        <f>Ventas[[#This Row],[precio_base]]*Ventas[[#This Row],[cantidad]]</f>
        <v>149.99</v>
      </c>
      <c r="R879" s="2">
        <f>Ventas[[#This Row],[Total bruto (antes de descuento)]]-Ventas[[#This Row],[total_venta]]</f>
        <v>22.500000000000014</v>
      </c>
    </row>
    <row r="880" spans="1:18" x14ac:dyDescent="0.25">
      <c r="A880" t="s">
        <v>973</v>
      </c>
      <c r="B880" s="1">
        <v>45157</v>
      </c>
      <c r="C880" t="s">
        <v>141</v>
      </c>
      <c r="D880" t="s">
        <v>38</v>
      </c>
      <c r="E880">
        <v>3</v>
      </c>
      <c r="F880" s="2">
        <v>89.99</v>
      </c>
      <c r="G880">
        <v>0</v>
      </c>
      <c r="H880" s="2">
        <v>89.99</v>
      </c>
      <c r="I880" s="2">
        <v>269.97000000000003</v>
      </c>
      <c r="J880" t="s">
        <v>19</v>
      </c>
      <c r="K880" t="s">
        <v>20</v>
      </c>
      <c r="L880" t="s">
        <v>21</v>
      </c>
      <c r="M880" t="s">
        <v>120</v>
      </c>
      <c r="N880" t="s">
        <v>23</v>
      </c>
      <c r="O880" t="s">
        <v>24</v>
      </c>
      <c r="P880">
        <v>3</v>
      </c>
      <c r="Q880" s="2">
        <f>Ventas[[#This Row],[precio_base]]*Ventas[[#This Row],[cantidad]]</f>
        <v>269.96999999999997</v>
      </c>
      <c r="R880" s="2">
        <f>Ventas[[#This Row],[Total bruto (antes de descuento)]]-Ventas[[#This Row],[total_venta]]</f>
        <v>0</v>
      </c>
    </row>
    <row r="881" spans="1:18" x14ac:dyDescent="0.25">
      <c r="A881" t="s">
        <v>974</v>
      </c>
      <c r="B881" s="1">
        <v>45390</v>
      </c>
      <c r="C881" t="s">
        <v>92</v>
      </c>
      <c r="D881" t="s">
        <v>27</v>
      </c>
      <c r="E881">
        <v>5</v>
      </c>
      <c r="F881" s="2">
        <v>79.989999999999995</v>
      </c>
      <c r="G881">
        <v>10</v>
      </c>
      <c r="H881" s="2">
        <v>71.989999999999995</v>
      </c>
      <c r="I881" s="2">
        <v>359.95</v>
      </c>
      <c r="J881" t="s">
        <v>62</v>
      </c>
      <c r="K881" t="s">
        <v>44</v>
      </c>
      <c r="L881" t="s">
        <v>28</v>
      </c>
      <c r="M881" t="s">
        <v>101</v>
      </c>
      <c r="N881" t="s">
        <v>102</v>
      </c>
      <c r="O881" t="s">
        <v>35</v>
      </c>
      <c r="Q881" s="2">
        <f>Ventas[[#This Row],[precio_base]]*Ventas[[#This Row],[cantidad]]</f>
        <v>399.95</v>
      </c>
      <c r="R881" s="2">
        <f>Ventas[[#This Row],[Total bruto (antes de descuento)]]-Ventas[[#This Row],[total_venta]]</f>
        <v>40</v>
      </c>
    </row>
    <row r="882" spans="1:18" x14ac:dyDescent="0.25">
      <c r="A882" t="s">
        <v>975</v>
      </c>
      <c r="B882" s="1">
        <v>45472</v>
      </c>
      <c r="C882" t="s">
        <v>130</v>
      </c>
      <c r="D882" t="s">
        <v>43</v>
      </c>
      <c r="E882">
        <v>3</v>
      </c>
      <c r="F882" s="2">
        <v>24.99</v>
      </c>
      <c r="G882">
        <v>5</v>
      </c>
      <c r="H882" s="2">
        <v>23.74</v>
      </c>
      <c r="I882" s="2">
        <v>71.22</v>
      </c>
      <c r="J882" t="s">
        <v>51</v>
      </c>
      <c r="K882" t="s">
        <v>44</v>
      </c>
      <c r="L882" t="s">
        <v>28</v>
      </c>
      <c r="M882" t="s">
        <v>39</v>
      </c>
      <c r="N882" t="s">
        <v>40</v>
      </c>
      <c r="O882" t="s">
        <v>35</v>
      </c>
      <c r="Q882" s="2">
        <f>Ventas[[#This Row],[precio_base]]*Ventas[[#This Row],[cantidad]]</f>
        <v>74.97</v>
      </c>
      <c r="R882" s="2">
        <f>Ventas[[#This Row],[Total bruto (antes de descuento)]]-Ventas[[#This Row],[total_venta]]</f>
        <v>3.75</v>
      </c>
    </row>
    <row r="883" spans="1:18" x14ac:dyDescent="0.25">
      <c r="A883" t="s">
        <v>976</v>
      </c>
      <c r="B883" s="1">
        <v>44994</v>
      </c>
      <c r="C883" t="s">
        <v>115</v>
      </c>
      <c r="D883" t="s">
        <v>18</v>
      </c>
      <c r="E883">
        <v>4</v>
      </c>
      <c r="F883" s="2">
        <v>799.99</v>
      </c>
      <c r="G883">
        <v>0</v>
      </c>
      <c r="H883" s="2">
        <v>799.99</v>
      </c>
      <c r="I883" s="2">
        <v>3199.96</v>
      </c>
      <c r="J883" t="s">
        <v>19</v>
      </c>
      <c r="K883" t="s">
        <v>20</v>
      </c>
      <c r="L883" t="s">
        <v>152</v>
      </c>
      <c r="M883" t="s">
        <v>53</v>
      </c>
      <c r="N883" t="s">
        <v>54</v>
      </c>
      <c r="O883" t="s">
        <v>35</v>
      </c>
      <c r="P883">
        <v>1</v>
      </c>
      <c r="Q883" s="2">
        <f>Ventas[[#This Row],[precio_base]]*Ventas[[#This Row],[cantidad]]</f>
        <v>3199.96</v>
      </c>
      <c r="R883" s="2">
        <f>Ventas[[#This Row],[Total bruto (antes de descuento)]]-Ventas[[#This Row],[total_venta]]</f>
        <v>0</v>
      </c>
    </row>
    <row r="884" spans="1:18" x14ac:dyDescent="0.25">
      <c r="A884" t="s">
        <v>977</v>
      </c>
      <c r="B884" s="1">
        <v>45038</v>
      </c>
      <c r="C884" t="s">
        <v>205</v>
      </c>
      <c r="D884" t="s">
        <v>18</v>
      </c>
      <c r="E884">
        <v>3</v>
      </c>
      <c r="F884" s="2">
        <v>129.99</v>
      </c>
      <c r="G884">
        <v>0</v>
      </c>
      <c r="H884" s="2">
        <v>129.99</v>
      </c>
      <c r="I884" s="2">
        <v>389.97</v>
      </c>
      <c r="J884" t="s">
        <v>51</v>
      </c>
      <c r="K884" t="s">
        <v>20</v>
      </c>
      <c r="L884" t="s">
        <v>21</v>
      </c>
      <c r="M884" t="s">
        <v>101</v>
      </c>
      <c r="N884" t="s">
        <v>102</v>
      </c>
      <c r="O884" t="s">
        <v>35</v>
      </c>
      <c r="Q884" s="2">
        <f>Ventas[[#This Row],[precio_base]]*Ventas[[#This Row],[cantidad]]</f>
        <v>389.97</v>
      </c>
      <c r="R884" s="2">
        <f>Ventas[[#This Row],[Total bruto (antes de descuento)]]-Ventas[[#This Row],[total_venta]]</f>
        <v>0</v>
      </c>
    </row>
    <row r="885" spans="1:18" x14ac:dyDescent="0.25">
      <c r="A885" t="s">
        <v>978</v>
      </c>
      <c r="B885" s="1">
        <v>45569</v>
      </c>
      <c r="C885" t="s">
        <v>104</v>
      </c>
      <c r="D885" t="s">
        <v>18</v>
      </c>
      <c r="E885">
        <v>3</v>
      </c>
      <c r="F885" s="2">
        <v>1199.99</v>
      </c>
      <c r="G885">
        <v>5</v>
      </c>
      <c r="H885" s="2">
        <v>1139.99</v>
      </c>
      <c r="I885" s="2">
        <v>3419.97</v>
      </c>
      <c r="J885" t="s">
        <v>116</v>
      </c>
      <c r="K885" t="s">
        <v>52</v>
      </c>
      <c r="L885" t="s">
        <v>45</v>
      </c>
      <c r="M885" t="s">
        <v>65</v>
      </c>
      <c r="N885" t="s">
        <v>54</v>
      </c>
      <c r="O885" t="s">
        <v>35</v>
      </c>
      <c r="Q885" s="2">
        <f>Ventas[[#This Row],[precio_base]]*Ventas[[#This Row],[cantidad]]</f>
        <v>3599.9700000000003</v>
      </c>
      <c r="R885" s="2">
        <f>Ventas[[#This Row],[Total bruto (antes de descuento)]]-Ventas[[#This Row],[total_venta]]</f>
        <v>180.00000000000045</v>
      </c>
    </row>
    <row r="886" spans="1:18" x14ac:dyDescent="0.25">
      <c r="A886" t="s">
        <v>979</v>
      </c>
      <c r="B886" s="1">
        <v>45357</v>
      </c>
      <c r="C886" t="s">
        <v>151</v>
      </c>
      <c r="D886" t="s">
        <v>27</v>
      </c>
      <c r="E886">
        <v>1</v>
      </c>
      <c r="F886" s="2">
        <v>599.99</v>
      </c>
      <c r="G886">
        <v>0</v>
      </c>
      <c r="H886" s="2">
        <v>599.99</v>
      </c>
      <c r="I886" s="2">
        <v>599.99</v>
      </c>
      <c r="J886" t="s">
        <v>19</v>
      </c>
      <c r="K886" t="s">
        <v>52</v>
      </c>
      <c r="L886" t="s">
        <v>21</v>
      </c>
      <c r="M886" t="s">
        <v>46</v>
      </c>
      <c r="N886" t="s">
        <v>47</v>
      </c>
      <c r="O886" t="s">
        <v>48</v>
      </c>
      <c r="P886">
        <v>5</v>
      </c>
      <c r="Q886" s="2">
        <f>Ventas[[#This Row],[precio_base]]*Ventas[[#This Row],[cantidad]]</f>
        <v>599.99</v>
      </c>
      <c r="R886" s="2">
        <f>Ventas[[#This Row],[Total bruto (antes de descuento)]]-Ventas[[#This Row],[total_venta]]</f>
        <v>0</v>
      </c>
    </row>
    <row r="887" spans="1:18" x14ac:dyDescent="0.25">
      <c r="A887" t="s">
        <v>980</v>
      </c>
      <c r="B887" s="1">
        <v>45587</v>
      </c>
      <c r="C887" t="s">
        <v>141</v>
      </c>
      <c r="D887" t="s">
        <v>38</v>
      </c>
      <c r="E887">
        <v>4</v>
      </c>
      <c r="F887" s="2">
        <v>89.99</v>
      </c>
      <c r="G887">
        <v>10</v>
      </c>
      <c r="H887" s="2">
        <v>80.989999999999995</v>
      </c>
      <c r="I887" s="2">
        <v>323.95999999999998</v>
      </c>
      <c r="J887" t="s">
        <v>19</v>
      </c>
      <c r="K887" t="s">
        <v>52</v>
      </c>
      <c r="L887" t="s">
        <v>45</v>
      </c>
      <c r="M887" t="s">
        <v>73</v>
      </c>
      <c r="N887" t="s">
        <v>74</v>
      </c>
      <c r="O887" t="s">
        <v>35</v>
      </c>
      <c r="P887">
        <v>5</v>
      </c>
      <c r="Q887" s="2">
        <f>Ventas[[#This Row],[precio_base]]*Ventas[[#This Row],[cantidad]]</f>
        <v>359.96</v>
      </c>
      <c r="R887" s="2">
        <f>Ventas[[#This Row],[Total bruto (antes de descuento)]]-Ventas[[#This Row],[total_venta]]</f>
        <v>36</v>
      </c>
    </row>
    <row r="888" spans="1:18" x14ac:dyDescent="0.25">
      <c r="A888" t="s">
        <v>981</v>
      </c>
      <c r="B888" s="1">
        <v>45488</v>
      </c>
      <c r="C888" t="s">
        <v>151</v>
      </c>
      <c r="D888" t="s">
        <v>27</v>
      </c>
      <c r="E888">
        <v>4</v>
      </c>
      <c r="F888" s="2">
        <v>599.99</v>
      </c>
      <c r="G888">
        <v>0</v>
      </c>
      <c r="H888" s="2">
        <v>599.99</v>
      </c>
      <c r="I888" s="2">
        <v>2399.96</v>
      </c>
      <c r="J888" t="s">
        <v>19</v>
      </c>
      <c r="K888" t="s">
        <v>52</v>
      </c>
      <c r="L888" t="s">
        <v>21</v>
      </c>
      <c r="M888" t="s">
        <v>53</v>
      </c>
      <c r="N888" t="s">
        <v>54</v>
      </c>
      <c r="O888" t="s">
        <v>35</v>
      </c>
      <c r="P888">
        <v>3</v>
      </c>
      <c r="Q888" s="2">
        <f>Ventas[[#This Row],[precio_base]]*Ventas[[#This Row],[cantidad]]</f>
        <v>2399.96</v>
      </c>
      <c r="R888" s="2">
        <f>Ventas[[#This Row],[Total bruto (antes de descuento)]]-Ventas[[#This Row],[total_venta]]</f>
        <v>0</v>
      </c>
    </row>
    <row r="889" spans="1:18" x14ac:dyDescent="0.25">
      <c r="A889" t="s">
        <v>982</v>
      </c>
      <c r="B889" s="1">
        <v>45159</v>
      </c>
      <c r="C889" t="s">
        <v>92</v>
      </c>
      <c r="D889" t="s">
        <v>27</v>
      </c>
      <c r="E889">
        <v>3</v>
      </c>
      <c r="F889" s="2">
        <v>79.989999999999995</v>
      </c>
      <c r="G889">
        <v>0</v>
      </c>
      <c r="H889" s="2">
        <v>79.989999999999995</v>
      </c>
      <c r="I889" s="2">
        <v>239.97</v>
      </c>
      <c r="J889" t="s">
        <v>51</v>
      </c>
      <c r="K889" t="s">
        <v>20</v>
      </c>
      <c r="L889" t="s">
        <v>21</v>
      </c>
      <c r="M889" t="s">
        <v>46</v>
      </c>
      <c r="N889" t="s">
        <v>47</v>
      </c>
      <c r="O889" t="s">
        <v>48</v>
      </c>
      <c r="Q889" s="2">
        <f>Ventas[[#This Row],[precio_base]]*Ventas[[#This Row],[cantidad]]</f>
        <v>239.96999999999997</v>
      </c>
      <c r="R889" s="2">
        <f>Ventas[[#This Row],[Total bruto (antes de descuento)]]-Ventas[[#This Row],[total_venta]]</f>
        <v>0</v>
      </c>
    </row>
    <row r="890" spans="1:18" x14ac:dyDescent="0.25">
      <c r="A890" t="s">
        <v>983</v>
      </c>
      <c r="B890" s="1">
        <v>45097</v>
      </c>
      <c r="C890" t="s">
        <v>156</v>
      </c>
      <c r="D890" t="s">
        <v>27</v>
      </c>
      <c r="E890">
        <v>2</v>
      </c>
      <c r="F890" s="2">
        <v>49.99</v>
      </c>
      <c r="G890">
        <v>15</v>
      </c>
      <c r="H890" s="2">
        <v>42.49</v>
      </c>
      <c r="I890" s="2">
        <v>84.98</v>
      </c>
      <c r="J890" t="s">
        <v>19</v>
      </c>
      <c r="K890" t="s">
        <v>57</v>
      </c>
      <c r="L890" t="s">
        <v>32</v>
      </c>
      <c r="M890" t="s">
        <v>63</v>
      </c>
      <c r="N890" t="s">
        <v>34</v>
      </c>
      <c r="O890" t="s">
        <v>24</v>
      </c>
      <c r="P890">
        <v>2</v>
      </c>
      <c r="Q890" s="2">
        <f>Ventas[[#This Row],[precio_base]]*Ventas[[#This Row],[cantidad]]</f>
        <v>99.98</v>
      </c>
      <c r="R890" s="2">
        <f>Ventas[[#This Row],[Total bruto (antes de descuento)]]-Ventas[[#This Row],[total_venta]]</f>
        <v>15</v>
      </c>
    </row>
    <row r="891" spans="1:18" x14ac:dyDescent="0.25">
      <c r="A891" t="s">
        <v>984</v>
      </c>
      <c r="B891" s="1">
        <v>45092</v>
      </c>
      <c r="C891" t="s">
        <v>163</v>
      </c>
      <c r="D891" t="s">
        <v>18</v>
      </c>
      <c r="E891">
        <v>1</v>
      </c>
      <c r="F891" s="2">
        <v>499.99</v>
      </c>
      <c r="G891">
        <v>0</v>
      </c>
      <c r="H891" s="2">
        <v>499.99</v>
      </c>
      <c r="I891" s="2">
        <v>499.99</v>
      </c>
      <c r="J891" t="s">
        <v>116</v>
      </c>
      <c r="K891" t="s">
        <v>20</v>
      </c>
      <c r="L891" t="s">
        <v>21</v>
      </c>
      <c r="M891" t="s">
        <v>33</v>
      </c>
      <c r="N891" t="s">
        <v>34</v>
      </c>
      <c r="O891" t="s">
        <v>35</v>
      </c>
      <c r="Q891" s="2">
        <f>Ventas[[#This Row],[precio_base]]*Ventas[[#This Row],[cantidad]]</f>
        <v>499.99</v>
      </c>
      <c r="R891" s="2">
        <f>Ventas[[#This Row],[Total bruto (antes de descuento)]]-Ventas[[#This Row],[total_venta]]</f>
        <v>0</v>
      </c>
    </row>
    <row r="892" spans="1:18" x14ac:dyDescent="0.25">
      <c r="A892" t="s">
        <v>985</v>
      </c>
      <c r="B892" s="1">
        <v>45115</v>
      </c>
      <c r="C892" t="s">
        <v>115</v>
      </c>
      <c r="D892" t="s">
        <v>18</v>
      </c>
      <c r="E892">
        <v>5</v>
      </c>
      <c r="F892" s="2">
        <v>799.99</v>
      </c>
      <c r="G892">
        <v>15</v>
      </c>
      <c r="H892" s="2">
        <v>679.99</v>
      </c>
      <c r="I892" s="2">
        <v>3399.95</v>
      </c>
      <c r="J892" t="s">
        <v>19</v>
      </c>
      <c r="K892" t="s">
        <v>57</v>
      </c>
      <c r="L892" t="s">
        <v>21</v>
      </c>
      <c r="M892" t="s">
        <v>123</v>
      </c>
      <c r="N892" t="s">
        <v>124</v>
      </c>
      <c r="O892" t="s">
        <v>24</v>
      </c>
      <c r="P892">
        <v>4</v>
      </c>
      <c r="Q892" s="2">
        <f>Ventas[[#This Row],[precio_base]]*Ventas[[#This Row],[cantidad]]</f>
        <v>3999.95</v>
      </c>
      <c r="R892" s="2">
        <f>Ventas[[#This Row],[Total bruto (antes de descuento)]]-Ventas[[#This Row],[total_venta]]</f>
        <v>600</v>
      </c>
    </row>
    <row r="893" spans="1:18" x14ac:dyDescent="0.25">
      <c r="A893" t="s">
        <v>986</v>
      </c>
      <c r="B893" s="1">
        <v>45479</v>
      </c>
      <c r="C893" t="s">
        <v>205</v>
      </c>
      <c r="D893" t="s">
        <v>18</v>
      </c>
      <c r="E893">
        <v>5</v>
      </c>
      <c r="F893" s="2">
        <v>129.99</v>
      </c>
      <c r="G893">
        <v>0</v>
      </c>
      <c r="H893" s="2">
        <v>129.99</v>
      </c>
      <c r="I893" s="2">
        <v>649.95000000000005</v>
      </c>
      <c r="J893" t="s">
        <v>19</v>
      </c>
      <c r="K893" t="s">
        <v>20</v>
      </c>
      <c r="L893" t="s">
        <v>45</v>
      </c>
      <c r="M893" t="s">
        <v>46</v>
      </c>
      <c r="N893" t="s">
        <v>47</v>
      </c>
      <c r="O893" t="s">
        <v>48</v>
      </c>
      <c r="P893">
        <v>2</v>
      </c>
      <c r="Q893" s="2">
        <f>Ventas[[#This Row],[precio_base]]*Ventas[[#This Row],[cantidad]]</f>
        <v>649.95000000000005</v>
      </c>
      <c r="R893" s="2">
        <f>Ventas[[#This Row],[Total bruto (antes de descuento)]]-Ventas[[#This Row],[total_venta]]</f>
        <v>0</v>
      </c>
    </row>
    <row r="894" spans="1:18" x14ac:dyDescent="0.25">
      <c r="A894" t="s">
        <v>987</v>
      </c>
      <c r="B894" s="1">
        <v>45396</v>
      </c>
      <c r="C894" t="s">
        <v>122</v>
      </c>
      <c r="D894" t="s">
        <v>43</v>
      </c>
      <c r="E894">
        <v>3</v>
      </c>
      <c r="F894" s="2">
        <v>44.99</v>
      </c>
      <c r="G894">
        <v>0</v>
      </c>
      <c r="H894" s="2">
        <v>44.99</v>
      </c>
      <c r="I894" s="2">
        <v>134.97</v>
      </c>
      <c r="J894" t="s">
        <v>19</v>
      </c>
      <c r="K894" t="s">
        <v>44</v>
      </c>
      <c r="L894" t="s">
        <v>45</v>
      </c>
      <c r="M894" t="s">
        <v>84</v>
      </c>
      <c r="N894" t="s">
        <v>85</v>
      </c>
      <c r="O894" t="s">
        <v>35</v>
      </c>
      <c r="P894">
        <v>3</v>
      </c>
      <c r="Q894" s="2">
        <f>Ventas[[#This Row],[precio_base]]*Ventas[[#This Row],[cantidad]]</f>
        <v>134.97</v>
      </c>
      <c r="R894" s="2">
        <f>Ventas[[#This Row],[Total bruto (antes de descuento)]]-Ventas[[#This Row],[total_venta]]</f>
        <v>0</v>
      </c>
    </row>
    <row r="895" spans="1:18" x14ac:dyDescent="0.25">
      <c r="A895" t="s">
        <v>988</v>
      </c>
      <c r="B895" s="1">
        <v>45412</v>
      </c>
      <c r="C895" t="s">
        <v>130</v>
      </c>
      <c r="D895" t="s">
        <v>43</v>
      </c>
      <c r="E895">
        <v>3</v>
      </c>
      <c r="F895" s="2">
        <v>24.99</v>
      </c>
      <c r="G895">
        <v>20</v>
      </c>
      <c r="H895" s="2">
        <v>19.989999999999998</v>
      </c>
      <c r="I895" s="2">
        <v>59.97</v>
      </c>
      <c r="J895" t="s">
        <v>116</v>
      </c>
      <c r="K895" t="s">
        <v>44</v>
      </c>
      <c r="L895" t="s">
        <v>28</v>
      </c>
      <c r="M895" t="s">
        <v>33</v>
      </c>
      <c r="N895" t="s">
        <v>34</v>
      </c>
      <c r="O895" t="s">
        <v>35</v>
      </c>
      <c r="Q895" s="2">
        <f>Ventas[[#This Row],[precio_base]]*Ventas[[#This Row],[cantidad]]</f>
        <v>74.97</v>
      </c>
      <c r="R895" s="2">
        <f>Ventas[[#This Row],[Total bruto (antes de descuento)]]-Ventas[[#This Row],[total_venta]]</f>
        <v>15</v>
      </c>
    </row>
    <row r="896" spans="1:18" x14ac:dyDescent="0.25">
      <c r="A896" t="s">
        <v>989</v>
      </c>
      <c r="B896" s="1">
        <v>45379</v>
      </c>
      <c r="C896" t="s">
        <v>141</v>
      </c>
      <c r="D896" t="s">
        <v>38</v>
      </c>
      <c r="E896">
        <v>1</v>
      </c>
      <c r="F896" s="2">
        <v>89.99</v>
      </c>
      <c r="G896">
        <v>15</v>
      </c>
      <c r="H896" s="2">
        <v>76.489999999999995</v>
      </c>
      <c r="I896" s="2">
        <v>76.489999999999995</v>
      </c>
      <c r="J896" t="s">
        <v>19</v>
      </c>
      <c r="K896" t="s">
        <v>20</v>
      </c>
      <c r="L896" t="s">
        <v>45</v>
      </c>
      <c r="M896" t="s">
        <v>46</v>
      </c>
      <c r="N896" t="s">
        <v>47</v>
      </c>
      <c r="O896" t="s">
        <v>48</v>
      </c>
      <c r="P896">
        <v>3</v>
      </c>
      <c r="Q896" s="2">
        <f>Ventas[[#This Row],[precio_base]]*Ventas[[#This Row],[cantidad]]</f>
        <v>89.99</v>
      </c>
      <c r="R896" s="2">
        <f>Ventas[[#This Row],[Total bruto (antes de descuento)]]-Ventas[[#This Row],[total_venta]]</f>
        <v>13.5</v>
      </c>
    </row>
    <row r="897" spans="1:18" x14ac:dyDescent="0.25">
      <c r="A897" t="s">
        <v>990</v>
      </c>
      <c r="B897" s="1">
        <v>44952</v>
      </c>
      <c r="C897" t="s">
        <v>109</v>
      </c>
      <c r="D897" t="s">
        <v>38</v>
      </c>
      <c r="E897">
        <v>5</v>
      </c>
      <c r="F897" s="2">
        <v>39.99</v>
      </c>
      <c r="G897">
        <v>20</v>
      </c>
      <c r="H897" s="2">
        <v>31.99</v>
      </c>
      <c r="I897" s="2">
        <v>159.94999999999999</v>
      </c>
      <c r="J897" t="s">
        <v>19</v>
      </c>
      <c r="K897" t="s">
        <v>20</v>
      </c>
      <c r="L897" t="s">
        <v>21</v>
      </c>
      <c r="M897" t="s">
        <v>123</v>
      </c>
      <c r="N897" t="s">
        <v>124</v>
      </c>
      <c r="O897" t="s">
        <v>24</v>
      </c>
      <c r="P897">
        <v>2</v>
      </c>
      <c r="Q897" s="2">
        <f>Ventas[[#This Row],[precio_base]]*Ventas[[#This Row],[cantidad]]</f>
        <v>199.95000000000002</v>
      </c>
      <c r="R897" s="2">
        <f>Ventas[[#This Row],[Total bruto (antes de descuento)]]-Ventas[[#This Row],[total_venta]]</f>
        <v>40.000000000000028</v>
      </c>
    </row>
    <row r="898" spans="1:18" x14ac:dyDescent="0.25">
      <c r="A898" t="s">
        <v>991</v>
      </c>
      <c r="B898" s="1">
        <v>45524</v>
      </c>
      <c r="C898" t="s">
        <v>87</v>
      </c>
      <c r="D898" t="s">
        <v>27</v>
      </c>
      <c r="E898">
        <v>2</v>
      </c>
      <c r="F898" s="2">
        <v>249.99</v>
      </c>
      <c r="G898">
        <v>20</v>
      </c>
      <c r="H898" s="2">
        <v>199.99</v>
      </c>
      <c r="I898" s="2">
        <v>399.98</v>
      </c>
      <c r="J898" t="s">
        <v>90</v>
      </c>
      <c r="K898" t="s">
        <v>20</v>
      </c>
      <c r="L898" t="s">
        <v>21</v>
      </c>
      <c r="M898" t="s">
        <v>58</v>
      </c>
      <c r="N898" t="s">
        <v>59</v>
      </c>
      <c r="O898" t="s">
        <v>24</v>
      </c>
      <c r="Q898" s="2">
        <f>Ventas[[#This Row],[precio_base]]*Ventas[[#This Row],[cantidad]]</f>
        <v>499.98</v>
      </c>
      <c r="R898" s="2">
        <f>Ventas[[#This Row],[Total bruto (antes de descuento)]]-Ventas[[#This Row],[total_venta]]</f>
        <v>100</v>
      </c>
    </row>
    <row r="899" spans="1:18" x14ac:dyDescent="0.25">
      <c r="A899" t="s">
        <v>992</v>
      </c>
      <c r="B899" s="1">
        <v>45383</v>
      </c>
      <c r="C899" t="s">
        <v>81</v>
      </c>
      <c r="D899" t="s">
        <v>31</v>
      </c>
      <c r="E899">
        <v>1</v>
      </c>
      <c r="F899" s="2">
        <v>189.99</v>
      </c>
      <c r="G899">
        <v>10</v>
      </c>
      <c r="H899" s="2">
        <v>170.99</v>
      </c>
      <c r="I899" s="2">
        <v>170.99</v>
      </c>
      <c r="J899" t="s">
        <v>19</v>
      </c>
      <c r="K899" t="s">
        <v>20</v>
      </c>
      <c r="L899" t="s">
        <v>28</v>
      </c>
      <c r="M899" t="s">
        <v>101</v>
      </c>
      <c r="N899" t="s">
        <v>102</v>
      </c>
      <c r="O899" t="s">
        <v>35</v>
      </c>
      <c r="P899">
        <v>1</v>
      </c>
      <c r="Q899" s="2">
        <f>Ventas[[#This Row],[precio_base]]*Ventas[[#This Row],[cantidad]]</f>
        <v>189.99</v>
      </c>
      <c r="R899" s="2">
        <f>Ventas[[#This Row],[Total bruto (antes de descuento)]]-Ventas[[#This Row],[total_venta]]</f>
        <v>19</v>
      </c>
    </row>
    <row r="900" spans="1:18" x14ac:dyDescent="0.25">
      <c r="A900" t="s">
        <v>993</v>
      </c>
      <c r="B900" s="1">
        <v>45609</v>
      </c>
      <c r="C900" t="s">
        <v>89</v>
      </c>
      <c r="D900" t="s">
        <v>38</v>
      </c>
      <c r="E900">
        <v>4</v>
      </c>
      <c r="F900" s="2">
        <v>69.989999999999995</v>
      </c>
      <c r="G900">
        <v>0</v>
      </c>
      <c r="H900" s="2">
        <v>69.989999999999995</v>
      </c>
      <c r="I900" s="2">
        <v>279.95999999999998</v>
      </c>
      <c r="J900" t="s">
        <v>51</v>
      </c>
      <c r="K900" t="s">
        <v>20</v>
      </c>
      <c r="L900" t="s">
        <v>45</v>
      </c>
      <c r="M900" t="s">
        <v>120</v>
      </c>
      <c r="N900" t="s">
        <v>23</v>
      </c>
      <c r="O900" t="s">
        <v>24</v>
      </c>
      <c r="Q900" s="2">
        <f>Ventas[[#This Row],[precio_base]]*Ventas[[#This Row],[cantidad]]</f>
        <v>279.95999999999998</v>
      </c>
      <c r="R900" s="2">
        <f>Ventas[[#This Row],[Total bruto (antes de descuento)]]-Ventas[[#This Row],[total_venta]]</f>
        <v>0</v>
      </c>
    </row>
    <row r="901" spans="1:18" x14ac:dyDescent="0.25">
      <c r="A901" t="s">
        <v>994</v>
      </c>
      <c r="B901" s="1">
        <v>45218</v>
      </c>
      <c r="C901" t="s">
        <v>89</v>
      </c>
      <c r="D901" t="s">
        <v>38</v>
      </c>
      <c r="E901">
        <v>3</v>
      </c>
      <c r="F901" s="2">
        <v>69.989999999999995</v>
      </c>
      <c r="G901">
        <v>0</v>
      </c>
      <c r="H901" s="2">
        <v>69.989999999999995</v>
      </c>
      <c r="I901" s="2">
        <v>209.97</v>
      </c>
      <c r="J901" t="s">
        <v>116</v>
      </c>
      <c r="K901" t="s">
        <v>44</v>
      </c>
      <c r="L901" t="s">
        <v>21</v>
      </c>
      <c r="M901" t="s">
        <v>67</v>
      </c>
      <c r="N901" t="s">
        <v>68</v>
      </c>
      <c r="O901" t="s">
        <v>35</v>
      </c>
      <c r="Q901" s="2">
        <f>Ventas[[#This Row],[precio_base]]*Ventas[[#This Row],[cantidad]]</f>
        <v>209.96999999999997</v>
      </c>
      <c r="R901" s="2">
        <f>Ventas[[#This Row],[Total bruto (antes de descuento)]]-Ventas[[#This Row],[total_venta]]</f>
        <v>0</v>
      </c>
    </row>
    <row r="902" spans="1:18" x14ac:dyDescent="0.25">
      <c r="A902" t="s">
        <v>995</v>
      </c>
      <c r="B902" s="1">
        <v>45381</v>
      </c>
      <c r="C902" t="s">
        <v>76</v>
      </c>
      <c r="D902" t="s">
        <v>31</v>
      </c>
      <c r="E902">
        <v>4</v>
      </c>
      <c r="F902" s="2">
        <v>69.989999999999995</v>
      </c>
      <c r="G902">
        <v>20</v>
      </c>
      <c r="H902" s="2">
        <v>55.99</v>
      </c>
      <c r="I902" s="2">
        <v>223.96</v>
      </c>
      <c r="J902" t="s">
        <v>19</v>
      </c>
      <c r="K902" t="s">
        <v>52</v>
      </c>
      <c r="L902" t="s">
        <v>152</v>
      </c>
      <c r="M902" t="s">
        <v>63</v>
      </c>
      <c r="N902" t="s">
        <v>34</v>
      </c>
      <c r="O902" t="s">
        <v>24</v>
      </c>
      <c r="P902">
        <v>4</v>
      </c>
      <c r="Q902" s="2">
        <f>Ventas[[#This Row],[precio_base]]*Ventas[[#This Row],[cantidad]]</f>
        <v>279.95999999999998</v>
      </c>
      <c r="R902" s="2">
        <f>Ventas[[#This Row],[Total bruto (antes de descuento)]]-Ventas[[#This Row],[total_venta]]</f>
        <v>55.999999999999972</v>
      </c>
    </row>
    <row r="903" spans="1:18" x14ac:dyDescent="0.25">
      <c r="A903" t="s">
        <v>996</v>
      </c>
      <c r="B903" s="1">
        <v>45351</v>
      </c>
      <c r="C903" t="s">
        <v>78</v>
      </c>
      <c r="D903" t="s">
        <v>18</v>
      </c>
      <c r="E903">
        <v>5</v>
      </c>
      <c r="F903" s="2">
        <v>349.99</v>
      </c>
      <c r="G903">
        <v>10</v>
      </c>
      <c r="H903" s="2">
        <v>314.99</v>
      </c>
      <c r="I903" s="2">
        <v>1574.95</v>
      </c>
      <c r="J903" t="s">
        <v>19</v>
      </c>
      <c r="K903" t="s">
        <v>20</v>
      </c>
      <c r="L903" t="s">
        <v>152</v>
      </c>
      <c r="M903" t="s">
        <v>22</v>
      </c>
      <c r="N903" t="s">
        <v>23</v>
      </c>
      <c r="O903" t="s">
        <v>24</v>
      </c>
      <c r="P903">
        <v>5</v>
      </c>
      <c r="Q903" s="2">
        <f>Ventas[[#This Row],[precio_base]]*Ventas[[#This Row],[cantidad]]</f>
        <v>1749.95</v>
      </c>
      <c r="R903" s="2">
        <f>Ventas[[#This Row],[Total bruto (antes de descuento)]]-Ventas[[#This Row],[total_venta]]</f>
        <v>175</v>
      </c>
    </row>
    <row r="904" spans="1:18" x14ac:dyDescent="0.25">
      <c r="A904" t="s">
        <v>997</v>
      </c>
      <c r="B904" s="1">
        <v>45270</v>
      </c>
      <c r="C904" t="s">
        <v>56</v>
      </c>
      <c r="D904" t="s">
        <v>18</v>
      </c>
      <c r="E904">
        <v>5</v>
      </c>
      <c r="F904" s="2">
        <v>89.99</v>
      </c>
      <c r="G904">
        <v>20</v>
      </c>
      <c r="H904" s="2">
        <v>71.989999999999995</v>
      </c>
      <c r="I904" s="2">
        <v>359.95</v>
      </c>
      <c r="J904" t="s">
        <v>19</v>
      </c>
      <c r="K904" t="s">
        <v>20</v>
      </c>
      <c r="L904" t="s">
        <v>152</v>
      </c>
      <c r="M904" t="s">
        <v>46</v>
      </c>
      <c r="N904" t="s">
        <v>47</v>
      </c>
      <c r="O904" t="s">
        <v>48</v>
      </c>
      <c r="P904">
        <v>4</v>
      </c>
      <c r="Q904" s="2">
        <f>Ventas[[#This Row],[precio_base]]*Ventas[[#This Row],[cantidad]]</f>
        <v>449.95</v>
      </c>
      <c r="R904" s="2">
        <f>Ventas[[#This Row],[Total bruto (antes de descuento)]]-Ventas[[#This Row],[total_venta]]</f>
        <v>90</v>
      </c>
    </row>
    <row r="905" spans="1:18" x14ac:dyDescent="0.25">
      <c r="A905" t="s">
        <v>998</v>
      </c>
      <c r="B905" s="1">
        <v>45106</v>
      </c>
      <c r="C905" t="s">
        <v>50</v>
      </c>
      <c r="D905" t="s">
        <v>27</v>
      </c>
      <c r="E905">
        <v>4</v>
      </c>
      <c r="F905" s="2">
        <v>149.99</v>
      </c>
      <c r="G905">
        <v>15</v>
      </c>
      <c r="H905" s="2">
        <v>127.49</v>
      </c>
      <c r="I905" s="2">
        <v>509.96</v>
      </c>
      <c r="J905" t="s">
        <v>19</v>
      </c>
      <c r="K905" t="s">
        <v>20</v>
      </c>
      <c r="L905" t="s">
        <v>21</v>
      </c>
      <c r="M905" t="s">
        <v>53</v>
      </c>
      <c r="N905" t="s">
        <v>54</v>
      </c>
      <c r="O905" t="s">
        <v>35</v>
      </c>
      <c r="P905">
        <v>4</v>
      </c>
      <c r="Q905" s="2">
        <f>Ventas[[#This Row],[precio_base]]*Ventas[[#This Row],[cantidad]]</f>
        <v>599.96</v>
      </c>
      <c r="R905" s="2">
        <f>Ventas[[#This Row],[Total bruto (antes de descuento)]]-Ventas[[#This Row],[total_venta]]</f>
        <v>90.000000000000057</v>
      </c>
    </row>
    <row r="906" spans="1:18" x14ac:dyDescent="0.25">
      <c r="A906" t="s">
        <v>999</v>
      </c>
      <c r="B906" s="1">
        <v>45223</v>
      </c>
      <c r="C906" t="s">
        <v>50</v>
      </c>
      <c r="D906" t="s">
        <v>27</v>
      </c>
      <c r="E906">
        <v>4</v>
      </c>
      <c r="F906" s="2">
        <v>149.99</v>
      </c>
      <c r="G906">
        <v>0</v>
      </c>
      <c r="H906" s="2">
        <v>149.99</v>
      </c>
      <c r="I906" s="2">
        <v>599.96</v>
      </c>
      <c r="J906" t="s">
        <v>62</v>
      </c>
      <c r="K906" t="s">
        <v>52</v>
      </c>
      <c r="L906" t="s">
        <v>21</v>
      </c>
      <c r="M906" t="s">
        <v>58</v>
      </c>
      <c r="N906" t="s">
        <v>59</v>
      </c>
      <c r="O906" t="s">
        <v>24</v>
      </c>
      <c r="Q906" s="2">
        <f>Ventas[[#This Row],[precio_base]]*Ventas[[#This Row],[cantidad]]</f>
        <v>599.96</v>
      </c>
      <c r="R906" s="2">
        <f>Ventas[[#This Row],[Total bruto (antes de descuento)]]-Ventas[[#This Row],[total_venta]]</f>
        <v>0</v>
      </c>
    </row>
    <row r="907" spans="1:18" x14ac:dyDescent="0.25">
      <c r="A907" t="s">
        <v>1000</v>
      </c>
      <c r="B907" s="1">
        <v>45499</v>
      </c>
      <c r="C907" t="s">
        <v>76</v>
      </c>
      <c r="D907" t="s">
        <v>31</v>
      </c>
      <c r="E907">
        <v>4</v>
      </c>
      <c r="F907" s="2">
        <v>69.989999999999995</v>
      </c>
      <c r="G907">
        <v>0</v>
      </c>
      <c r="H907" s="2">
        <v>69.989999999999995</v>
      </c>
      <c r="I907" s="2">
        <v>279.95999999999998</v>
      </c>
      <c r="J907" t="s">
        <v>19</v>
      </c>
      <c r="K907" t="s">
        <v>20</v>
      </c>
      <c r="L907" t="s">
        <v>21</v>
      </c>
      <c r="M907" t="s">
        <v>46</v>
      </c>
      <c r="N907" t="s">
        <v>47</v>
      </c>
      <c r="O907" t="s">
        <v>48</v>
      </c>
      <c r="P907">
        <v>4</v>
      </c>
      <c r="Q907" s="2">
        <f>Ventas[[#This Row],[precio_base]]*Ventas[[#This Row],[cantidad]]</f>
        <v>279.95999999999998</v>
      </c>
      <c r="R907" s="2">
        <f>Ventas[[#This Row],[Total bruto (antes de descuento)]]-Ventas[[#This Row],[total_venta]]</f>
        <v>0</v>
      </c>
    </row>
    <row r="908" spans="1:18" x14ac:dyDescent="0.25">
      <c r="A908" t="s">
        <v>1001</v>
      </c>
      <c r="B908" s="1">
        <v>45054</v>
      </c>
      <c r="C908" t="s">
        <v>72</v>
      </c>
      <c r="D908" t="s">
        <v>31</v>
      </c>
      <c r="E908">
        <v>3</v>
      </c>
      <c r="F908" s="2">
        <v>29.99</v>
      </c>
      <c r="G908">
        <v>5</v>
      </c>
      <c r="H908" s="2">
        <v>28.49</v>
      </c>
      <c r="I908" s="2">
        <v>85.47</v>
      </c>
      <c r="J908" t="s">
        <v>19</v>
      </c>
      <c r="K908" t="s">
        <v>44</v>
      </c>
      <c r="L908" t="s">
        <v>21</v>
      </c>
      <c r="M908" t="s">
        <v>53</v>
      </c>
      <c r="N908" t="s">
        <v>54</v>
      </c>
      <c r="O908" t="s">
        <v>35</v>
      </c>
      <c r="P908">
        <v>1</v>
      </c>
      <c r="Q908" s="2">
        <f>Ventas[[#This Row],[precio_base]]*Ventas[[#This Row],[cantidad]]</f>
        <v>89.97</v>
      </c>
      <c r="R908" s="2">
        <f>Ventas[[#This Row],[Total bruto (antes de descuento)]]-Ventas[[#This Row],[total_venta]]</f>
        <v>4.5</v>
      </c>
    </row>
    <row r="909" spans="1:18" x14ac:dyDescent="0.25">
      <c r="A909" t="s">
        <v>1002</v>
      </c>
      <c r="B909" s="1">
        <v>45210</v>
      </c>
      <c r="C909" t="s">
        <v>92</v>
      </c>
      <c r="D909" t="s">
        <v>27</v>
      </c>
      <c r="E909">
        <v>1</v>
      </c>
      <c r="F909" s="2">
        <v>79.989999999999995</v>
      </c>
      <c r="G909">
        <v>10</v>
      </c>
      <c r="H909" s="2">
        <v>71.989999999999995</v>
      </c>
      <c r="I909" s="2">
        <v>71.989999999999995</v>
      </c>
      <c r="J909" t="s">
        <v>51</v>
      </c>
      <c r="K909" t="s">
        <v>44</v>
      </c>
      <c r="L909" t="s">
        <v>45</v>
      </c>
      <c r="M909" t="s">
        <v>33</v>
      </c>
      <c r="N909" t="s">
        <v>34</v>
      </c>
      <c r="O909" t="s">
        <v>35</v>
      </c>
      <c r="Q909" s="2">
        <f>Ventas[[#This Row],[precio_base]]*Ventas[[#This Row],[cantidad]]</f>
        <v>79.989999999999995</v>
      </c>
      <c r="R909" s="2">
        <f>Ventas[[#This Row],[Total bruto (antes de descuento)]]-Ventas[[#This Row],[total_venta]]</f>
        <v>8</v>
      </c>
    </row>
    <row r="910" spans="1:18" x14ac:dyDescent="0.25">
      <c r="A910" t="s">
        <v>1003</v>
      </c>
      <c r="B910" s="1">
        <v>45191</v>
      </c>
      <c r="C910" t="s">
        <v>72</v>
      </c>
      <c r="D910" t="s">
        <v>31</v>
      </c>
      <c r="E910">
        <v>4</v>
      </c>
      <c r="F910" s="2">
        <v>29.99</v>
      </c>
      <c r="G910">
        <v>15</v>
      </c>
      <c r="H910" s="2">
        <v>25.49</v>
      </c>
      <c r="I910" s="2">
        <v>101.96</v>
      </c>
      <c r="J910" t="s">
        <v>62</v>
      </c>
      <c r="K910" t="s">
        <v>44</v>
      </c>
      <c r="L910" t="s">
        <v>45</v>
      </c>
      <c r="M910" t="s">
        <v>123</v>
      </c>
      <c r="N910" t="s">
        <v>124</v>
      </c>
      <c r="O910" t="s">
        <v>24</v>
      </c>
      <c r="Q910" s="2">
        <f>Ventas[[#This Row],[precio_base]]*Ventas[[#This Row],[cantidad]]</f>
        <v>119.96</v>
      </c>
      <c r="R910" s="2">
        <f>Ventas[[#This Row],[Total bruto (antes de descuento)]]-Ventas[[#This Row],[total_venta]]</f>
        <v>18</v>
      </c>
    </row>
    <row r="911" spans="1:18" x14ac:dyDescent="0.25">
      <c r="A911" t="s">
        <v>1004</v>
      </c>
      <c r="B911" s="1">
        <v>45192</v>
      </c>
      <c r="C911" t="s">
        <v>205</v>
      </c>
      <c r="D911" t="s">
        <v>18</v>
      </c>
      <c r="E911">
        <v>5</v>
      </c>
      <c r="F911" s="2">
        <v>129.99</v>
      </c>
      <c r="G911">
        <v>0</v>
      </c>
      <c r="H911" s="2">
        <v>129.99</v>
      </c>
      <c r="I911" s="2">
        <v>649.95000000000005</v>
      </c>
      <c r="J911" t="s">
        <v>19</v>
      </c>
      <c r="K911" t="s">
        <v>52</v>
      </c>
      <c r="L911" t="s">
        <v>21</v>
      </c>
      <c r="M911" t="s">
        <v>101</v>
      </c>
      <c r="N911" t="s">
        <v>102</v>
      </c>
      <c r="O911" t="s">
        <v>35</v>
      </c>
      <c r="P911">
        <v>2</v>
      </c>
      <c r="Q911" s="2">
        <f>Ventas[[#This Row],[precio_base]]*Ventas[[#This Row],[cantidad]]</f>
        <v>649.95000000000005</v>
      </c>
      <c r="R911" s="2">
        <f>Ventas[[#This Row],[Total bruto (antes de descuento)]]-Ventas[[#This Row],[total_venta]]</f>
        <v>0</v>
      </c>
    </row>
    <row r="912" spans="1:18" x14ac:dyDescent="0.25">
      <c r="A912" t="s">
        <v>1005</v>
      </c>
      <c r="B912" s="1">
        <v>44981</v>
      </c>
      <c r="C912" t="s">
        <v>61</v>
      </c>
      <c r="D912" t="s">
        <v>38</v>
      </c>
      <c r="E912">
        <v>3</v>
      </c>
      <c r="F912" s="2">
        <v>19.989999999999998</v>
      </c>
      <c r="G912">
        <v>5</v>
      </c>
      <c r="H912" s="2">
        <v>18.989999999999998</v>
      </c>
      <c r="I912" s="2">
        <v>56.97</v>
      </c>
      <c r="J912" t="s">
        <v>51</v>
      </c>
      <c r="K912" t="s">
        <v>20</v>
      </c>
      <c r="L912" t="s">
        <v>21</v>
      </c>
      <c r="M912" t="s">
        <v>123</v>
      </c>
      <c r="N912" t="s">
        <v>124</v>
      </c>
      <c r="O912" t="s">
        <v>24</v>
      </c>
      <c r="Q912" s="2">
        <f>Ventas[[#This Row],[precio_base]]*Ventas[[#This Row],[cantidad]]</f>
        <v>59.97</v>
      </c>
      <c r="R912" s="2">
        <f>Ventas[[#This Row],[Total bruto (antes de descuento)]]-Ventas[[#This Row],[total_venta]]</f>
        <v>3</v>
      </c>
    </row>
    <row r="913" spans="1:18" x14ac:dyDescent="0.25">
      <c r="A913" t="s">
        <v>1006</v>
      </c>
      <c r="B913" s="1">
        <v>45581</v>
      </c>
      <c r="C913" t="s">
        <v>122</v>
      </c>
      <c r="D913" t="s">
        <v>43</v>
      </c>
      <c r="E913">
        <v>1</v>
      </c>
      <c r="F913" s="2">
        <v>44.99</v>
      </c>
      <c r="G913">
        <v>10</v>
      </c>
      <c r="H913" s="2">
        <v>40.49</v>
      </c>
      <c r="I913" s="2">
        <v>40.49</v>
      </c>
      <c r="J913" t="s">
        <v>19</v>
      </c>
      <c r="K913" t="s">
        <v>20</v>
      </c>
      <c r="L913" t="s">
        <v>21</v>
      </c>
      <c r="M913" t="s">
        <v>73</v>
      </c>
      <c r="N913" t="s">
        <v>74</v>
      </c>
      <c r="O913" t="s">
        <v>35</v>
      </c>
      <c r="P913">
        <v>2</v>
      </c>
      <c r="Q913" s="2">
        <f>Ventas[[#This Row],[precio_base]]*Ventas[[#This Row],[cantidad]]</f>
        <v>44.99</v>
      </c>
      <c r="R913" s="2">
        <f>Ventas[[#This Row],[Total bruto (antes de descuento)]]-Ventas[[#This Row],[total_venta]]</f>
        <v>4.5</v>
      </c>
    </row>
    <row r="914" spans="1:18" x14ac:dyDescent="0.25">
      <c r="A914" t="s">
        <v>1007</v>
      </c>
      <c r="B914" s="1">
        <v>45483</v>
      </c>
      <c r="C914" t="s">
        <v>141</v>
      </c>
      <c r="D914" t="s">
        <v>38</v>
      </c>
      <c r="E914">
        <v>3</v>
      </c>
      <c r="F914" s="2">
        <v>89.99</v>
      </c>
      <c r="G914">
        <v>20</v>
      </c>
      <c r="H914" s="2">
        <v>71.989999999999995</v>
      </c>
      <c r="I914" s="2">
        <v>215.97</v>
      </c>
      <c r="J914" t="s">
        <v>62</v>
      </c>
      <c r="K914" t="s">
        <v>20</v>
      </c>
      <c r="L914" t="s">
        <v>28</v>
      </c>
      <c r="M914" t="s">
        <v>39</v>
      </c>
      <c r="N914" t="s">
        <v>40</v>
      </c>
      <c r="O914" t="s">
        <v>35</v>
      </c>
      <c r="Q914" s="2">
        <f>Ventas[[#This Row],[precio_base]]*Ventas[[#This Row],[cantidad]]</f>
        <v>269.96999999999997</v>
      </c>
      <c r="R914" s="2">
        <f>Ventas[[#This Row],[Total bruto (antes de descuento)]]-Ventas[[#This Row],[total_venta]]</f>
        <v>53.999999999999972</v>
      </c>
    </row>
    <row r="915" spans="1:18" x14ac:dyDescent="0.25">
      <c r="A915" t="s">
        <v>1008</v>
      </c>
      <c r="B915" s="1">
        <v>45631</v>
      </c>
      <c r="C915" t="s">
        <v>89</v>
      </c>
      <c r="D915" t="s">
        <v>38</v>
      </c>
      <c r="E915">
        <v>1</v>
      </c>
      <c r="F915" s="2">
        <v>69.989999999999995</v>
      </c>
      <c r="G915">
        <v>10</v>
      </c>
      <c r="H915" s="2">
        <v>62.99</v>
      </c>
      <c r="I915" s="2">
        <v>62.99</v>
      </c>
      <c r="J915" t="s">
        <v>19</v>
      </c>
      <c r="K915" t="s">
        <v>20</v>
      </c>
      <c r="L915" t="s">
        <v>21</v>
      </c>
      <c r="M915" t="s">
        <v>67</v>
      </c>
      <c r="N915" t="s">
        <v>68</v>
      </c>
      <c r="O915" t="s">
        <v>35</v>
      </c>
      <c r="P915">
        <v>3</v>
      </c>
      <c r="Q915" s="2">
        <f>Ventas[[#This Row],[precio_base]]*Ventas[[#This Row],[cantidad]]</f>
        <v>69.989999999999995</v>
      </c>
      <c r="R915" s="2">
        <f>Ventas[[#This Row],[Total bruto (antes de descuento)]]-Ventas[[#This Row],[total_venta]]</f>
        <v>6.9999999999999929</v>
      </c>
    </row>
    <row r="916" spans="1:18" x14ac:dyDescent="0.25">
      <c r="A916" t="s">
        <v>1009</v>
      </c>
      <c r="B916" s="1">
        <v>45308</v>
      </c>
      <c r="C916" t="s">
        <v>98</v>
      </c>
      <c r="D916" t="s">
        <v>31</v>
      </c>
      <c r="E916">
        <v>4</v>
      </c>
      <c r="F916" s="2">
        <v>99.99</v>
      </c>
      <c r="G916">
        <v>5</v>
      </c>
      <c r="H916" s="2">
        <v>94.99</v>
      </c>
      <c r="I916" s="2">
        <v>379.96</v>
      </c>
      <c r="J916" t="s">
        <v>19</v>
      </c>
      <c r="K916" t="s">
        <v>20</v>
      </c>
      <c r="L916" t="s">
        <v>21</v>
      </c>
      <c r="M916" t="s">
        <v>53</v>
      </c>
      <c r="N916" t="s">
        <v>54</v>
      </c>
      <c r="O916" t="s">
        <v>35</v>
      </c>
      <c r="P916">
        <v>5</v>
      </c>
      <c r="Q916" s="2">
        <f>Ventas[[#This Row],[precio_base]]*Ventas[[#This Row],[cantidad]]</f>
        <v>399.96</v>
      </c>
      <c r="R916" s="2">
        <f>Ventas[[#This Row],[Total bruto (antes de descuento)]]-Ventas[[#This Row],[total_venta]]</f>
        <v>20</v>
      </c>
    </row>
    <row r="917" spans="1:18" x14ac:dyDescent="0.25">
      <c r="A917" t="s">
        <v>1010</v>
      </c>
      <c r="B917" s="1">
        <v>45153</v>
      </c>
      <c r="C917" t="s">
        <v>143</v>
      </c>
      <c r="D917" t="s">
        <v>43</v>
      </c>
      <c r="E917">
        <v>2</v>
      </c>
      <c r="F917" s="2">
        <v>34.99</v>
      </c>
      <c r="G917">
        <v>20</v>
      </c>
      <c r="H917" s="2">
        <v>27.99</v>
      </c>
      <c r="I917" s="2">
        <v>55.98</v>
      </c>
      <c r="J917" t="s">
        <v>62</v>
      </c>
      <c r="K917" t="s">
        <v>44</v>
      </c>
      <c r="L917" t="s">
        <v>152</v>
      </c>
      <c r="M917" t="s">
        <v>33</v>
      </c>
      <c r="N917" t="s">
        <v>34</v>
      </c>
      <c r="O917" t="s">
        <v>35</v>
      </c>
      <c r="Q917" s="2">
        <f>Ventas[[#This Row],[precio_base]]*Ventas[[#This Row],[cantidad]]</f>
        <v>69.98</v>
      </c>
      <c r="R917" s="2">
        <f>Ventas[[#This Row],[Total bruto (antes de descuento)]]-Ventas[[#This Row],[total_venta]]</f>
        <v>14.000000000000007</v>
      </c>
    </row>
    <row r="918" spans="1:18" x14ac:dyDescent="0.25">
      <c r="A918" t="s">
        <v>1011</v>
      </c>
      <c r="B918" s="1">
        <v>45471</v>
      </c>
      <c r="C918" t="s">
        <v>30</v>
      </c>
      <c r="D918" t="s">
        <v>31</v>
      </c>
      <c r="E918">
        <v>5</v>
      </c>
      <c r="F918" s="2">
        <v>299.99</v>
      </c>
      <c r="G918">
        <v>15</v>
      </c>
      <c r="H918" s="2">
        <v>254.99</v>
      </c>
      <c r="I918" s="2">
        <v>1274.95</v>
      </c>
      <c r="J918" t="s">
        <v>51</v>
      </c>
      <c r="K918" t="s">
        <v>20</v>
      </c>
      <c r="L918" t="s">
        <v>152</v>
      </c>
      <c r="M918" t="s">
        <v>95</v>
      </c>
      <c r="N918" t="s">
        <v>96</v>
      </c>
      <c r="O918" t="s">
        <v>48</v>
      </c>
      <c r="Q918" s="2">
        <f>Ventas[[#This Row],[precio_base]]*Ventas[[#This Row],[cantidad]]</f>
        <v>1499.95</v>
      </c>
      <c r="R918" s="2">
        <f>Ventas[[#This Row],[Total bruto (antes de descuento)]]-Ventas[[#This Row],[total_venta]]</f>
        <v>225</v>
      </c>
    </row>
    <row r="919" spans="1:18" x14ac:dyDescent="0.25">
      <c r="A919" t="s">
        <v>1012</v>
      </c>
      <c r="B919" s="1">
        <v>45046</v>
      </c>
      <c r="C919" t="s">
        <v>143</v>
      </c>
      <c r="D919" t="s">
        <v>43</v>
      </c>
      <c r="E919">
        <v>2</v>
      </c>
      <c r="F919" s="2">
        <v>34.99</v>
      </c>
      <c r="G919">
        <v>0</v>
      </c>
      <c r="H919" s="2">
        <v>34.99</v>
      </c>
      <c r="I919" s="2">
        <v>69.98</v>
      </c>
      <c r="J919" t="s">
        <v>19</v>
      </c>
      <c r="K919" t="s">
        <v>44</v>
      </c>
      <c r="L919" t="s">
        <v>21</v>
      </c>
      <c r="M919" t="s">
        <v>58</v>
      </c>
      <c r="N919" t="s">
        <v>59</v>
      </c>
      <c r="O919" t="s">
        <v>24</v>
      </c>
      <c r="P919">
        <v>4</v>
      </c>
      <c r="Q919" s="2">
        <f>Ventas[[#This Row],[precio_base]]*Ventas[[#This Row],[cantidad]]</f>
        <v>69.98</v>
      </c>
      <c r="R919" s="2">
        <f>Ventas[[#This Row],[Total bruto (antes de descuento)]]-Ventas[[#This Row],[total_venta]]</f>
        <v>0</v>
      </c>
    </row>
    <row r="920" spans="1:18" x14ac:dyDescent="0.25">
      <c r="A920" t="s">
        <v>1013</v>
      </c>
      <c r="B920" s="1">
        <v>45538</v>
      </c>
      <c r="C920" t="s">
        <v>87</v>
      </c>
      <c r="D920" t="s">
        <v>27</v>
      </c>
      <c r="E920">
        <v>3</v>
      </c>
      <c r="F920" s="2">
        <v>249.99</v>
      </c>
      <c r="G920">
        <v>0</v>
      </c>
      <c r="H920" s="2">
        <v>249.99</v>
      </c>
      <c r="I920" s="2">
        <v>749.97</v>
      </c>
      <c r="J920" t="s">
        <v>51</v>
      </c>
      <c r="K920" t="s">
        <v>44</v>
      </c>
      <c r="L920" t="s">
        <v>21</v>
      </c>
      <c r="M920" t="s">
        <v>46</v>
      </c>
      <c r="N920" t="s">
        <v>47</v>
      </c>
      <c r="O920" t="s">
        <v>48</v>
      </c>
      <c r="Q920" s="2">
        <f>Ventas[[#This Row],[precio_base]]*Ventas[[#This Row],[cantidad]]</f>
        <v>749.97</v>
      </c>
      <c r="R920" s="2">
        <f>Ventas[[#This Row],[Total bruto (antes de descuento)]]-Ventas[[#This Row],[total_venta]]</f>
        <v>0</v>
      </c>
    </row>
    <row r="921" spans="1:18" x14ac:dyDescent="0.25">
      <c r="A921" t="s">
        <v>1014</v>
      </c>
      <c r="B921" s="1">
        <v>45058</v>
      </c>
      <c r="C921" t="s">
        <v>42</v>
      </c>
      <c r="D921" t="s">
        <v>43</v>
      </c>
      <c r="E921">
        <v>2</v>
      </c>
      <c r="F921" s="2">
        <v>349.99</v>
      </c>
      <c r="G921">
        <v>15</v>
      </c>
      <c r="H921" s="2">
        <v>297.49</v>
      </c>
      <c r="I921" s="2">
        <v>594.98</v>
      </c>
      <c r="J921" t="s">
        <v>19</v>
      </c>
      <c r="K921" t="s">
        <v>20</v>
      </c>
      <c r="L921" t="s">
        <v>152</v>
      </c>
      <c r="M921" t="s">
        <v>63</v>
      </c>
      <c r="N921" t="s">
        <v>34</v>
      </c>
      <c r="O921" t="s">
        <v>24</v>
      </c>
      <c r="P921">
        <v>4</v>
      </c>
      <c r="Q921" s="2">
        <f>Ventas[[#This Row],[precio_base]]*Ventas[[#This Row],[cantidad]]</f>
        <v>699.98</v>
      </c>
      <c r="R921" s="2">
        <f>Ventas[[#This Row],[Total bruto (antes de descuento)]]-Ventas[[#This Row],[total_venta]]</f>
        <v>105</v>
      </c>
    </row>
    <row r="922" spans="1:18" x14ac:dyDescent="0.25">
      <c r="A922" t="s">
        <v>1015</v>
      </c>
      <c r="B922" s="1">
        <v>45634</v>
      </c>
      <c r="C922" t="s">
        <v>98</v>
      </c>
      <c r="D922" t="s">
        <v>31</v>
      </c>
      <c r="E922">
        <v>1</v>
      </c>
      <c r="F922" s="2">
        <v>99.99</v>
      </c>
      <c r="G922">
        <v>0</v>
      </c>
      <c r="H922" s="2">
        <v>99.99</v>
      </c>
      <c r="I922" s="2">
        <v>99.99</v>
      </c>
      <c r="J922" t="s">
        <v>19</v>
      </c>
      <c r="K922" t="s">
        <v>52</v>
      </c>
      <c r="L922" t="s">
        <v>21</v>
      </c>
      <c r="M922" t="s">
        <v>101</v>
      </c>
      <c r="N922" t="s">
        <v>102</v>
      </c>
      <c r="O922" t="s">
        <v>35</v>
      </c>
      <c r="P922">
        <v>1</v>
      </c>
      <c r="Q922" s="2">
        <f>Ventas[[#This Row],[precio_base]]*Ventas[[#This Row],[cantidad]]</f>
        <v>99.99</v>
      </c>
      <c r="R922" s="2">
        <f>Ventas[[#This Row],[Total bruto (antes de descuento)]]-Ventas[[#This Row],[total_venta]]</f>
        <v>0</v>
      </c>
    </row>
    <row r="923" spans="1:18" x14ac:dyDescent="0.25">
      <c r="A923" t="s">
        <v>1016</v>
      </c>
      <c r="B923" s="1">
        <v>44960</v>
      </c>
      <c r="C923" t="s">
        <v>70</v>
      </c>
      <c r="D923" t="s">
        <v>31</v>
      </c>
      <c r="E923">
        <v>5</v>
      </c>
      <c r="F923" s="2">
        <v>59.99</v>
      </c>
      <c r="G923">
        <v>10</v>
      </c>
      <c r="H923" s="2">
        <v>53.99</v>
      </c>
      <c r="I923" s="2">
        <v>269.95</v>
      </c>
      <c r="J923" t="s">
        <v>19</v>
      </c>
      <c r="K923" t="s">
        <v>52</v>
      </c>
      <c r="L923" t="s">
        <v>21</v>
      </c>
      <c r="M923" t="s">
        <v>95</v>
      </c>
      <c r="N923" t="s">
        <v>96</v>
      </c>
      <c r="O923" t="s">
        <v>48</v>
      </c>
      <c r="P923">
        <v>3</v>
      </c>
      <c r="Q923" s="2">
        <f>Ventas[[#This Row],[precio_base]]*Ventas[[#This Row],[cantidad]]</f>
        <v>299.95</v>
      </c>
      <c r="R923" s="2">
        <f>Ventas[[#This Row],[Total bruto (antes de descuento)]]-Ventas[[#This Row],[total_venta]]</f>
        <v>30</v>
      </c>
    </row>
    <row r="924" spans="1:18" x14ac:dyDescent="0.25">
      <c r="A924" t="s">
        <v>1017</v>
      </c>
      <c r="B924" s="1">
        <v>45610</v>
      </c>
      <c r="C924" t="s">
        <v>104</v>
      </c>
      <c r="D924" t="s">
        <v>18</v>
      </c>
      <c r="E924">
        <v>1</v>
      </c>
      <c r="F924" s="2">
        <v>1199.99</v>
      </c>
      <c r="G924">
        <v>20</v>
      </c>
      <c r="H924" s="2">
        <v>959.99</v>
      </c>
      <c r="I924" s="2">
        <v>959.99</v>
      </c>
      <c r="J924" t="s">
        <v>19</v>
      </c>
      <c r="K924" t="s">
        <v>20</v>
      </c>
      <c r="L924" t="s">
        <v>152</v>
      </c>
      <c r="M924" t="s">
        <v>33</v>
      </c>
      <c r="N924" t="s">
        <v>34</v>
      </c>
      <c r="O924" t="s">
        <v>35</v>
      </c>
      <c r="P924">
        <v>2</v>
      </c>
      <c r="Q924" s="2">
        <f>Ventas[[#This Row],[precio_base]]*Ventas[[#This Row],[cantidad]]</f>
        <v>1199.99</v>
      </c>
      <c r="R924" s="2">
        <f>Ventas[[#This Row],[Total bruto (antes de descuento)]]-Ventas[[#This Row],[total_venta]]</f>
        <v>240</v>
      </c>
    </row>
    <row r="925" spans="1:18" x14ac:dyDescent="0.25">
      <c r="A925" t="s">
        <v>1018</v>
      </c>
      <c r="B925" s="1">
        <v>45613</v>
      </c>
      <c r="C925" t="s">
        <v>89</v>
      </c>
      <c r="D925" t="s">
        <v>38</v>
      </c>
      <c r="E925">
        <v>1</v>
      </c>
      <c r="F925" s="2">
        <v>69.989999999999995</v>
      </c>
      <c r="G925">
        <v>0</v>
      </c>
      <c r="H925" s="2">
        <v>69.989999999999995</v>
      </c>
      <c r="I925" s="2">
        <v>69.989999999999995</v>
      </c>
      <c r="J925" t="s">
        <v>19</v>
      </c>
      <c r="K925" t="s">
        <v>52</v>
      </c>
      <c r="L925" t="s">
        <v>152</v>
      </c>
      <c r="M925" t="s">
        <v>84</v>
      </c>
      <c r="N925" t="s">
        <v>85</v>
      </c>
      <c r="O925" t="s">
        <v>35</v>
      </c>
      <c r="P925">
        <v>3</v>
      </c>
      <c r="Q925" s="2">
        <f>Ventas[[#This Row],[precio_base]]*Ventas[[#This Row],[cantidad]]</f>
        <v>69.989999999999995</v>
      </c>
      <c r="R925" s="2">
        <f>Ventas[[#This Row],[Total bruto (antes de descuento)]]-Ventas[[#This Row],[total_venta]]</f>
        <v>0</v>
      </c>
    </row>
    <row r="926" spans="1:18" x14ac:dyDescent="0.25">
      <c r="A926" t="s">
        <v>1019</v>
      </c>
      <c r="B926" s="1">
        <v>45287</v>
      </c>
      <c r="C926" t="s">
        <v>205</v>
      </c>
      <c r="D926" t="s">
        <v>18</v>
      </c>
      <c r="E926">
        <v>5</v>
      </c>
      <c r="F926" s="2">
        <v>129.99</v>
      </c>
      <c r="G926">
        <v>20</v>
      </c>
      <c r="H926" s="2">
        <v>103.99</v>
      </c>
      <c r="I926" s="2">
        <v>519.95000000000005</v>
      </c>
      <c r="J926" t="s">
        <v>51</v>
      </c>
      <c r="K926" t="s">
        <v>44</v>
      </c>
      <c r="L926" t="s">
        <v>21</v>
      </c>
      <c r="M926" t="s">
        <v>22</v>
      </c>
      <c r="N926" t="s">
        <v>23</v>
      </c>
      <c r="O926" t="s">
        <v>24</v>
      </c>
      <c r="Q926" s="2">
        <f>Ventas[[#This Row],[precio_base]]*Ventas[[#This Row],[cantidad]]</f>
        <v>649.95000000000005</v>
      </c>
      <c r="R926" s="2">
        <f>Ventas[[#This Row],[Total bruto (antes de descuento)]]-Ventas[[#This Row],[total_venta]]</f>
        <v>130</v>
      </c>
    </row>
    <row r="927" spans="1:18" x14ac:dyDescent="0.25">
      <c r="A927" t="s">
        <v>1020</v>
      </c>
      <c r="B927" s="1">
        <v>45519</v>
      </c>
      <c r="C927" t="s">
        <v>98</v>
      </c>
      <c r="D927" t="s">
        <v>31</v>
      </c>
      <c r="E927">
        <v>1</v>
      </c>
      <c r="F927" s="2">
        <v>99.99</v>
      </c>
      <c r="G927">
        <v>10</v>
      </c>
      <c r="H927" s="2">
        <v>89.99</v>
      </c>
      <c r="I927" s="2">
        <v>89.99</v>
      </c>
      <c r="J927" t="s">
        <v>19</v>
      </c>
      <c r="K927" t="s">
        <v>57</v>
      </c>
      <c r="L927" t="s">
        <v>21</v>
      </c>
      <c r="M927" t="s">
        <v>22</v>
      </c>
      <c r="N927" t="s">
        <v>23</v>
      </c>
      <c r="O927" t="s">
        <v>24</v>
      </c>
      <c r="P927">
        <v>5</v>
      </c>
      <c r="Q927" s="2">
        <f>Ventas[[#This Row],[precio_base]]*Ventas[[#This Row],[cantidad]]</f>
        <v>99.99</v>
      </c>
      <c r="R927" s="2">
        <f>Ventas[[#This Row],[Total bruto (antes de descuento)]]-Ventas[[#This Row],[total_venta]]</f>
        <v>10</v>
      </c>
    </row>
    <row r="928" spans="1:18" x14ac:dyDescent="0.25">
      <c r="A928" t="s">
        <v>1021</v>
      </c>
      <c r="B928" s="1">
        <v>44931</v>
      </c>
      <c r="C928" t="s">
        <v>76</v>
      </c>
      <c r="D928" t="s">
        <v>31</v>
      </c>
      <c r="E928">
        <v>1</v>
      </c>
      <c r="F928" s="2">
        <v>69.989999999999995</v>
      </c>
      <c r="G928">
        <v>0</v>
      </c>
      <c r="H928" s="2">
        <v>69.989999999999995</v>
      </c>
      <c r="I928" s="2">
        <v>69.989999999999995</v>
      </c>
      <c r="J928" t="s">
        <v>90</v>
      </c>
      <c r="K928" t="s">
        <v>44</v>
      </c>
      <c r="L928" t="s">
        <v>45</v>
      </c>
      <c r="M928" t="s">
        <v>67</v>
      </c>
      <c r="N928" t="s">
        <v>68</v>
      </c>
      <c r="O928" t="s">
        <v>35</v>
      </c>
      <c r="Q928" s="2">
        <f>Ventas[[#This Row],[precio_base]]*Ventas[[#This Row],[cantidad]]</f>
        <v>69.989999999999995</v>
      </c>
      <c r="R928" s="2">
        <f>Ventas[[#This Row],[Total bruto (antes de descuento)]]-Ventas[[#This Row],[total_venta]]</f>
        <v>0</v>
      </c>
    </row>
    <row r="929" spans="1:18" x14ac:dyDescent="0.25">
      <c r="A929" t="s">
        <v>1022</v>
      </c>
      <c r="B929" s="1">
        <v>45530</v>
      </c>
      <c r="C929" t="s">
        <v>205</v>
      </c>
      <c r="D929" t="s">
        <v>18</v>
      </c>
      <c r="E929">
        <v>4</v>
      </c>
      <c r="F929" s="2">
        <v>129.99</v>
      </c>
      <c r="G929">
        <v>15</v>
      </c>
      <c r="H929" s="2">
        <v>110.49</v>
      </c>
      <c r="I929" s="2">
        <v>441.96</v>
      </c>
      <c r="J929" t="s">
        <v>90</v>
      </c>
      <c r="K929" t="s">
        <v>52</v>
      </c>
      <c r="L929" t="s">
        <v>152</v>
      </c>
      <c r="M929" t="s">
        <v>63</v>
      </c>
      <c r="N929" t="s">
        <v>34</v>
      </c>
      <c r="O929" t="s">
        <v>24</v>
      </c>
      <c r="Q929" s="2">
        <f>Ventas[[#This Row],[precio_base]]*Ventas[[#This Row],[cantidad]]</f>
        <v>519.96</v>
      </c>
      <c r="R929" s="2">
        <f>Ventas[[#This Row],[Total bruto (antes de descuento)]]-Ventas[[#This Row],[total_venta]]</f>
        <v>78.000000000000057</v>
      </c>
    </row>
    <row r="930" spans="1:18" x14ac:dyDescent="0.25">
      <c r="A930" t="s">
        <v>1023</v>
      </c>
      <c r="B930" s="1">
        <v>45361</v>
      </c>
      <c r="C930" t="s">
        <v>115</v>
      </c>
      <c r="D930" t="s">
        <v>18</v>
      </c>
      <c r="E930">
        <v>5</v>
      </c>
      <c r="F930" s="2">
        <v>799.99</v>
      </c>
      <c r="G930">
        <v>0</v>
      </c>
      <c r="H930" s="2">
        <v>799.99</v>
      </c>
      <c r="I930" s="2">
        <v>3999.95</v>
      </c>
      <c r="J930" t="s">
        <v>19</v>
      </c>
      <c r="K930" t="s">
        <v>57</v>
      </c>
      <c r="L930" t="s">
        <v>21</v>
      </c>
      <c r="M930" t="s">
        <v>39</v>
      </c>
      <c r="N930" t="s">
        <v>40</v>
      </c>
      <c r="O930" t="s">
        <v>35</v>
      </c>
      <c r="P930">
        <v>1</v>
      </c>
      <c r="Q930" s="2">
        <f>Ventas[[#This Row],[precio_base]]*Ventas[[#This Row],[cantidad]]</f>
        <v>3999.95</v>
      </c>
      <c r="R930" s="2">
        <f>Ventas[[#This Row],[Total bruto (antes de descuento)]]-Ventas[[#This Row],[total_venta]]</f>
        <v>0</v>
      </c>
    </row>
    <row r="931" spans="1:18" x14ac:dyDescent="0.25">
      <c r="A931" t="s">
        <v>1024</v>
      </c>
      <c r="B931" s="1">
        <v>45459</v>
      </c>
      <c r="C931" t="s">
        <v>78</v>
      </c>
      <c r="D931" t="s">
        <v>18</v>
      </c>
      <c r="E931">
        <v>4</v>
      </c>
      <c r="F931" s="2">
        <v>349.99</v>
      </c>
      <c r="G931">
        <v>20</v>
      </c>
      <c r="H931" s="2">
        <v>279.99</v>
      </c>
      <c r="I931" s="2">
        <v>1119.96</v>
      </c>
      <c r="J931" t="s">
        <v>19</v>
      </c>
      <c r="K931" t="s">
        <v>44</v>
      </c>
      <c r="L931" t="s">
        <v>21</v>
      </c>
      <c r="M931" t="s">
        <v>58</v>
      </c>
      <c r="N931" t="s">
        <v>59</v>
      </c>
      <c r="O931" t="s">
        <v>24</v>
      </c>
      <c r="P931">
        <v>3</v>
      </c>
      <c r="Q931" s="2">
        <f>Ventas[[#This Row],[precio_base]]*Ventas[[#This Row],[cantidad]]</f>
        <v>1399.96</v>
      </c>
      <c r="R931" s="2">
        <f>Ventas[[#This Row],[Total bruto (antes de descuento)]]-Ventas[[#This Row],[total_venta]]</f>
        <v>280</v>
      </c>
    </row>
    <row r="932" spans="1:18" x14ac:dyDescent="0.25">
      <c r="A932" t="s">
        <v>1025</v>
      </c>
      <c r="B932" s="1">
        <v>45432</v>
      </c>
      <c r="C932" t="s">
        <v>17</v>
      </c>
      <c r="D932" t="s">
        <v>18</v>
      </c>
      <c r="E932">
        <v>4</v>
      </c>
      <c r="F932" s="2">
        <v>45.99</v>
      </c>
      <c r="G932">
        <v>0</v>
      </c>
      <c r="H932" s="2">
        <v>45.99</v>
      </c>
      <c r="I932" s="2">
        <v>183.96</v>
      </c>
      <c r="J932" t="s">
        <v>19</v>
      </c>
      <c r="K932" t="s">
        <v>20</v>
      </c>
      <c r="L932" t="s">
        <v>152</v>
      </c>
      <c r="M932" t="s">
        <v>84</v>
      </c>
      <c r="N932" t="s">
        <v>85</v>
      </c>
      <c r="O932" t="s">
        <v>35</v>
      </c>
      <c r="P932">
        <v>4</v>
      </c>
      <c r="Q932" s="2">
        <f>Ventas[[#This Row],[precio_base]]*Ventas[[#This Row],[cantidad]]</f>
        <v>183.96</v>
      </c>
      <c r="R932" s="2">
        <f>Ventas[[#This Row],[Total bruto (antes de descuento)]]-Ventas[[#This Row],[total_venta]]</f>
        <v>0</v>
      </c>
    </row>
    <row r="933" spans="1:18" x14ac:dyDescent="0.25">
      <c r="A933" t="s">
        <v>1026</v>
      </c>
      <c r="B933" s="1">
        <v>45158</v>
      </c>
      <c r="C933" t="s">
        <v>50</v>
      </c>
      <c r="D933" t="s">
        <v>27</v>
      </c>
      <c r="E933">
        <v>4</v>
      </c>
      <c r="F933" s="2">
        <v>149.99</v>
      </c>
      <c r="G933">
        <v>0</v>
      </c>
      <c r="H933" s="2">
        <v>149.99</v>
      </c>
      <c r="I933" s="2">
        <v>599.96</v>
      </c>
      <c r="J933" t="s">
        <v>116</v>
      </c>
      <c r="K933" t="s">
        <v>20</v>
      </c>
      <c r="L933" t="s">
        <v>21</v>
      </c>
      <c r="M933" t="s">
        <v>120</v>
      </c>
      <c r="N933" t="s">
        <v>23</v>
      </c>
      <c r="O933" t="s">
        <v>24</v>
      </c>
      <c r="Q933" s="2">
        <f>Ventas[[#This Row],[precio_base]]*Ventas[[#This Row],[cantidad]]</f>
        <v>599.96</v>
      </c>
      <c r="R933" s="2">
        <f>Ventas[[#This Row],[Total bruto (antes de descuento)]]-Ventas[[#This Row],[total_venta]]</f>
        <v>0</v>
      </c>
    </row>
    <row r="934" spans="1:18" x14ac:dyDescent="0.25">
      <c r="A934" t="s">
        <v>1027</v>
      </c>
      <c r="B934" s="1">
        <v>45414</v>
      </c>
      <c r="C934" t="s">
        <v>81</v>
      </c>
      <c r="D934" t="s">
        <v>31</v>
      </c>
      <c r="E934">
        <v>3</v>
      </c>
      <c r="F934" s="2">
        <v>189.99</v>
      </c>
      <c r="G934">
        <v>0</v>
      </c>
      <c r="H934" s="2">
        <v>189.99</v>
      </c>
      <c r="I934" s="2">
        <v>569.97</v>
      </c>
      <c r="J934" t="s">
        <v>19</v>
      </c>
      <c r="K934" t="s">
        <v>44</v>
      </c>
      <c r="L934" t="s">
        <v>21</v>
      </c>
      <c r="M934" t="s">
        <v>73</v>
      </c>
      <c r="N934" t="s">
        <v>74</v>
      </c>
      <c r="O934" t="s">
        <v>35</v>
      </c>
      <c r="P934">
        <v>4</v>
      </c>
      <c r="Q934" s="2">
        <f>Ventas[[#This Row],[precio_base]]*Ventas[[#This Row],[cantidad]]</f>
        <v>569.97</v>
      </c>
      <c r="R934" s="2">
        <f>Ventas[[#This Row],[Total bruto (antes de descuento)]]-Ventas[[#This Row],[total_venta]]</f>
        <v>0</v>
      </c>
    </row>
    <row r="935" spans="1:18" x14ac:dyDescent="0.25">
      <c r="A935" t="s">
        <v>1028</v>
      </c>
      <c r="B935" s="1">
        <v>45462</v>
      </c>
      <c r="C935" t="s">
        <v>81</v>
      </c>
      <c r="D935" t="s">
        <v>31</v>
      </c>
      <c r="E935">
        <v>1</v>
      </c>
      <c r="F935" s="2">
        <v>189.99</v>
      </c>
      <c r="G935">
        <v>0</v>
      </c>
      <c r="H935" s="2">
        <v>189.99</v>
      </c>
      <c r="I935" s="2">
        <v>189.99</v>
      </c>
      <c r="J935" t="s">
        <v>19</v>
      </c>
      <c r="K935" t="s">
        <v>44</v>
      </c>
      <c r="L935" t="s">
        <v>152</v>
      </c>
      <c r="M935" t="s">
        <v>120</v>
      </c>
      <c r="N935" t="s">
        <v>23</v>
      </c>
      <c r="O935" t="s">
        <v>24</v>
      </c>
      <c r="P935">
        <v>2</v>
      </c>
      <c r="Q935" s="2">
        <f>Ventas[[#This Row],[precio_base]]*Ventas[[#This Row],[cantidad]]</f>
        <v>189.99</v>
      </c>
      <c r="R935" s="2">
        <f>Ventas[[#This Row],[Total bruto (antes de descuento)]]-Ventas[[#This Row],[total_venta]]</f>
        <v>0</v>
      </c>
    </row>
    <row r="936" spans="1:18" x14ac:dyDescent="0.25">
      <c r="A936" t="s">
        <v>1029</v>
      </c>
      <c r="B936" s="1">
        <v>44993</v>
      </c>
      <c r="C936" t="s">
        <v>89</v>
      </c>
      <c r="D936" t="s">
        <v>38</v>
      </c>
      <c r="E936">
        <v>2</v>
      </c>
      <c r="F936" s="2">
        <v>69.989999999999995</v>
      </c>
      <c r="G936">
        <v>0</v>
      </c>
      <c r="H936" s="2">
        <v>69.989999999999995</v>
      </c>
      <c r="I936" s="2">
        <v>139.97999999999999</v>
      </c>
      <c r="J936" t="s">
        <v>19</v>
      </c>
      <c r="K936" t="s">
        <v>57</v>
      </c>
      <c r="L936" t="s">
        <v>21</v>
      </c>
      <c r="M936" t="s">
        <v>67</v>
      </c>
      <c r="N936" t="s">
        <v>68</v>
      </c>
      <c r="O936" t="s">
        <v>35</v>
      </c>
      <c r="P936">
        <v>4</v>
      </c>
      <c r="Q936" s="2">
        <f>Ventas[[#This Row],[precio_base]]*Ventas[[#This Row],[cantidad]]</f>
        <v>139.97999999999999</v>
      </c>
      <c r="R936" s="2">
        <f>Ventas[[#This Row],[Total bruto (antes de descuento)]]-Ventas[[#This Row],[total_venta]]</f>
        <v>0</v>
      </c>
    </row>
    <row r="937" spans="1:18" x14ac:dyDescent="0.25">
      <c r="A937" t="s">
        <v>1030</v>
      </c>
      <c r="B937" s="1">
        <v>45438</v>
      </c>
      <c r="C937" t="s">
        <v>61</v>
      </c>
      <c r="D937" t="s">
        <v>38</v>
      </c>
      <c r="E937">
        <v>5</v>
      </c>
      <c r="F937" s="2">
        <v>19.989999999999998</v>
      </c>
      <c r="G937">
        <v>10</v>
      </c>
      <c r="H937" s="2">
        <v>17.989999999999998</v>
      </c>
      <c r="I937" s="2">
        <v>89.95</v>
      </c>
      <c r="J937" t="s">
        <v>19</v>
      </c>
      <c r="K937" t="s">
        <v>52</v>
      </c>
      <c r="L937" t="s">
        <v>152</v>
      </c>
      <c r="M937" t="s">
        <v>39</v>
      </c>
      <c r="N937" t="s">
        <v>40</v>
      </c>
      <c r="O937" t="s">
        <v>35</v>
      </c>
      <c r="P937">
        <v>3</v>
      </c>
      <c r="Q937" s="2">
        <f>Ventas[[#This Row],[precio_base]]*Ventas[[#This Row],[cantidad]]</f>
        <v>99.949999999999989</v>
      </c>
      <c r="R937" s="2">
        <f>Ventas[[#This Row],[Total bruto (antes de descuento)]]-Ventas[[#This Row],[total_venta]]</f>
        <v>9.9999999999999858</v>
      </c>
    </row>
    <row r="938" spans="1:18" x14ac:dyDescent="0.25">
      <c r="A938" t="s">
        <v>1031</v>
      </c>
      <c r="B938" s="1">
        <v>45414</v>
      </c>
      <c r="C938" t="s">
        <v>81</v>
      </c>
      <c r="D938" t="s">
        <v>31</v>
      </c>
      <c r="E938">
        <v>5</v>
      </c>
      <c r="F938" s="2">
        <v>189.99</v>
      </c>
      <c r="G938">
        <v>5</v>
      </c>
      <c r="H938" s="2">
        <v>180.49</v>
      </c>
      <c r="I938" s="2">
        <v>902.45</v>
      </c>
      <c r="J938" t="s">
        <v>116</v>
      </c>
      <c r="K938" t="s">
        <v>20</v>
      </c>
      <c r="L938" t="s">
        <v>28</v>
      </c>
      <c r="M938" t="s">
        <v>65</v>
      </c>
      <c r="N938" t="s">
        <v>54</v>
      </c>
      <c r="O938" t="s">
        <v>35</v>
      </c>
      <c r="Q938" s="2">
        <f>Ventas[[#This Row],[precio_base]]*Ventas[[#This Row],[cantidad]]</f>
        <v>949.95</v>
      </c>
      <c r="R938" s="2">
        <f>Ventas[[#This Row],[Total bruto (antes de descuento)]]-Ventas[[#This Row],[total_venta]]</f>
        <v>47.5</v>
      </c>
    </row>
    <row r="939" spans="1:18" x14ac:dyDescent="0.25">
      <c r="A939" t="s">
        <v>1032</v>
      </c>
      <c r="B939" s="1">
        <v>45037</v>
      </c>
      <c r="C939" t="s">
        <v>17</v>
      </c>
      <c r="D939" t="s">
        <v>18</v>
      </c>
      <c r="E939">
        <v>3</v>
      </c>
      <c r="F939" s="2">
        <v>45.99</v>
      </c>
      <c r="G939">
        <v>5</v>
      </c>
      <c r="H939" s="2">
        <v>43.69</v>
      </c>
      <c r="I939" s="2">
        <v>131.07</v>
      </c>
      <c r="J939" t="s">
        <v>19</v>
      </c>
      <c r="K939" t="s">
        <v>52</v>
      </c>
      <c r="L939" t="s">
        <v>21</v>
      </c>
      <c r="M939" t="s">
        <v>73</v>
      </c>
      <c r="N939" t="s">
        <v>74</v>
      </c>
      <c r="O939" t="s">
        <v>35</v>
      </c>
      <c r="P939">
        <v>1</v>
      </c>
      <c r="Q939" s="2">
        <f>Ventas[[#This Row],[precio_base]]*Ventas[[#This Row],[cantidad]]</f>
        <v>137.97</v>
      </c>
      <c r="R939" s="2">
        <f>Ventas[[#This Row],[Total bruto (antes de descuento)]]-Ventas[[#This Row],[total_venta]]</f>
        <v>6.9000000000000057</v>
      </c>
    </row>
    <row r="940" spans="1:18" x14ac:dyDescent="0.25">
      <c r="A940" t="s">
        <v>1033</v>
      </c>
      <c r="B940" s="1">
        <v>44996</v>
      </c>
      <c r="C940" t="s">
        <v>92</v>
      </c>
      <c r="D940" t="s">
        <v>27</v>
      </c>
      <c r="E940">
        <v>1</v>
      </c>
      <c r="F940" s="2">
        <v>79.989999999999995</v>
      </c>
      <c r="G940">
        <v>0</v>
      </c>
      <c r="H940" s="2">
        <v>79.989999999999995</v>
      </c>
      <c r="I940" s="2">
        <v>79.989999999999995</v>
      </c>
      <c r="J940" t="s">
        <v>19</v>
      </c>
      <c r="K940" t="s">
        <v>20</v>
      </c>
      <c r="L940" t="s">
        <v>21</v>
      </c>
      <c r="M940" t="s">
        <v>73</v>
      </c>
      <c r="N940" t="s">
        <v>74</v>
      </c>
      <c r="O940" t="s">
        <v>35</v>
      </c>
      <c r="P940">
        <v>5</v>
      </c>
      <c r="Q940" s="2">
        <f>Ventas[[#This Row],[precio_base]]*Ventas[[#This Row],[cantidad]]</f>
        <v>79.989999999999995</v>
      </c>
      <c r="R940" s="2">
        <f>Ventas[[#This Row],[Total bruto (antes de descuento)]]-Ventas[[#This Row],[total_venta]]</f>
        <v>0</v>
      </c>
    </row>
    <row r="941" spans="1:18" x14ac:dyDescent="0.25">
      <c r="A941" t="s">
        <v>1034</v>
      </c>
      <c r="B941" s="1">
        <v>45025</v>
      </c>
      <c r="C941" t="s">
        <v>98</v>
      </c>
      <c r="D941" t="s">
        <v>31</v>
      </c>
      <c r="E941">
        <v>1</v>
      </c>
      <c r="F941" s="2">
        <v>99.99</v>
      </c>
      <c r="G941">
        <v>15</v>
      </c>
      <c r="H941" s="2">
        <v>84.99</v>
      </c>
      <c r="I941" s="2">
        <v>84.99</v>
      </c>
      <c r="J941" t="s">
        <v>51</v>
      </c>
      <c r="K941" t="s">
        <v>44</v>
      </c>
      <c r="L941" t="s">
        <v>45</v>
      </c>
      <c r="M941" t="s">
        <v>39</v>
      </c>
      <c r="N941" t="s">
        <v>40</v>
      </c>
      <c r="O941" t="s">
        <v>35</v>
      </c>
      <c r="Q941" s="2">
        <f>Ventas[[#This Row],[precio_base]]*Ventas[[#This Row],[cantidad]]</f>
        <v>99.99</v>
      </c>
      <c r="R941" s="2">
        <f>Ventas[[#This Row],[Total bruto (antes de descuento)]]-Ventas[[#This Row],[total_venta]]</f>
        <v>15</v>
      </c>
    </row>
    <row r="942" spans="1:18" x14ac:dyDescent="0.25">
      <c r="A942" t="s">
        <v>1035</v>
      </c>
      <c r="B942" s="1">
        <v>45227</v>
      </c>
      <c r="C942" t="s">
        <v>81</v>
      </c>
      <c r="D942" t="s">
        <v>31</v>
      </c>
      <c r="E942">
        <v>4</v>
      </c>
      <c r="F942" s="2">
        <v>189.99</v>
      </c>
      <c r="G942">
        <v>5</v>
      </c>
      <c r="H942" s="2">
        <v>180.49</v>
      </c>
      <c r="I942" s="2">
        <v>721.96</v>
      </c>
      <c r="J942" t="s">
        <v>19</v>
      </c>
      <c r="K942" t="s">
        <v>20</v>
      </c>
      <c r="L942" t="s">
        <v>32</v>
      </c>
      <c r="M942" t="s">
        <v>65</v>
      </c>
      <c r="N942" t="s">
        <v>54</v>
      </c>
      <c r="O942" t="s">
        <v>35</v>
      </c>
      <c r="P942">
        <v>5</v>
      </c>
      <c r="Q942" s="2">
        <f>Ventas[[#This Row],[precio_base]]*Ventas[[#This Row],[cantidad]]</f>
        <v>759.96</v>
      </c>
      <c r="R942" s="2">
        <f>Ventas[[#This Row],[Total bruto (antes de descuento)]]-Ventas[[#This Row],[total_venta]]</f>
        <v>38</v>
      </c>
    </row>
    <row r="943" spans="1:18" x14ac:dyDescent="0.25">
      <c r="A943" t="s">
        <v>1036</v>
      </c>
      <c r="B943" s="1">
        <v>44945</v>
      </c>
      <c r="C943" t="s">
        <v>98</v>
      </c>
      <c r="D943" t="s">
        <v>31</v>
      </c>
      <c r="E943">
        <v>1</v>
      </c>
      <c r="F943" s="2">
        <v>99.99</v>
      </c>
      <c r="G943">
        <v>5</v>
      </c>
      <c r="H943" s="2">
        <v>94.99</v>
      </c>
      <c r="I943" s="2">
        <v>94.99</v>
      </c>
      <c r="J943" t="s">
        <v>62</v>
      </c>
      <c r="K943" t="s">
        <v>20</v>
      </c>
      <c r="L943" t="s">
        <v>21</v>
      </c>
      <c r="M943" t="s">
        <v>95</v>
      </c>
      <c r="N943" t="s">
        <v>96</v>
      </c>
      <c r="O943" t="s">
        <v>48</v>
      </c>
      <c r="Q943" s="2">
        <f>Ventas[[#This Row],[precio_base]]*Ventas[[#This Row],[cantidad]]</f>
        <v>99.99</v>
      </c>
      <c r="R943" s="2">
        <f>Ventas[[#This Row],[Total bruto (antes de descuento)]]-Ventas[[#This Row],[total_venta]]</f>
        <v>5</v>
      </c>
    </row>
    <row r="944" spans="1:18" x14ac:dyDescent="0.25">
      <c r="A944" t="s">
        <v>1037</v>
      </c>
      <c r="B944" s="1">
        <v>45312</v>
      </c>
      <c r="C944" t="s">
        <v>151</v>
      </c>
      <c r="D944" t="s">
        <v>27</v>
      </c>
      <c r="E944">
        <v>4</v>
      </c>
      <c r="F944" s="2">
        <v>599.99</v>
      </c>
      <c r="G944">
        <v>0</v>
      </c>
      <c r="H944" s="2">
        <v>599.99</v>
      </c>
      <c r="I944" s="2">
        <v>2399.96</v>
      </c>
      <c r="J944" t="s">
        <v>19</v>
      </c>
      <c r="K944" t="s">
        <v>44</v>
      </c>
      <c r="L944" t="s">
        <v>28</v>
      </c>
      <c r="M944" t="s">
        <v>65</v>
      </c>
      <c r="N944" t="s">
        <v>54</v>
      </c>
      <c r="O944" t="s">
        <v>35</v>
      </c>
      <c r="P944">
        <v>2</v>
      </c>
      <c r="Q944" s="2">
        <f>Ventas[[#This Row],[precio_base]]*Ventas[[#This Row],[cantidad]]</f>
        <v>2399.96</v>
      </c>
      <c r="R944" s="2">
        <f>Ventas[[#This Row],[Total bruto (antes de descuento)]]-Ventas[[#This Row],[total_venta]]</f>
        <v>0</v>
      </c>
    </row>
    <row r="945" spans="1:18" x14ac:dyDescent="0.25">
      <c r="A945" t="s">
        <v>1038</v>
      </c>
      <c r="B945" s="1">
        <v>45430</v>
      </c>
      <c r="C945" t="s">
        <v>37</v>
      </c>
      <c r="D945" t="s">
        <v>38</v>
      </c>
      <c r="E945">
        <v>2</v>
      </c>
      <c r="F945" s="2">
        <v>34.99</v>
      </c>
      <c r="G945">
        <v>0</v>
      </c>
      <c r="H945" s="2">
        <v>34.99</v>
      </c>
      <c r="I945" s="2">
        <v>69.98</v>
      </c>
      <c r="J945" t="s">
        <v>51</v>
      </c>
      <c r="K945" t="s">
        <v>52</v>
      </c>
      <c r="L945" t="s">
        <v>45</v>
      </c>
      <c r="M945" t="s">
        <v>101</v>
      </c>
      <c r="N945" t="s">
        <v>102</v>
      </c>
      <c r="O945" t="s">
        <v>35</v>
      </c>
      <c r="Q945" s="2">
        <f>Ventas[[#This Row],[precio_base]]*Ventas[[#This Row],[cantidad]]</f>
        <v>69.98</v>
      </c>
      <c r="R945" s="2">
        <f>Ventas[[#This Row],[Total bruto (antes de descuento)]]-Ventas[[#This Row],[total_venta]]</f>
        <v>0</v>
      </c>
    </row>
    <row r="946" spans="1:18" x14ac:dyDescent="0.25">
      <c r="A946" t="s">
        <v>1039</v>
      </c>
      <c r="B946" s="1">
        <v>45429</v>
      </c>
      <c r="C946" t="s">
        <v>81</v>
      </c>
      <c r="D946" t="s">
        <v>31</v>
      </c>
      <c r="E946">
        <v>5</v>
      </c>
      <c r="F946" s="2">
        <v>189.99</v>
      </c>
      <c r="G946">
        <v>15</v>
      </c>
      <c r="H946" s="2">
        <v>161.49</v>
      </c>
      <c r="I946" s="2">
        <v>807.45</v>
      </c>
      <c r="J946" t="s">
        <v>19</v>
      </c>
      <c r="K946" t="s">
        <v>44</v>
      </c>
      <c r="L946" t="s">
        <v>32</v>
      </c>
      <c r="M946" t="s">
        <v>101</v>
      </c>
      <c r="N946" t="s">
        <v>102</v>
      </c>
      <c r="O946" t="s">
        <v>35</v>
      </c>
      <c r="P946">
        <v>5</v>
      </c>
      <c r="Q946" s="2">
        <f>Ventas[[#This Row],[precio_base]]*Ventas[[#This Row],[cantidad]]</f>
        <v>949.95</v>
      </c>
      <c r="R946" s="2">
        <f>Ventas[[#This Row],[Total bruto (antes de descuento)]]-Ventas[[#This Row],[total_venta]]</f>
        <v>142.5</v>
      </c>
    </row>
    <row r="947" spans="1:18" x14ac:dyDescent="0.25">
      <c r="A947" t="s">
        <v>1040</v>
      </c>
      <c r="B947" s="1">
        <v>44984</v>
      </c>
      <c r="C947" t="s">
        <v>109</v>
      </c>
      <c r="D947" t="s">
        <v>38</v>
      </c>
      <c r="E947">
        <v>3</v>
      </c>
      <c r="F947" s="2">
        <v>39.99</v>
      </c>
      <c r="G947">
        <v>5</v>
      </c>
      <c r="H947" s="2">
        <v>37.99</v>
      </c>
      <c r="I947" s="2">
        <v>113.97</v>
      </c>
      <c r="J947" t="s">
        <v>19</v>
      </c>
      <c r="K947" t="s">
        <v>44</v>
      </c>
      <c r="L947" t="s">
        <v>45</v>
      </c>
      <c r="M947" t="s">
        <v>120</v>
      </c>
      <c r="N947" t="s">
        <v>23</v>
      </c>
      <c r="O947" t="s">
        <v>24</v>
      </c>
      <c r="P947">
        <v>3</v>
      </c>
      <c r="Q947" s="2">
        <f>Ventas[[#This Row],[precio_base]]*Ventas[[#This Row],[cantidad]]</f>
        <v>119.97</v>
      </c>
      <c r="R947" s="2">
        <f>Ventas[[#This Row],[Total bruto (antes de descuento)]]-Ventas[[#This Row],[total_venta]]</f>
        <v>6</v>
      </c>
    </row>
    <row r="948" spans="1:18" x14ac:dyDescent="0.25">
      <c r="A948" t="s">
        <v>1041</v>
      </c>
      <c r="B948" s="1">
        <v>45255</v>
      </c>
      <c r="C948" t="s">
        <v>94</v>
      </c>
      <c r="D948" t="s">
        <v>18</v>
      </c>
      <c r="E948">
        <v>1</v>
      </c>
      <c r="F948" s="2">
        <v>899.99</v>
      </c>
      <c r="G948">
        <v>10</v>
      </c>
      <c r="H948" s="2">
        <v>809.99</v>
      </c>
      <c r="I948" s="2">
        <v>809.99</v>
      </c>
      <c r="J948" t="s">
        <v>19</v>
      </c>
      <c r="K948" t="s">
        <v>20</v>
      </c>
      <c r="L948" t="s">
        <v>32</v>
      </c>
      <c r="M948" t="s">
        <v>67</v>
      </c>
      <c r="N948" t="s">
        <v>68</v>
      </c>
      <c r="O948" t="s">
        <v>35</v>
      </c>
      <c r="P948">
        <v>5</v>
      </c>
      <c r="Q948" s="2">
        <f>Ventas[[#This Row],[precio_base]]*Ventas[[#This Row],[cantidad]]</f>
        <v>899.99</v>
      </c>
      <c r="R948" s="2">
        <f>Ventas[[#This Row],[Total bruto (antes de descuento)]]-Ventas[[#This Row],[total_venta]]</f>
        <v>90</v>
      </c>
    </row>
    <row r="949" spans="1:18" x14ac:dyDescent="0.25">
      <c r="A949" t="s">
        <v>1042</v>
      </c>
      <c r="B949" s="1">
        <v>44954</v>
      </c>
      <c r="C949" t="s">
        <v>98</v>
      </c>
      <c r="D949" t="s">
        <v>31</v>
      </c>
      <c r="E949">
        <v>3</v>
      </c>
      <c r="F949" s="2">
        <v>99.99</v>
      </c>
      <c r="G949">
        <v>5</v>
      </c>
      <c r="H949" s="2">
        <v>94.99</v>
      </c>
      <c r="I949" s="2">
        <v>284.97000000000003</v>
      </c>
      <c r="J949" t="s">
        <v>19</v>
      </c>
      <c r="K949" t="s">
        <v>57</v>
      </c>
      <c r="L949" t="s">
        <v>45</v>
      </c>
      <c r="M949" t="s">
        <v>123</v>
      </c>
      <c r="N949" t="s">
        <v>124</v>
      </c>
      <c r="O949" t="s">
        <v>24</v>
      </c>
      <c r="P949">
        <v>1</v>
      </c>
      <c r="Q949" s="2">
        <f>Ventas[[#This Row],[precio_base]]*Ventas[[#This Row],[cantidad]]</f>
        <v>299.96999999999997</v>
      </c>
      <c r="R949" s="2">
        <f>Ventas[[#This Row],[Total bruto (antes de descuento)]]-Ventas[[#This Row],[total_venta]]</f>
        <v>14.999999999999943</v>
      </c>
    </row>
    <row r="950" spans="1:18" x14ac:dyDescent="0.25">
      <c r="A950" t="s">
        <v>1043</v>
      </c>
      <c r="B950" s="1">
        <v>45604</v>
      </c>
      <c r="C950" t="s">
        <v>163</v>
      </c>
      <c r="D950" t="s">
        <v>18</v>
      </c>
      <c r="E950">
        <v>2</v>
      </c>
      <c r="F950" s="2">
        <v>499.99</v>
      </c>
      <c r="G950">
        <v>0</v>
      </c>
      <c r="H950" s="2">
        <v>499.99</v>
      </c>
      <c r="I950" s="2">
        <v>999.98</v>
      </c>
      <c r="J950" t="s">
        <v>51</v>
      </c>
      <c r="K950" t="s">
        <v>20</v>
      </c>
      <c r="L950" t="s">
        <v>28</v>
      </c>
      <c r="M950" t="s">
        <v>33</v>
      </c>
      <c r="N950" t="s">
        <v>34</v>
      </c>
      <c r="O950" t="s">
        <v>35</v>
      </c>
      <c r="Q950" s="2">
        <f>Ventas[[#This Row],[precio_base]]*Ventas[[#This Row],[cantidad]]</f>
        <v>999.98</v>
      </c>
      <c r="R950" s="2">
        <f>Ventas[[#This Row],[Total bruto (antes de descuento)]]-Ventas[[#This Row],[total_venta]]</f>
        <v>0</v>
      </c>
    </row>
    <row r="951" spans="1:18" x14ac:dyDescent="0.25">
      <c r="A951" t="s">
        <v>1044</v>
      </c>
      <c r="B951" s="1">
        <v>45239</v>
      </c>
      <c r="C951" t="s">
        <v>17</v>
      </c>
      <c r="D951" t="s">
        <v>18</v>
      </c>
      <c r="E951">
        <v>3</v>
      </c>
      <c r="F951" s="2">
        <v>45.99</v>
      </c>
      <c r="G951">
        <v>0</v>
      </c>
      <c r="H951" s="2">
        <v>45.99</v>
      </c>
      <c r="I951" s="2">
        <v>137.97</v>
      </c>
      <c r="J951" t="s">
        <v>19</v>
      </c>
      <c r="K951" t="s">
        <v>20</v>
      </c>
      <c r="L951" t="s">
        <v>28</v>
      </c>
      <c r="M951" t="s">
        <v>123</v>
      </c>
      <c r="N951" t="s">
        <v>124</v>
      </c>
      <c r="O951" t="s">
        <v>24</v>
      </c>
      <c r="P951">
        <v>4</v>
      </c>
      <c r="Q951" s="2">
        <f>Ventas[[#This Row],[precio_base]]*Ventas[[#This Row],[cantidad]]</f>
        <v>137.97</v>
      </c>
      <c r="R951" s="2">
        <f>Ventas[[#This Row],[Total bruto (antes de descuento)]]-Ventas[[#This Row],[total_venta]]</f>
        <v>0</v>
      </c>
    </row>
    <row r="952" spans="1:18" x14ac:dyDescent="0.25">
      <c r="A952" t="s">
        <v>1045</v>
      </c>
      <c r="B952" s="1">
        <v>45508</v>
      </c>
      <c r="C952" t="s">
        <v>87</v>
      </c>
      <c r="D952" t="s">
        <v>27</v>
      </c>
      <c r="E952">
        <v>4</v>
      </c>
      <c r="F952" s="2">
        <v>249.99</v>
      </c>
      <c r="G952">
        <v>0</v>
      </c>
      <c r="H952" s="2">
        <v>249.99</v>
      </c>
      <c r="I952" s="2">
        <v>999.96</v>
      </c>
      <c r="J952" t="s">
        <v>19</v>
      </c>
      <c r="K952" t="s">
        <v>44</v>
      </c>
      <c r="L952" t="s">
        <v>152</v>
      </c>
      <c r="M952" t="s">
        <v>101</v>
      </c>
      <c r="N952" t="s">
        <v>102</v>
      </c>
      <c r="O952" t="s">
        <v>35</v>
      </c>
      <c r="P952">
        <v>4</v>
      </c>
      <c r="Q952" s="2">
        <f>Ventas[[#This Row],[precio_base]]*Ventas[[#This Row],[cantidad]]</f>
        <v>999.96</v>
      </c>
      <c r="R952" s="2">
        <f>Ventas[[#This Row],[Total bruto (antes de descuento)]]-Ventas[[#This Row],[total_venta]]</f>
        <v>0</v>
      </c>
    </row>
    <row r="953" spans="1:18" x14ac:dyDescent="0.25">
      <c r="A953" t="s">
        <v>1046</v>
      </c>
      <c r="B953" s="1">
        <v>45511</v>
      </c>
      <c r="C953" t="s">
        <v>109</v>
      </c>
      <c r="D953" t="s">
        <v>38</v>
      </c>
      <c r="E953">
        <v>3</v>
      </c>
      <c r="F953" s="2">
        <v>39.99</v>
      </c>
      <c r="G953">
        <v>10</v>
      </c>
      <c r="H953" s="2">
        <v>35.99</v>
      </c>
      <c r="I953" s="2">
        <v>107.97</v>
      </c>
      <c r="J953" t="s">
        <v>19</v>
      </c>
      <c r="K953" t="s">
        <v>20</v>
      </c>
      <c r="L953" t="s">
        <v>28</v>
      </c>
      <c r="M953" t="s">
        <v>101</v>
      </c>
      <c r="N953" t="s">
        <v>102</v>
      </c>
      <c r="O953" t="s">
        <v>35</v>
      </c>
      <c r="P953">
        <v>3</v>
      </c>
      <c r="Q953" s="2">
        <f>Ventas[[#This Row],[precio_base]]*Ventas[[#This Row],[cantidad]]</f>
        <v>119.97</v>
      </c>
      <c r="R953" s="2">
        <f>Ventas[[#This Row],[Total bruto (antes de descuento)]]-Ventas[[#This Row],[total_venta]]</f>
        <v>12</v>
      </c>
    </row>
    <row r="954" spans="1:18" x14ac:dyDescent="0.25">
      <c r="A954" t="s">
        <v>1047</v>
      </c>
      <c r="B954" s="1">
        <v>45435</v>
      </c>
      <c r="C954" t="s">
        <v>87</v>
      </c>
      <c r="D954" t="s">
        <v>27</v>
      </c>
      <c r="E954">
        <v>3</v>
      </c>
      <c r="F954" s="2">
        <v>249.99</v>
      </c>
      <c r="G954">
        <v>0</v>
      </c>
      <c r="H954" s="2">
        <v>249.99</v>
      </c>
      <c r="I954" s="2">
        <v>749.97</v>
      </c>
      <c r="J954" t="s">
        <v>51</v>
      </c>
      <c r="K954" t="s">
        <v>57</v>
      </c>
      <c r="L954" t="s">
        <v>21</v>
      </c>
      <c r="M954" t="s">
        <v>123</v>
      </c>
      <c r="N954" t="s">
        <v>124</v>
      </c>
      <c r="O954" t="s">
        <v>24</v>
      </c>
      <c r="Q954" s="2">
        <f>Ventas[[#This Row],[precio_base]]*Ventas[[#This Row],[cantidad]]</f>
        <v>749.97</v>
      </c>
      <c r="R954" s="2">
        <f>Ventas[[#This Row],[Total bruto (antes de descuento)]]-Ventas[[#This Row],[total_venta]]</f>
        <v>0</v>
      </c>
    </row>
    <row r="955" spans="1:18" x14ac:dyDescent="0.25">
      <c r="A955" t="s">
        <v>1048</v>
      </c>
      <c r="B955" s="1">
        <v>45577</v>
      </c>
      <c r="C955" t="s">
        <v>42</v>
      </c>
      <c r="D955" t="s">
        <v>43</v>
      </c>
      <c r="E955">
        <v>1</v>
      </c>
      <c r="F955" s="2">
        <v>349.99</v>
      </c>
      <c r="G955">
        <v>20</v>
      </c>
      <c r="H955" s="2">
        <v>279.99</v>
      </c>
      <c r="I955" s="2">
        <v>279.99</v>
      </c>
      <c r="J955" t="s">
        <v>62</v>
      </c>
      <c r="K955" t="s">
        <v>20</v>
      </c>
      <c r="L955" t="s">
        <v>21</v>
      </c>
      <c r="M955" t="s">
        <v>22</v>
      </c>
      <c r="N955" t="s">
        <v>23</v>
      </c>
      <c r="O955" t="s">
        <v>24</v>
      </c>
      <c r="Q955" s="2">
        <f>Ventas[[#This Row],[precio_base]]*Ventas[[#This Row],[cantidad]]</f>
        <v>349.99</v>
      </c>
      <c r="R955" s="2">
        <f>Ventas[[#This Row],[Total bruto (antes de descuento)]]-Ventas[[#This Row],[total_venta]]</f>
        <v>70</v>
      </c>
    </row>
    <row r="956" spans="1:18" x14ac:dyDescent="0.25">
      <c r="A956" t="s">
        <v>1049</v>
      </c>
      <c r="B956" s="1">
        <v>45514</v>
      </c>
      <c r="C956" t="s">
        <v>109</v>
      </c>
      <c r="D956" t="s">
        <v>38</v>
      </c>
      <c r="E956">
        <v>2</v>
      </c>
      <c r="F956" s="2">
        <v>39.99</v>
      </c>
      <c r="G956">
        <v>10</v>
      </c>
      <c r="H956" s="2">
        <v>35.99</v>
      </c>
      <c r="I956" s="2">
        <v>71.98</v>
      </c>
      <c r="J956" t="s">
        <v>51</v>
      </c>
      <c r="K956" t="s">
        <v>44</v>
      </c>
      <c r="L956" t="s">
        <v>45</v>
      </c>
      <c r="M956" t="s">
        <v>95</v>
      </c>
      <c r="N956" t="s">
        <v>96</v>
      </c>
      <c r="O956" t="s">
        <v>48</v>
      </c>
      <c r="Q956" s="2">
        <f>Ventas[[#This Row],[precio_base]]*Ventas[[#This Row],[cantidad]]</f>
        <v>79.98</v>
      </c>
      <c r="R956" s="2">
        <f>Ventas[[#This Row],[Total bruto (antes de descuento)]]-Ventas[[#This Row],[total_venta]]</f>
        <v>8</v>
      </c>
    </row>
    <row r="957" spans="1:18" x14ac:dyDescent="0.25">
      <c r="A957" t="s">
        <v>1050</v>
      </c>
      <c r="B957" s="1">
        <v>45533</v>
      </c>
      <c r="C957" t="s">
        <v>141</v>
      </c>
      <c r="D957" t="s">
        <v>38</v>
      </c>
      <c r="E957">
        <v>3</v>
      </c>
      <c r="F957" s="2">
        <v>89.99</v>
      </c>
      <c r="G957">
        <v>0</v>
      </c>
      <c r="H957" s="2">
        <v>89.99</v>
      </c>
      <c r="I957" s="2">
        <v>269.97000000000003</v>
      </c>
      <c r="J957" t="s">
        <v>19</v>
      </c>
      <c r="K957" t="s">
        <v>44</v>
      </c>
      <c r="L957" t="s">
        <v>21</v>
      </c>
      <c r="M957" t="s">
        <v>65</v>
      </c>
      <c r="N957" t="s">
        <v>54</v>
      </c>
      <c r="O957" t="s">
        <v>35</v>
      </c>
      <c r="P957">
        <v>1</v>
      </c>
      <c r="Q957" s="2">
        <f>Ventas[[#This Row],[precio_base]]*Ventas[[#This Row],[cantidad]]</f>
        <v>269.96999999999997</v>
      </c>
      <c r="R957" s="2">
        <f>Ventas[[#This Row],[Total bruto (antes de descuento)]]-Ventas[[#This Row],[total_venta]]</f>
        <v>0</v>
      </c>
    </row>
    <row r="958" spans="1:18" x14ac:dyDescent="0.25">
      <c r="A958" t="s">
        <v>1051</v>
      </c>
      <c r="B958" s="1">
        <v>45594</v>
      </c>
      <c r="C958" t="s">
        <v>143</v>
      </c>
      <c r="D958" t="s">
        <v>43</v>
      </c>
      <c r="E958">
        <v>3</v>
      </c>
      <c r="F958" s="2">
        <v>34.99</v>
      </c>
      <c r="G958">
        <v>10</v>
      </c>
      <c r="H958" s="2">
        <v>31.49</v>
      </c>
      <c r="I958" s="2">
        <v>94.47</v>
      </c>
      <c r="J958" t="s">
        <v>62</v>
      </c>
      <c r="K958" t="s">
        <v>44</v>
      </c>
      <c r="L958" t="s">
        <v>21</v>
      </c>
      <c r="M958" t="s">
        <v>120</v>
      </c>
      <c r="N958" t="s">
        <v>23</v>
      </c>
      <c r="O958" t="s">
        <v>24</v>
      </c>
      <c r="Q958" s="2">
        <f>Ventas[[#This Row],[precio_base]]*Ventas[[#This Row],[cantidad]]</f>
        <v>104.97</v>
      </c>
      <c r="R958" s="2">
        <f>Ventas[[#This Row],[Total bruto (antes de descuento)]]-Ventas[[#This Row],[total_venta]]</f>
        <v>10.5</v>
      </c>
    </row>
    <row r="959" spans="1:18" x14ac:dyDescent="0.25">
      <c r="A959" t="s">
        <v>1052</v>
      </c>
      <c r="B959" s="1">
        <v>45351</v>
      </c>
      <c r="C959" t="s">
        <v>109</v>
      </c>
      <c r="D959" t="s">
        <v>38</v>
      </c>
      <c r="E959">
        <v>3</v>
      </c>
      <c r="F959" s="2">
        <v>39.99</v>
      </c>
      <c r="G959">
        <v>10</v>
      </c>
      <c r="H959" s="2">
        <v>35.99</v>
      </c>
      <c r="I959" s="2">
        <v>107.97</v>
      </c>
      <c r="J959" t="s">
        <v>19</v>
      </c>
      <c r="K959" t="s">
        <v>52</v>
      </c>
      <c r="L959" t="s">
        <v>21</v>
      </c>
      <c r="M959" t="s">
        <v>73</v>
      </c>
      <c r="N959" t="s">
        <v>74</v>
      </c>
      <c r="O959" t="s">
        <v>35</v>
      </c>
      <c r="P959">
        <v>1</v>
      </c>
      <c r="Q959" s="2">
        <f>Ventas[[#This Row],[precio_base]]*Ventas[[#This Row],[cantidad]]</f>
        <v>119.97</v>
      </c>
      <c r="R959" s="2">
        <f>Ventas[[#This Row],[Total bruto (antes de descuento)]]-Ventas[[#This Row],[total_venta]]</f>
        <v>12</v>
      </c>
    </row>
    <row r="960" spans="1:18" x14ac:dyDescent="0.25">
      <c r="A960" t="s">
        <v>1053</v>
      </c>
      <c r="B960" s="1">
        <v>45569</v>
      </c>
      <c r="C960" t="s">
        <v>30</v>
      </c>
      <c r="D960" t="s">
        <v>31</v>
      </c>
      <c r="E960">
        <v>5</v>
      </c>
      <c r="F960" s="2">
        <v>299.99</v>
      </c>
      <c r="G960">
        <v>20</v>
      </c>
      <c r="H960" s="2">
        <v>239.99</v>
      </c>
      <c r="I960" s="2">
        <v>1199.95</v>
      </c>
      <c r="J960" t="s">
        <v>19</v>
      </c>
      <c r="K960" t="s">
        <v>20</v>
      </c>
      <c r="L960" t="s">
        <v>152</v>
      </c>
      <c r="M960" t="s">
        <v>101</v>
      </c>
      <c r="N960" t="s">
        <v>102</v>
      </c>
      <c r="O960" t="s">
        <v>35</v>
      </c>
      <c r="P960">
        <v>4</v>
      </c>
      <c r="Q960" s="2">
        <f>Ventas[[#This Row],[precio_base]]*Ventas[[#This Row],[cantidad]]</f>
        <v>1499.95</v>
      </c>
      <c r="R960" s="2">
        <f>Ventas[[#This Row],[Total bruto (antes de descuento)]]-Ventas[[#This Row],[total_venta]]</f>
        <v>300</v>
      </c>
    </row>
    <row r="961" spans="1:18" x14ac:dyDescent="0.25">
      <c r="A961" t="s">
        <v>1054</v>
      </c>
      <c r="B961" s="1">
        <v>45201</v>
      </c>
      <c r="C961" t="s">
        <v>122</v>
      </c>
      <c r="D961" t="s">
        <v>43</v>
      </c>
      <c r="E961">
        <v>5</v>
      </c>
      <c r="F961" s="2">
        <v>44.99</v>
      </c>
      <c r="G961">
        <v>20</v>
      </c>
      <c r="H961" s="2">
        <v>35.99</v>
      </c>
      <c r="I961" s="2">
        <v>179.95</v>
      </c>
      <c r="J961" t="s">
        <v>51</v>
      </c>
      <c r="K961" t="s">
        <v>52</v>
      </c>
      <c r="L961" t="s">
        <v>152</v>
      </c>
      <c r="M961" t="s">
        <v>39</v>
      </c>
      <c r="N961" t="s">
        <v>40</v>
      </c>
      <c r="O961" t="s">
        <v>35</v>
      </c>
      <c r="Q961" s="2">
        <f>Ventas[[#This Row],[precio_base]]*Ventas[[#This Row],[cantidad]]</f>
        <v>224.95000000000002</v>
      </c>
      <c r="R961" s="2">
        <f>Ventas[[#This Row],[Total bruto (antes de descuento)]]-Ventas[[#This Row],[total_venta]]</f>
        <v>45.000000000000028</v>
      </c>
    </row>
    <row r="962" spans="1:18" x14ac:dyDescent="0.25">
      <c r="A962" t="s">
        <v>1055</v>
      </c>
      <c r="B962" s="1">
        <v>45568</v>
      </c>
      <c r="C962" t="s">
        <v>94</v>
      </c>
      <c r="D962" t="s">
        <v>18</v>
      </c>
      <c r="E962">
        <v>5</v>
      </c>
      <c r="F962" s="2">
        <v>899.99</v>
      </c>
      <c r="G962">
        <v>0</v>
      </c>
      <c r="H962" s="2">
        <v>899.99</v>
      </c>
      <c r="I962" s="2">
        <v>4499.95</v>
      </c>
      <c r="J962" t="s">
        <v>19</v>
      </c>
      <c r="K962" t="s">
        <v>20</v>
      </c>
      <c r="L962" t="s">
        <v>28</v>
      </c>
      <c r="M962" t="s">
        <v>63</v>
      </c>
      <c r="N962" t="s">
        <v>34</v>
      </c>
      <c r="O962" t="s">
        <v>24</v>
      </c>
      <c r="P962">
        <v>3</v>
      </c>
      <c r="Q962" s="2">
        <f>Ventas[[#This Row],[precio_base]]*Ventas[[#This Row],[cantidad]]</f>
        <v>4499.95</v>
      </c>
      <c r="R962" s="2">
        <f>Ventas[[#This Row],[Total bruto (antes de descuento)]]-Ventas[[#This Row],[total_venta]]</f>
        <v>0</v>
      </c>
    </row>
    <row r="963" spans="1:18" x14ac:dyDescent="0.25">
      <c r="A963" t="s">
        <v>1056</v>
      </c>
      <c r="B963" s="1">
        <v>45372</v>
      </c>
      <c r="C963" t="s">
        <v>37</v>
      </c>
      <c r="D963" t="s">
        <v>38</v>
      </c>
      <c r="E963">
        <v>3</v>
      </c>
      <c r="F963" s="2">
        <v>34.99</v>
      </c>
      <c r="G963">
        <v>20</v>
      </c>
      <c r="H963" s="2">
        <v>27.99</v>
      </c>
      <c r="I963" s="2">
        <v>83.97</v>
      </c>
      <c r="J963" t="s">
        <v>62</v>
      </c>
      <c r="K963" t="s">
        <v>44</v>
      </c>
      <c r="L963" t="s">
        <v>32</v>
      </c>
      <c r="M963" t="s">
        <v>95</v>
      </c>
      <c r="N963" t="s">
        <v>96</v>
      </c>
      <c r="O963" t="s">
        <v>48</v>
      </c>
      <c r="Q963" s="2">
        <f>Ventas[[#This Row],[precio_base]]*Ventas[[#This Row],[cantidad]]</f>
        <v>104.97</v>
      </c>
      <c r="R963" s="2">
        <f>Ventas[[#This Row],[Total bruto (antes de descuento)]]-Ventas[[#This Row],[total_venta]]</f>
        <v>21</v>
      </c>
    </row>
    <row r="964" spans="1:18" x14ac:dyDescent="0.25">
      <c r="A964" t="s">
        <v>1057</v>
      </c>
      <c r="B964" s="1">
        <v>45200</v>
      </c>
      <c r="C964" t="s">
        <v>143</v>
      </c>
      <c r="D964" t="s">
        <v>43</v>
      </c>
      <c r="E964">
        <v>3</v>
      </c>
      <c r="F964" s="2">
        <v>34.99</v>
      </c>
      <c r="G964">
        <v>15</v>
      </c>
      <c r="H964" s="2">
        <v>29.74</v>
      </c>
      <c r="I964" s="2">
        <v>89.22</v>
      </c>
      <c r="J964" t="s">
        <v>19</v>
      </c>
      <c r="K964" t="s">
        <v>44</v>
      </c>
      <c r="L964" t="s">
        <v>45</v>
      </c>
      <c r="M964" t="s">
        <v>73</v>
      </c>
      <c r="N964" t="s">
        <v>74</v>
      </c>
      <c r="O964" t="s">
        <v>35</v>
      </c>
      <c r="P964">
        <v>1</v>
      </c>
      <c r="Q964" s="2">
        <f>Ventas[[#This Row],[precio_base]]*Ventas[[#This Row],[cantidad]]</f>
        <v>104.97</v>
      </c>
      <c r="R964" s="2">
        <f>Ventas[[#This Row],[Total bruto (antes de descuento)]]-Ventas[[#This Row],[total_venta]]</f>
        <v>15.75</v>
      </c>
    </row>
    <row r="965" spans="1:18" x14ac:dyDescent="0.25">
      <c r="A965" t="s">
        <v>1058</v>
      </c>
      <c r="B965" s="1">
        <v>45080</v>
      </c>
      <c r="C965" t="s">
        <v>115</v>
      </c>
      <c r="D965" t="s">
        <v>18</v>
      </c>
      <c r="E965">
        <v>1</v>
      </c>
      <c r="F965" s="2">
        <v>799.99</v>
      </c>
      <c r="G965">
        <v>0</v>
      </c>
      <c r="H965" s="2">
        <v>799.99</v>
      </c>
      <c r="I965" s="2">
        <v>799.99</v>
      </c>
      <c r="J965" t="s">
        <v>51</v>
      </c>
      <c r="K965" t="s">
        <v>44</v>
      </c>
      <c r="L965" t="s">
        <v>45</v>
      </c>
      <c r="M965" t="s">
        <v>58</v>
      </c>
      <c r="N965" t="s">
        <v>59</v>
      </c>
      <c r="O965" t="s">
        <v>24</v>
      </c>
      <c r="Q965" s="2">
        <f>Ventas[[#This Row],[precio_base]]*Ventas[[#This Row],[cantidad]]</f>
        <v>799.99</v>
      </c>
      <c r="R965" s="2">
        <f>Ventas[[#This Row],[Total bruto (antes de descuento)]]-Ventas[[#This Row],[total_venta]]</f>
        <v>0</v>
      </c>
    </row>
    <row r="966" spans="1:18" x14ac:dyDescent="0.25">
      <c r="A966" t="s">
        <v>1059</v>
      </c>
      <c r="B966" s="1">
        <v>45373</v>
      </c>
      <c r="C966" t="s">
        <v>37</v>
      </c>
      <c r="D966" t="s">
        <v>38</v>
      </c>
      <c r="E966">
        <v>1</v>
      </c>
      <c r="F966" s="2">
        <v>34.99</v>
      </c>
      <c r="G966">
        <v>0</v>
      </c>
      <c r="H966" s="2">
        <v>34.99</v>
      </c>
      <c r="I966" s="2">
        <v>34.99</v>
      </c>
      <c r="J966" t="s">
        <v>19</v>
      </c>
      <c r="K966" t="s">
        <v>20</v>
      </c>
      <c r="L966" t="s">
        <v>28</v>
      </c>
      <c r="M966" t="s">
        <v>63</v>
      </c>
      <c r="N966" t="s">
        <v>34</v>
      </c>
      <c r="O966" t="s">
        <v>24</v>
      </c>
      <c r="P966">
        <v>3</v>
      </c>
      <c r="Q966" s="2">
        <f>Ventas[[#This Row],[precio_base]]*Ventas[[#This Row],[cantidad]]</f>
        <v>34.99</v>
      </c>
      <c r="R966" s="2">
        <f>Ventas[[#This Row],[Total bruto (antes de descuento)]]-Ventas[[#This Row],[total_venta]]</f>
        <v>0</v>
      </c>
    </row>
    <row r="967" spans="1:18" x14ac:dyDescent="0.25">
      <c r="A967" t="s">
        <v>1060</v>
      </c>
      <c r="B967" s="1">
        <v>45601</v>
      </c>
      <c r="C967" t="s">
        <v>50</v>
      </c>
      <c r="D967" t="s">
        <v>27</v>
      </c>
      <c r="E967">
        <v>2</v>
      </c>
      <c r="F967" s="2">
        <v>149.99</v>
      </c>
      <c r="G967">
        <v>15</v>
      </c>
      <c r="H967" s="2">
        <v>127.49</v>
      </c>
      <c r="I967" s="2">
        <v>254.98</v>
      </c>
      <c r="J967" t="s">
        <v>62</v>
      </c>
      <c r="K967" t="s">
        <v>44</v>
      </c>
      <c r="L967" t="s">
        <v>21</v>
      </c>
      <c r="M967" t="s">
        <v>84</v>
      </c>
      <c r="N967" t="s">
        <v>85</v>
      </c>
      <c r="O967" t="s">
        <v>35</v>
      </c>
      <c r="Q967" s="2">
        <f>Ventas[[#This Row],[precio_base]]*Ventas[[#This Row],[cantidad]]</f>
        <v>299.98</v>
      </c>
      <c r="R967" s="2">
        <f>Ventas[[#This Row],[Total bruto (antes de descuento)]]-Ventas[[#This Row],[total_venta]]</f>
        <v>45.000000000000028</v>
      </c>
    </row>
    <row r="968" spans="1:18" x14ac:dyDescent="0.25">
      <c r="A968" t="s">
        <v>1061</v>
      </c>
      <c r="B968" s="1">
        <v>45012</v>
      </c>
      <c r="C968" t="s">
        <v>141</v>
      </c>
      <c r="D968" t="s">
        <v>38</v>
      </c>
      <c r="E968">
        <v>5</v>
      </c>
      <c r="F968" s="2">
        <v>89.99</v>
      </c>
      <c r="G968">
        <v>0</v>
      </c>
      <c r="H968" s="2">
        <v>89.99</v>
      </c>
      <c r="I968" s="2">
        <v>449.95</v>
      </c>
      <c r="J968" t="s">
        <v>62</v>
      </c>
      <c r="K968" t="s">
        <v>57</v>
      </c>
      <c r="L968" t="s">
        <v>32</v>
      </c>
      <c r="M968" t="s">
        <v>53</v>
      </c>
      <c r="N968" t="s">
        <v>54</v>
      </c>
      <c r="O968" t="s">
        <v>35</v>
      </c>
      <c r="Q968" s="2">
        <f>Ventas[[#This Row],[precio_base]]*Ventas[[#This Row],[cantidad]]</f>
        <v>449.95</v>
      </c>
      <c r="R968" s="2">
        <f>Ventas[[#This Row],[Total bruto (antes de descuento)]]-Ventas[[#This Row],[total_venta]]</f>
        <v>0</v>
      </c>
    </row>
    <row r="969" spans="1:18" x14ac:dyDescent="0.25">
      <c r="A969" t="s">
        <v>1062</v>
      </c>
      <c r="B969" s="1">
        <v>45614</v>
      </c>
      <c r="C969" t="s">
        <v>81</v>
      </c>
      <c r="D969" t="s">
        <v>31</v>
      </c>
      <c r="E969">
        <v>1</v>
      </c>
      <c r="F969" s="2">
        <v>189.99</v>
      </c>
      <c r="G969">
        <v>5</v>
      </c>
      <c r="H969" s="2">
        <v>180.49</v>
      </c>
      <c r="I969" s="2">
        <v>180.49</v>
      </c>
      <c r="J969" t="s">
        <v>90</v>
      </c>
      <c r="K969" t="s">
        <v>52</v>
      </c>
      <c r="L969" t="s">
        <v>21</v>
      </c>
      <c r="M969" t="s">
        <v>84</v>
      </c>
      <c r="N969" t="s">
        <v>85</v>
      </c>
      <c r="O969" t="s">
        <v>35</v>
      </c>
      <c r="Q969" s="2">
        <f>Ventas[[#This Row],[precio_base]]*Ventas[[#This Row],[cantidad]]</f>
        <v>189.99</v>
      </c>
      <c r="R969" s="2">
        <f>Ventas[[#This Row],[Total bruto (antes de descuento)]]-Ventas[[#This Row],[total_venta]]</f>
        <v>9.5</v>
      </c>
    </row>
    <row r="970" spans="1:18" x14ac:dyDescent="0.25">
      <c r="A970" t="s">
        <v>1063</v>
      </c>
      <c r="B970" s="1">
        <v>45511</v>
      </c>
      <c r="C970" t="s">
        <v>76</v>
      </c>
      <c r="D970" t="s">
        <v>31</v>
      </c>
      <c r="E970">
        <v>5</v>
      </c>
      <c r="F970" s="2">
        <v>69.989999999999995</v>
      </c>
      <c r="G970">
        <v>0</v>
      </c>
      <c r="H970" s="2">
        <v>69.989999999999995</v>
      </c>
      <c r="I970" s="2">
        <v>349.95</v>
      </c>
      <c r="J970" t="s">
        <v>19</v>
      </c>
      <c r="K970" t="s">
        <v>44</v>
      </c>
      <c r="L970" t="s">
        <v>28</v>
      </c>
      <c r="M970" t="s">
        <v>67</v>
      </c>
      <c r="N970" t="s">
        <v>68</v>
      </c>
      <c r="O970" t="s">
        <v>35</v>
      </c>
      <c r="P970">
        <v>5</v>
      </c>
      <c r="Q970" s="2">
        <f>Ventas[[#This Row],[precio_base]]*Ventas[[#This Row],[cantidad]]</f>
        <v>349.95</v>
      </c>
      <c r="R970" s="2">
        <f>Ventas[[#This Row],[Total bruto (antes de descuento)]]-Ventas[[#This Row],[total_venta]]</f>
        <v>0</v>
      </c>
    </row>
    <row r="971" spans="1:18" x14ac:dyDescent="0.25">
      <c r="A971" t="s">
        <v>1064</v>
      </c>
      <c r="B971" s="1">
        <v>45184</v>
      </c>
      <c r="C971" t="s">
        <v>92</v>
      </c>
      <c r="D971" t="s">
        <v>27</v>
      </c>
      <c r="E971">
        <v>1</v>
      </c>
      <c r="F971" s="2">
        <v>79.989999999999995</v>
      </c>
      <c r="G971">
        <v>0</v>
      </c>
      <c r="H971" s="2">
        <v>79.989999999999995</v>
      </c>
      <c r="I971" s="2">
        <v>79.989999999999995</v>
      </c>
      <c r="J971" t="s">
        <v>19</v>
      </c>
      <c r="K971" t="s">
        <v>52</v>
      </c>
      <c r="L971" t="s">
        <v>21</v>
      </c>
      <c r="M971" t="s">
        <v>39</v>
      </c>
      <c r="N971" t="s">
        <v>40</v>
      </c>
      <c r="O971" t="s">
        <v>35</v>
      </c>
      <c r="P971">
        <v>5</v>
      </c>
      <c r="Q971" s="2">
        <f>Ventas[[#This Row],[precio_base]]*Ventas[[#This Row],[cantidad]]</f>
        <v>79.989999999999995</v>
      </c>
      <c r="R971" s="2">
        <f>Ventas[[#This Row],[Total bruto (antes de descuento)]]-Ventas[[#This Row],[total_venta]]</f>
        <v>0</v>
      </c>
    </row>
    <row r="972" spans="1:18" x14ac:dyDescent="0.25">
      <c r="A972" t="s">
        <v>1065</v>
      </c>
      <c r="B972" s="1">
        <v>45326</v>
      </c>
      <c r="C972" t="s">
        <v>70</v>
      </c>
      <c r="D972" t="s">
        <v>31</v>
      </c>
      <c r="E972">
        <v>2</v>
      </c>
      <c r="F972" s="2">
        <v>59.99</v>
      </c>
      <c r="G972">
        <v>5</v>
      </c>
      <c r="H972" s="2">
        <v>56.99</v>
      </c>
      <c r="I972" s="2">
        <v>113.98</v>
      </c>
      <c r="J972" t="s">
        <v>19</v>
      </c>
      <c r="K972" t="s">
        <v>20</v>
      </c>
      <c r="L972" t="s">
        <v>152</v>
      </c>
      <c r="M972" t="s">
        <v>95</v>
      </c>
      <c r="N972" t="s">
        <v>96</v>
      </c>
      <c r="O972" t="s">
        <v>48</v>
      </c>
      <c r="P972">
        <v>4</v>
      </c>
      <c r="Q972" s="2">
        <f>Ventas[[#This Row],[precio_base]]*Ventas[[#This Row],[cantidad]]</f>
        <v>119.98</v>
      </c>
      <c r="R972" s="2">
        <f>Ventas[[#This Row],[Total bruto (antes de descuento)]]-Ventas[[#This Row],[total_venta]]</f>
        <v>6</v>
      </c>
    </row>
    <row r="973" spans="1:18" x14ac:dyDescent="0.25">
      <c r="A973" t="s">
        <v>1066</v>
      </c>
      <c r="B973" s="1">
        <v>45345</v>
      </c>
      <c r="C973" t="s">
        <v>61</v>
      </c>
      <c r="D973" t="s">
        <v>38</v>
      </c>
      <c r="E973">
        <v>5</v>
      </c>
      <c r="F973" s="2">
        <v>19.989999999999998</v>
      </c>
      <c r="G973">
        <v>0</v>
      </c>
      <c r="H973" s="2">
        <v>19.989999999999998</v>
      </c>
      <c r="I973" s="2">
        <v>99.95</v>
      </c>
      <c r="J973" t="s">
        <v>19</v>
      </c>
      <c r="K973" t="s">
        <v>44</v>
      </c>
      <c r="L973" t="s">
        <v>21</v>
      </c>
      <c r="M973" t="s">
        <v>123</v>
      </c>
      <c r="N973" t="s">
        <v>124</v>
      </c>
      <c r="O973" t="s">
        <v>24</v>
      </c>
      <c r="P973">
        <v>5</v>
      </c>
      <c r="Q973" s="2">
        <f>Ventas[[#This Row],[precio_base]]*Ventas[[#This Row],[cantidad]]</f>
        <v>99.949999999999989</v>
      </c>
      <c r="R973" s="2">
        <f>Ventas[[#This Row],[Total bruto (antes de descuento)]]-Ventas[[#This Row],[total_venta]]</f>
        <v>0</v>
      </c>
    </row>
    <row r="974" spans="1:18" x14ac:dyDescent="0.25">
      <c r="A974" t="s">
        <v>1067</v>
      </c>
      <c r="B974" s="1">
        <v>45360</v>
      </c>
      <c r="C974" t="s">
        <v>92</v>
      </c>
      <c r="D974" t="s">
        <v>27</v>
      </c>
      <c r="E974">
        <v>2</v>
      </c>
      <c r="F974" s="2">
        <v>79.989999999999995</v>
      </c>
      <c r="G974">
        <v>0</v>
      </c>
      <c r="H974" s="2">
        <v>79.989999999999995</v>
      </c>
      <c r="I974" s="2">
        <v>159.97999999999999</v>
      </c>
      <c r="J974" t="s">
        <v>62</v>
      </c>
      <c r="K974" t="s">
        <v>20</v>
      </c>
      <c r="L974" t="s">
        <v>45</v>
      </c>
      <c r="M974" t="s">
        <v>53</v>
      </c>
      <c r="N974" t="s">
        <v>54</v>
      </c>
      <c r="O974" t="s">
        <v>35</v>
      </c>
      <c r="Q974" s="2">
        <f>Ventas[[#This Row],[precio_base]]*Ventas[[#This Row],[cantidad]]</f>
        <v>159.97999999999999</v>
      </c>
      <c r="R974" s="2">
        <f>Ventas[[#This Row],[Total bruto (antes de descuento)]]-Ventas[[#This Row],[total_venta]]</f>
        <v>0</v>
      </c>
    </row>
    <row r="975" spans="1:18" x14ac:dyDescent="0.25">
      <c r="A975" t="s">
        <v>1068</v>
      </c>
      <c r="B975" s="1">
        <v>45303</v>
      </c>
      <c r="C975" t="s">
        <v>143</v>
      </c>
      <c r="D975" t="s">
        <v>43</v>
      </c>
      <c r="E975">
        <v>3</v>
      </c>
      <c r="F975" s="2">
        <v>34.99</v>
      </c>
      <c r="G975">
        <v>0</v>
      </c>
      <c r="H975" s="2">
        <v>34.99</v>
      </c>
      <c r="I975" s="2">
        <v>104.97</v>
      </c>
      <c r="J975" t="s">
        <v>51</v>
      </c>
      <c r="K975" t="s">
        <v>44</v>
      </c>
      <c r="L975" t="s">
        <v>32</v>
      </c>
      <c r="M975" t="s">
        <v>53</v>
      </c>
      <c r="N975" t="s">
        <v>54</v>
      </c>
      <c r="O975" t="s">
        <v>35</v>
      </c>
      <c r="Q975" s="2">
        <f>Ventas[[#This Row],[precio_base]]*Ventas[[#This Row],[cantidad]]</f>
        <v>104.97</v>
      </c>
      <c r="R975" s="2">
        <f>Ventas[[#This Row],[Total bruto (antes de descuento)]]-Ventas[[#This Row],[total_venta]]</f>
        <v>0</v>
      </c>
    </row>
    <row r="976" spans="1:18" x14ac:dyDescent="0.25">
      <c r="A976" t="s">
        <v>1069</v>
      </c>
      <c r="B976" s="1">
        <v>45605</v>
      </c>
      <c r="C976" t="s">
        <v>70</v>
      </c>
      <c r="D976" t="s">
        <v>31</v>
      </c>
      <c r="E976">
        <v>1</v>
      </c>
      <c r="F976" s="2">
        <v>59.99</v>
      </c>
      <c r="G976">
        <v>15</v>
      </c>
      <c r="H976" s="2">
        <v>50.99</v>
      </c>
      <c r="I976" s="2">
        <v>50.99</v>
      </c>
      <c r="J976" t="s">
        <v>90</v>
      </c>
      <c r="K976" t="s">
        <v>20</v>
      </c>
      <c r="L976" t="s">
        <v>45</v>
      </c>
      <c r="M976" t="s">
        <v>73</v>
      </c>
      <c r="N976" t="s">
        <v>74</v>
      </c>
      <c r="O976" t="s">
        <v>35</v>
      </c>
      <c r="Q976" s="2">
        <f>Ventas[[#This Row],[precio_base]]*Ventas[[#This Row],[cantidad]]</f>
        <v>59.99</v>
      </c>
      <c r="R976" s="2">
        <f>Ventas[[#This Row],[Total bruto (antes de descuento)]]-Ventas[[#This Row],[total_venta]]</f>
        <v>9</v>
      </c>
    </row>
    <row r="977" spans="1:18" x14ac:dyDescent="0.25">
      <c r="A977" t="s">
        <v>1070</v>
      </c>
      <c r="B977" s="1">
        <v>45243</v>
      </c>
      <c r="C977" t="s">
        <v>72</v>
      </c>
      <c r="D977" t="s">
        <v>31</v>
      </c>
      <c r="E977">
        <v>3</v>
      </c>
      <c r="F977" s="2">
        <v>29.99</v>
      </c>
      <c r="G977">
        <v>20</v>
      </c>
      <c r="H977" s="2">
        <v>23.99</v>
      </c>
      <c r="I977" s="2">
        <v>71.97</v>
      </c>
      <c r="J977" t="s">
        <v>51</v>
      </c>
      <c r="K977" t="s">
        <v>52</v>
      </c>
      <c r="L977" t="s">
        <v>32</v>
      </c>
      <c r="M977" t="s">
        <v>65</v>
      </c>
      <c r="N977" t="s">
        <v>54</v>
      </c>
      <c r="O977" t="s">
        <v>35</v>
      </c>
      <c r="Q977" s="2">
        <f>Ventas[[#This Row],[precio_base]]*Ventas[[#This Row],[cantidad]]</f>
        <v>89.97</v>
      </c>
      <c r="R977" s="2">
        <f>Ventas[[#This Row],[Total bruto (antes de descuento)]]-Ventas[[#This Row],[total_venta]]</f>
        <v>18</v>
      </c>
    </row>
    <row r="978" spans="1:18" x14ac:dyDescent="0.25">
      <c r="A978" t="s">
        <v>1071</v>
      </c>
      <c r="B978" s="1">
        <v>45324</v>
      </c>
      <c r="C978" t="s">
        <v>104</v>
      </c>
      <c r="D978" t="s">
        <v>18</v>
      </c>
      <c r="E978">
        <v>4</v>
      </c>
      <c r="F978" s="2">
        <v>1199.99</v>
      </c>
      <c r="G978">
        <v>0</v>
      </c>
      <c r="H978" s="2">
        <v>1199.99</v>
      </c>
      <c r="I978" s="2">
        <v>4799.96</v>
      </c>
      <c r="J978" t="s">
        <v>19</v>
      </c>
      <c r="K978" t="s">
        <v>52</v>
      </c>
      <c r="L978" t="s">
        <v>21</v>
      </c>
      <c r="M978" t="s">
        <v>53</v>
      </c>
      <c r="N978" t="s">
        <v>54</v>
      </c>
      <c r="O978" t="s">
        <v>35</v>
      </c>
      <c r="P978">
        <v>2</v>
      </c>
      <c r="Q978" s="2">
        <f>Ventas[[#This Row],[precio_base]]*Ventas[[#This Row],[cantidad]]</f>
        <v>4799.96</v>
      </c>
      <c r="R978" s="2">
        <f>Ventas[[#This Row],[Total bruto (antes de descuento)]]-Ventas[[#This Row],[total_venta]]</f>
        <v>0</v>
      </c>
    </row>
    <row r="979" spans="1:18" x14ac:dyDescent="0.25">
      <c r="A979" t="s">
        <v>1072</v>
      </c>
      <c r="B979" s="1">
        <v>45091</v>
      </c>
      <c r="C979" t="s">
        <v>122</v>
      </c>
      <c r="D979" t="s">
        <v>43</v>
      </c>
      <c r="E979">
        <v>4</v>
      </c>
      <c r="F979" s="2">
        <v>44.99</v>
      </c>
      <c r="G979">
        <v>15</v>
      </c>
      <c r="H979" s="2">
        <v>38.24</v>
      </c>
      <c r="I979" s="2">
        <v>152.96</v>
      </c>
      <c r="J979" t="s">
        <v>19</v>
      </c>
      <c r="K979" t="s">
        <v>52</v>
      </c>
      <c r="L979" t="s">
        <v>45</v>
      </c>
      <c r="M979" t="s">
        <v>39</v>
      </c>
      <c r="N979" t="s">
        <v>40</v>
      </c>
      <c r="O979" t="s">
        <v>35</v>
      </c>
      <c r="P979">
        <v>1</v>
      </c>
      <c r="Q979" s="2">
        <f>Ventas[[#This Row],[precio_base]]*Ventas[[#This Row],[cantidad]]</f>
        <v>179.96</v>
      </c>
      <c r="R979" s="2">
        <f>Ventas[[#This Row],[Total bruto (antes de descuento)]]-Ventas[[#This Row],[total_venta]]</f>
        <v>27</v>
      </c>
    </row>
    <row r="980" spans="1:18" x14ac:dyDescent="0.25">
      <c r="A980" t="s">
        <v>1073</v>
      </c>
      <c r="B980" s="1">
        <v>45207</v>
      </c>
      <c r="C980" t="s">
        <v>42</v>
      </c>
      <c r="D980" t="s">
        <v>43</v>
      </c>
      <c r="E980">
        <v>1</v>
      </c>
      <c r="F980" s="2">
        <v>349.99</v>
      </c>
      <c r="G980">
        <v>20</v>
      </c>
      <c r="H980" s="2">
        <v>279.99</v>
      </c>
      <c r="I980" s="2">
        <v>279.99</v>
      </c>
      <c r="J980" t="s">
        <v>51</v>
      </c>
      <c r="K980" t="s">
        <v>44</v>
      </c>
      <c r="L980" t="s">
        <v>45</v>
      </c>
      <c r="M980" t="s">
        <v>101</v>
      </c>
      <c r="N980" t="s">
        <v>102</v>
      </c>
      <c r="O980" t="s">
        <v>35</v>
      </c>
      <c r="Q980" s="2">
        <f>Ventas[[#This Row],[precio_base]]*Ventas[[#This Row],[cantidad]]</f>
        <v>349.99</v>
      </c>
      <c r="R980" s="2">
        <f>Ventas[[#This Row],[Total bruto (antes de descuento)]]-Ventas[[#This Row],[total_venta]]</f>
        <v>70</v>
      </c>
    </row>
    <row r="981" spans="1:18" x14ac:dyDescent="0.25">
      <c r="A981" t="s">
        <v>1074</v>
      </c>
      <c r="B981" s="1">
        <v>45267</v>
      </c>
      <c r="C981" t="s">
        <v>30</v>
      </c>
      <c r="D981" t="s">
        <v>31</v>
      </c>
      <c r="E981">
        <v>4</v>
      </c>
      <c r="F981" s="2">
        <v>299.99</v>
      </c>
      <c r="G981">
        <v>20</v>
      </c>
      <c r="H981" s="2">
        <v>239.99</v>
      </c>
      <c r="I981" s="2">
        <v>959.96</v>
      </c>
      <c r="J981" t="s">
        <v>19</v>
      </c>
      <c r="K981" t="s">
        <v>44</v>
      </c>
      <c r="L981" t="s">
        <v>45</v>
      </c>
      <c r="M981" t="s">
        <v>63</v>
      </c>
      <c r="N981" t="s">
        <v>34</v>
      </c>
      <c r="O981" t="s">
        <v>24</v>
      </c>
      <c r="P981">
        <v>3</v>
      </c>
      <c r="Q981" s="2">
        <f>Ventas[[#This Row],[precio_base]]*Ventas[[#This Row],[cantidad]]</f>
        <v>1199.96</v>
      </c>
      <c r="R981" s="2">
        <f>Ventas[[#This Row],[Total bruto (antes de descuento)]]-Ventas[[#This Row],[total_venta]]</f>
        <v>240</v>
      </c>
    </row>
    <row r="982" spans="1:18" x14ac:dyDescent="0.25">
      <c r="A982" t="s">
        <v>1075</v>
      </c>
      <c r="B982" s="1">
        <v>45357</v>
      </c>
      <c r="C982" t="s">
        <v>156</v>
      </c>
      <c r="D982" t="s">
        <v>27</v>
      </c>
      <c r="E982">
        <v>5</v>
      </c>
      <c r="F982" s="2">
        <v>49.99</v>
      </c>
      <c r="G982">
        <v>15</v>
      </c>
      <c r="H982" s="2">
        <v>42.49</v>
      </c>
      <c r="I982" s="2">
        <v>212.45</v>
      </c>
      <c r="J982" t="s">
        <v>19</v>
      </c>
      <c r="K982" t="s">
        <v>20</v>
      </c>
      <c r="L982" t="s">
        <v>21</v>
      </c>
      <c r="M982" t="s">
        <v>84</v>
      </c>
      <c r="N982" t="s">
        <v>85</v>
      </c>
      <c r="O982" t="s">
        <v>35</v>
      </c>
      <c r="P982">
        <v>2</v>
      </c>
      <c r="Q982" s="2">
        <f>Ventas[[#This Row],[precio_base]]*Ventas[[#This Row],[cantidad]]</f>
        <v>249.95000000000002</v>
      </c>
      <c r="R982" s="2">
        <f>Ventas[[#This Row],[Total bruto (antes de descuento)]]-Ventas[[#This Row],[total_venta]]</f>
        <v>37.500000000000028</v>
      </c>
    </row>
    <row r="983" spans="1:18" x14ac:dyDescent="0.25">
      <c r="A983" t="s">
        <v>1076</v>
      </c>
      <c r="B983" s="1">
        <v>45572</v>
      </c>
      <c r="C983" t="s">
        <v>151</v>
      </c>
      <c r="D983" t="s">
        <v>27</v>
      </c>
      <c r="E983">
        <v>2</v>
      </c>
      <c r="F983" s="2">
        <v>599.99</v>
      </c>
      <c r="G983">
        <v>0</v>
      </c>
      <c r="H983" s="2">
        <v>599.99</v>
      </c>
      <c r="I983" s="2">
        <v>1199.98</v>
      </c>
      <c r="J983" t="s">
        <v>19</v>
      </c>
      <c r="K983" t="s">
        <v>20</v>
      </c>
      <c r="L983" t="s">
        <v>45</v>
      </c>
      <c r="M983" t="s">
        <v>73</v>
      </c>
      <c r="N983" t="s">
        <v>74</v>
      </c>
      <c r="O983" t="s">
        <v>35</v>
      </c>
      <c r="P983">
        <v>1</v>
      </c>
      <c r="Q983" s="2">
        <f>Ventas[[#This Row],[precio_base]]*Ventas[[#This Row],[cantidad]]</f>
        <v>1199.98</v>
      </c>
      <c r="R983" s="2">
        <f>Ventas[[#This Row],[Total bruto (antes de descuento)]]-Ventas[[#This Row],[total_venta]]</f>
        <v>0</v>
      </c>
    </row>
    <row r="984" spans="1:18" x14ac:dyDescent="0.25">
      <c r="A984" t="s">
        <v>1077</v>
      </c>
      <c r="B984" s="1">
        <v>45088</v>
      </c>
      <c r="C984" t="s">
        <v>163</v>
      </c>
      <c r="D984" t="s">
        <v>18</v>
      </c>
      <c r="E984">
        <v>5</v>
      </c>
      <c r="F984" s="2">
        <v>499.99</v>
      </c>
      <c r="G984">
        <v>15</v>
      </c>
      <c r="H984" s="2">
        <v>424.99</v>
      </c>
      <c r="I984" s="2">
        <v>2124.9499999999998</v>
      </c>
      <c r="J984" t="s">
        <v>116</v>
      </c>
      <c r="K984" t="s">
        <v>44</v>
      </c>
      <c r="L984" t="s">
        <v>21</v>
      </c>
      <c r="M984" t="s">
        <v>67</v>
      </c>
      <c r="N984" t="s">
        <v>68</v>
      </c>
      <c r="O984" t="s">
        <v>35</v>
      </c>
      <c r="Q984" s="2">
        <f>Ventas[[#This Row],[precio_base]]*Ventas[[#This Row],[cantidad]]</f>
        <v>2499.9499999999998</v>
      </c>
      <c r="R984" s="2">
        <f>Ventas[[#This Row],[Total bruto (antes de descuento)]]-Ventas[[#This Row],[total_venta]]</f>
        <v>375</v>
      </c>
    </row>
    <row r="985" spans="1:18" x14ac:dyDescent="0.25">
      <c r="A985" t="s">
        <v>1078</v>
      </c>
      <c r="B985" s="1">
        <v>45535</v>
      </c>
      <c r="C985" t="s">
        <v>81</v>
      </c>
      <c r="D985" t="s">
        <v>31</v>
      </c>
      <c r="E985">
        <v>4</v>
      </c>
      <c r="F985" s="2">
        <v>189.99</v>
      </c>
      <c r="G985">
        <v>20</v>
      </c>
      <c r="H985" s="2">
        <v>151.99</v>
      </c>
      <c r="I985" s="2">
        <v>607.96</v>
      </c>
      <c r="J985" t="s">
        <v>90</v>
      </c>
      <c r="K985" t="s">
        <v>44</v>
      </c>
      <c r="L985" t="s">
        <v>28</v>
      </c>
      <c r="M985" t="s">
        <v>101</v>
      </c>
      <c r="N985" t="s">
        <v>102</v>
      </c>
      <c r="O985" t="s">
        <v>35</v>
      </c>
      <c r="Q985" s="2">
        <f>Ventas[[#This Row],[precio_base]]*Ventas[[#This Row],[cantidad]]</f>
        <v>759.96</v>
      </c>
      <c r="R985" s="2">
        <f>Ventas[[#This Row],[Total bruto (antes de descuento)]]-Ventas[[#This Row],[total_venta]]</f>
        <v>152</v>
      </c>
    </row>
    <row r="986" spans="1:18" x14ac:dyDescent="0.25">
      <c r="A986" t="s">
        <v>1079</v>
      </c>
      <c r="B986" s="1">
        <v>45193</v>
      </c>
      <c r="C986" t="s">
        <v>205</v>
      </c>
      <c r="D986" t="s">
        <v>18</v>
      </c>
      <c r="E986">
        <v>5</v>
      </c>
      <c r="F986" s="2">
        <v>129.99</v>
      </c>
      <c r="G986">
        <v>20</v>
      </c>
      <c r="H986" s="2">
        <v>103.99</v>
      </c>
      <c r="I986" s="2">
        <v>519.95000000000005</v>
      </c>
      <c r="J986" t="s">
        <v>19</v>
      </c>
      <c r="K986" t="s">
        <v>20</v>
      </c>
      <c r="L986" t="s">
        <v>45</v>
      </c>
      <c r="M986" t="s">
        <v>58</v>
      </c>
      <c r="N986" t="s">
        <v>59</v>
      </c>
      <c r="O986" t="s">
        <v>24</v>
      </c>
      <c r="P986">
        <v>2</v>
      </c>
      <c r="Q986" s="2">
        <f>Ventas[[#This Row],[precio_base]]*Ventas[[#This Row],[cantidad]]</f>
        <v>649.95000000000005</v>
      </c>
      <c r="R986" s="2">
        <f>Ventas[[#This Row],[Total bruto (antes de descuento)]]-Ventas[[#This Row],[total_venta]]</f>
        <v>130</v>
      </c>
    </row>
    <row r="987" spans="1:18" x14ac:dyDescent="0.25">
      <c r="A987" t="s">
        <v>1080</v>
      </c>
      <c r="B987" s="1">
        <v>45329</v>
      </c>
      <c r="C987" t="s">
        <v>130</v>
      </c>
      <c r="D987" t="s">
        <v>43</v>
      </c>
      <c r="E987">
        <v>4</v>
      </c>
      <c r="F987" s="2">
        <v>24.99</v>
      </c>
      <c r="G987">
        <v>20</v>
      </c>
      <c r="H987" s="2">
        <v>19.989999999999998</v>
      </c>
      <c r="I987" s="2">
        <v>79.959999999999994</v>
      </c>
      <c r="J987" t="s">
        <v>62</v>
      </c>
      <c r="K987" t="s">
        <v>20</v>
      </c>
      <c r="L987" t="s">
        <v>21</v>
      </c>
      <c r="M987" t="s">
        <v>22</v>
      </c>
      <c r="N987" t="s">
        <v>23</v>
      </c>
      <c r="O987" t="s">
        <v>24</v>
      </c>
      <c r="Q987" s="2">
        <f>Ventas[[#This Row],[precio_base]]*Ventas[[#This Row],[cantidad]]</f>
        <v>99.96</v>
      </c>
      <c r="R987" s="2">
        <f>Ventas[[#This Row],[Total bruto (antes de descuento)]]-Ventas[[#This Row],[total_venta]]</f>
        <v>20</v>
      </c>
    </row>
    <row r="988" spans="1:18" x14ac:dyDescent="0.25">
      <c r="A988" t="s">
        <v>1081</v>
      </c>
      <c r="B988" s="1">
        <v>45498</v>
      </c>
      <c r="C988" t="s">
        <v>72</v>
      </c>
      <c r="D988" t="s">
        <v>31</v>
      </c>
      <c r="E988">
        <v>5</v>
      </c>
      <c r="F988" s="2">
        <v>29.99</v>
      </c>
      <c r="G988">
        <v>15</v>
      </c>
      <c r="H988" s="2">
        <v>25.49</v>
      </c>
      <c r="I988" s="2">
        <v>127.45</v>
      </c>
      <c r="J988" t="s">
        <v>19</v>
      </c>
      <c r="K988" t="s">
        <v>57</v>
      </c>
      <c r="L988" t="s">
        <v>21</v>
      </c>
      <c r="M988" t="s">
        <v>95</v>
      </c>
      <c r="N988" t="s">
        <v>96</v>
      </c>
      <c r="O988" t="s">
        <v>48</v>
      </c>
      <c r="P988">
        <v>2</v>
      </c>
      <c r="Q988" s="2">
        <f>Ventas[[#This Row],[precio_base]]*Ventas[[#This Row],[cantidad]]</f>
        <v>149.94999999999999</v>
      </c>
      <c r="R988" s="2">
        <f>Ventas[[#This Row],[Total bruto (antes de descuento)]]-Ventas[[#This Row],[total_venta]]</f>
        <v>22.499999999999986</v>
      </c>
    </row>
    <row r="989" spans="1:18" x14ac:dyDescent="0.25">
      <c r="A989" t="s">
        <v>1082</v>
      </c>
      <c r="B989" s="1">
        <v>44977</v>
      </c>
      <c r="C989" t="s">
        <v>109</v>
      </c>
      <c r="D989" t="s">
        <v>38</v>
      </c>
      <c r="E989">
        <v>5</v>
      </c>
      <c r="F989" s="2">
        <v>39.99</v>
      </c>
      <c r="G989">
        <v>5</v>
      </c>
      <c r="H989" s="2">
        <v>37.99</v>
      </c>
      <c r="I989" s="2">
        <v>189.95</v>
      </c>
      <c r="J989" t="s">
        <v>51</v>
      </c>
      <c r="K989" t="s">
        <v>20</v>
      </c>
      <c r="L989" t="s">
        <v>45</v>
      </c>
      <c r="M989" t="s">
        <v>63</v>
      </c>
      <c r="N989" t="s">
        <v>34</v>
      </c>
      <c r="O989" t="s">
        <v>24</v>
      </c>
      <c r="Q989" s="2">
        <f>Ventas[[#This Row],[precio_base]]*Ventas[[#This Row],[cantidad]]</f>
        <v>199.95000000000002</v>
      </c>
      <c r="R989" s="2">
        <f>Ventas[[#This Row],[Total bruto (antes de descuento)]]-Ventas[[#This Row],[total_venta]]</f>
        <v>10.000000000000028</v>
      </c>
    </row>
    <row r="990" spans="1:18" x14ac:dyDescent="0.25">
      <c r="A990" t="s">
        <v>1083</v>
      </c>
      <c r="B990" s="1">
        <v>45507</v>
      </c>
      <c r="C990" t="s">
        <v>17</v>
      </c>
      <c r="D990" t="s">
        <v>18</v>
      </c>
      <c r="E990">
        <v>1</v>
      </c>
      <c r="F990" s="2">
        <v>45.99</v>
      </c>
      <c r="G990">
        <v>15</v>
      </c>
      <c r="H990" s="2">
        <v>39.090000000000003</v>
      </c>
      <c r="I990" s="2">
        <v>39.090000000000003</v>
      </c>
      <c r="J990" t="s">
        <v>19</v>
      </c>
      <c r="K990" t="s">
        <v>52</v>
      </c>
      <c r="L990" t="s">
        <v>45</v>
      </c>
      <c r="M990" t="s">
        <v>39</v>
      </c>
      <c r="N990" t="s">
        <v>40</v>
      </c>
      <c r="O990" t="s">
        <v>35</v>
      </c>
      <c r="P990">
        <v>4</v>
      </c>
      <c r="Q990" s="2">
        <f>Ventas[[#This Row],[precio_base]]*Ventas[[#This Row],[cantidad]]</f>
        <v>45.99</v>
      </c>
      <c r="R990" s="2">
        <f>Ventas[[#This Row],[Total bruto (antes de descuento)]]-Ventas[[#This Row],[total_venta]]</f>
        <v>6.8999999999999986</v>
      </c>
    </row>
    <row r="991" spans="1:18" x14ac:dyDescent="0.25">
      <c r="A991" t="s">
        <v>1084</v>
      </c>
      <c r="B991" s="1">
        <v>45048</v>
      </c>
      <c r="C991" t="s">
        <v>163</v>
      </c>
      <c r="D991" t="s">
        <v>18</v>
      </c>
      <c r="E991">
        <v>2</v>
      </c>
      <c r="F991" s="2">
        <v>499.99</v>
      </c>
      <c r="G991">
        <v>0</v>
      </c>
      <c r="H991" s="2">
        <v>499.99</v>
      </c>
      <c r="I991" s="2">
        <v>999.98</v>
      </c>
      <c r="J991" t="s">
        <v>90</v>
      </c>
      <c r="K991" t="s">
        <v>52</v>
      </c>
      <c r="L991" t="s">
        <v>21</v>
      </c>
      <c r="M991" t="s">
        <v>67</v>
      </c>
      <c r="N991" t="s">
        <v>68</v>
      </c>
      <c r="O991" t="s">
        <v>35</v>
      </c>
      <c r="Q991" s="2">
        <f>Ventas[[#This Row],[precio_base]]*Ventas[[#This Row],[cantidad]]</f>
        <v>999.98</v>
      </c>
      <c r="R991" s="2">
        <f>Ventas[[#This Row],[Total bruto (antes de descuento)]]-Ventas[[#This Row],[total_venta]]</f>
        <v>0</v>
      </c>
    </row>
    <row r="992" spans="1:18" x14ac:dyDescent="0.25">
      <c r="A992" t="s">
        <v>1085</v>
      </c>
      <c r="B992" s="1">
        <v>45433</v>
      </c>
      <c r="C992" t="s">
        <v>109</v>
      </c>
      <c r="D992" t="s">
        <v>38</v>
      </c>
      <c r="E992">
        <v>2</v>
      </c>
      <c r="F992" s="2">
        <v>39.99</v>
      </c>
      <c r="G992">
        <v>5</v>
      </c>
      <c r="H992" s="2">
        <v>37.99</v>
      </c>
      <c r="I992" s="2">
        <v>75.98</v>
      </c>
      <c r="J992" t="s">
        <v>62</v>
      </c>
      <c r="K992" t="s">
        <v>20</v>
      </c>
      <c r="L992" t="s">
        <v>32</v>
      </c>
      <c r="M992" t="s">
        <v>33</v>
      </c>
      <c r="N992" t="s">
        <v>34</v>
      </c>
      <c r="O992" t="s">
        <v>35</v>
      </c>
      <c r="Q992" s="2">
        <f>Ventas[[#This Row],[precio_base]]*Ventas[[#This Row],[cantidad]]</f>
        <v>79.98</v>
      </c>
      <c r="R992" s="2">
        <f>Ventas[[#This Row],[Total bruto (antes de descuento)]]-Ventas[[#This Row],[total_venta]]</f>
        <v>4</v>
      </c>
    </row>
    <row r="993" spans="1:18" x14ac:dyDescent="0.25">
      <c r="A993" t="s">
        <v>1086</v>
      </c>
      <c r="B993" s="1">
        <v>45620</v>
      </c>
      <c r="C993" t="s">
        <v>115</v>
      </c>
      <c r="D993" t="s">
        <v>18</v>
      </c>
      <c r="E993">
        <v>4</v>
      </c>
      <c r="F993" s="2">
        <v>799.99</v>
      </c>
      <c r="G993">
        <v>0</v>
      </c>
      <c r="H993" s="2">
        <v>799.99</v>
      </c>
      <c r="I993" s="2">
        <v>3199.96</v>
      </c>
      <c r="J993" t="s">
        <v>19</v>
      </c>
      <c r="K993" t="s">
        <v>20</v>
      </c>
      <c r="L993" t="s">
        <v>152</v>
      </c>
      <c r="M993" t="s">
        <v>63</v>
      </c>
      <c r="N993" t="s">
        <v>34</v>
      </c>
      <c r="O993" t="s">
        <v>24</v>
      </c>
      <c r="P993">
        <v>2</v>
      </c>
      <c r="Q993" s="2">
        <f>Ventas[[#This Row],[precio_base]]*Ventas[[#This Row],[cantidad]]</f>
        <v>3199.96</v>
      </c>
      <c r="R993" s="2">
        <f>Ventas[[#This Row],[Total bruto (antes de descuento)]]-Ventas[[#This Row],[total_venta]]</f>
        <v>0</v>
      </c>
    </row>
    <row r="994" spans="1:18" x14ac:dyDescent="0.25">
      <c r="A994" t="s">
        <v>1087</v>
      </c>
      <c r="B994" s="1">
        <v>45559</v>
      </c>
      <c r="C994" t="s">
        <v>151</v>
      </c>
      <c r="D994" t="s">
        <v>27</v>
      </c>
      <c r="E994">
        <v>2</v>
      </c>
      <c r="F994" s="2">
        <v>599.99</v>
      </c>
      <c r="G994">
        <v>0</v>
      </c>
      <c r="H994" s="2">
        <v>599.99</v>
      </c>
      <c r="I994" s="2">
        <v>1199.98</v>
      </c>
      <c r="J994" t="s">
        <v>19</v>
      </c>
      <c r="K994" t="s">
        <v>44</v>
      </c>
      <c r="L994" t="s">
        <v>21</v>
      </c>
      <c r="M994" t="s">
        <v>73</v>
      </c>
      <c r="N994" t="s">
        <v>74</v>
      </c>
      <c r="O994" t="s">
        <v>35</v>
      </c>
      <c r="P994">
        <v>2</v>
      </c>
      <c r="Q994" s="2">
        <f>Ventas[[#This Row],[precio_base]]*Ventas[[#This Row],[cantidad]]</f>
        <v>1199.98</v>
      </c>
      <c r="R994" s="2">
        <f>Ventas[[#This Row],[Total bruto (antes de descuento)]]-Ventas[[#This Row],[total_venta]]</f>
        <v>0</v>
      </c>
    </row>
    <row r="995" spans="1:18" x14ac:dyDescent="0.25">
      <c r="A995" t="s">
        <v>1088</v>
      </c>
      <c r="B995" s="1">
        <v>45258</v>
      </c>
      <c r="C995" t="s">
        <v>30</v>
      </c>
      <c r="D995" t="s">
        <v>31</v>
      </c>
      <c r="E995">
        <v>4</v>
      </c>
      <c r="F995" s="2">
        <v>299.99</v>
      </c>
      <c r="G995">
        <v>15</v>
      </c>
      <c r="H995" s="2">
        <v>254.99</v>
      </c>
      <c r="I995" s="2">
        <v>1019.96</v>
      </c>
      <c r="J995" t="s">
        <v>19</v>
      </c>
      <c r="K995" t="s">
        <v>44</v>
      </c>
      <c r="L995" t="s">
        <v>28</v>
      </c>
      <c r="M995" t="s">
        <v>120</v>
      </c>
      <c r="N995" t="s">
        <v>23</v>
      </c>
      <c r="O995" t="s">
        <v>24</v>
      </c>
      <c r="P995">
        <v>3</v>
      </c>
      <c r="Q995" s="2">
        <f>Ventas[[#This Row],[precio_base]]*Ventas[[#This Row],[cantidad]]</f>
        <v>1199.96</v>
      </c>
      <c r="R995" s="2">
        <f>Ventas[[#This Row],[Total bruto (antes de descuento)]]-Ventas[[#This Row],[total_venta]]</f>
        <v>180</v>
      </c>
    </row>
    <row r="996" spans="1:18" x14ac:dyDescent="0.25">
      <c r="A996" t="s">
        <v>1089</v>
      </c>
      <c r="B996" s="1">
        <v>45001</v>
      </c>
      <c r="C996" t="s">
        <v>17</v>
      </c>
      <c r="D996" t="s">
        <v>18</v>
      </c>
      <c r="E996">
        <v>5</v>
      </c>
      <c r="F996" s="2">
        <v>45.99</v>
      </c>
      <c r="G996">
        <v>0</v>
      </c>
      <c r="H996" s="2">
        <v>45.99</v>
      </c>
      <c r="I996" s="2">
        <v>229.95</v>
      </c>
      <c r="J996" t="s">
        <v>19</v>
      </c>
      <c r="K996" t="s">
        <v>20</v>
      </c>
      <c r="L996" t="s">
        <v>152</v>
      </c>
      <c r="M996" t="s">
        <v>53</v>
      </c>
      <c r="N996" t="s">
        <v>54</v>
      </c>
      <c r="O996" t="s">
        <v>35</v>
      </c>
      <c r="P996">
        <v>5</v>
      </c>
      <c r="Q996" s="2">
        <f>Ventas[[#This Row],[precio_base]]*Ventas[[#This Row],[cantidad]]</f>
        <v>229.95000000000002</v>
      </c>
      <c r="R996" s="2">
        <f>Ventas[[#This Row],[Total bruto (antes de descuento)]]-Ventas[[#This Row],[total_venta]]</f>
        <v>0</v>
      </c>
    </row>
    <row r="997" spans="1:18" x14ac:dyDescent="0.25">
      <c r="A997" t="s">
        <v>1090</v>
      </c>
      <c r="B997" s="1">
        <v>45613</v>
      </c>
      <c r="C997" t="s">
        <v>70</v>
      </c>
      <c r="D997" t="s">
        <v>31</v>
      </c>
      <c r="E997">
        <v>5</v>
      </c>
      <c r="F997" s="2">
        <v>59.99</v>
      </c>
      <c r="G997">
        <v>15</v>
      </c>
      <c r="H997" s="2">
        <v>50.99</v>
      </c>
      <c r="I997" s="2">
        <v>254.95</v>
      </c>
      <c r="J997" t="s">
        <v>51</v>
      </c>
      <c r="K997" t="s">
        <v>20</v>
      </c>
      <c r="L997" t="s">
        <v>45</v>
      </c>
      <c r="M997" t="s">
        <v>46</v>
      </c>
      <c r="N997" t="s">
        <v>47</v>
      </c>
      <c r="O997" t="s">
        <v>48</v>
      </c>
      <c r="Q997" s="2">
        <f>Ventas[[#This Row],[precio_base]]*Ventas[[#This Row],[cantidad]]</f>
        <v>299.95</v>
      </c>
      <c r="R997" s="2">
        <f>Ventas[[#This Row],[Total bruto (antes de descuento)]]-Ventas[[#This Row],[total_venta]]</f>
        <v>45</v>
      </c>
    </row>
    <row r="998" spans="1:18" x14ac:dyDescent="0.25">
      <c r="A998" t="s">
        <v>1091</v>
      </c>
      <c r="B998" s="1">
        <v>45317</v>
      </c>
      <c r="C998" t="s">
        <v>83</v>
      </c>
      <c r="D998" t="s">
        <v>38</v>
      </c>
      <c r="E998">
        <v>4</v>
      </c>
      <c r="F998" s="2">
        <v>49.99</v>
      </c>
      <c r="G998">
        <v>15</v>
      </c>
      <c r="H998" s="2">
        <v>42.49</v>
      </c>
      <c r="I998" s="2">
        <v>169.96</v>
      </c>
      <c r="J998" t="s">
        <v>19</v>
      </c>
      <c r="K998" t="s">
        <v>44</v>
      </c>
      <c r="L998" t="s">
        <v>45</v>
      </c>
      <c r="M998" t="s">
        <v>53</v>
      </c>
      <c r="N998" t="s">
        <v>54</v>
      </c>
      <c r="O998" t="s">
        <v>35</v>
      </c>
      <c r="P998">
        <v>3</v>
      </c>
      <c r="Q998" s="2">
        <f>Ventas[[#This Row],[precio_base]]*Ventas[[#This Row],[cantidad]]</f>
        <v>199.96</v>
      </c>
      <c r="R998" s="2">
        <f>Ventas[[#This Row],[Total bruto (antes de descuento)]]-Ventas[[#This Row],[total_venta]]</f>
        <v>30</v>
      </c>
    </row>
    <row r="999" spans="1:18" x14ac:dyDescent="0.25">
      <c r="A999" t="s">
        <v>1092</v>
      </c>
      <c r="B999" s="1">
        <v>45100</v>
      </c>
      <c r="C999" t="s">
        <v>87</v>
      </c>
      <c r="D999" t="s">
        <v>27</v>
      </c>
      <c r="E999">
        <v>4</v>
      </c>
      <c r="F999" s="2">
        <v>249.99</v>
      </c>
      <c r="G999">
        <v>0</v>
      </c>
      <c r="H999" s="2">
        <v>249.99</v>
      </c>
      <c r="I999" s="2">
        <v>999.96</v>
      </c>
      <c r="J999" t="s">
        <v>62</v>
      </c>
      <c r="K999" t="s">
        <v>20</v>
      </c>
      <c r="L999" t="s">
        <v>28</v>
      </c>
      <c r="M999" t="s">
        <v>63</v>
      </c>
      <c r="N999" t="s">
        <v>34</v>
      </c>
      <c r="O999" t="s">
        <v>24</v>
      </c>
      <c r="Q999" s="2">
        <f>Ventas[[#This Row],[precio_base]]*Ventas[[#This Row],[cantidad]]</f>
        <v>999.96</v>
      </c>
      <c r="R999" s="2">
        <f>Ventas[[#This Row],[Total bruto (antes de descuento)]]-Ventas[[#This Row],[total_venta]]</f>
        <v>0</v>
      </c>
    </row>
    <row r="1000" spans="1:18" x14ac:dyDescent="0.25">
      <c r="A1000" t="s">
        <v>1093</v>
      </c>
      <c r="B1000" s="1">
        <v>45370</v>
      </c>
      <c r="C1000" t="s">
        <v>78</v>
      </c>
      <c r="D1000" t="s">
        <v>18</v>
      </c>
      <c r="E1000">
        <v>3</v>
      </c>
      <c r="F1000" s="2">
        <v>349.99</v>
      </c>
      <c r="G1000">
        <v>0</v>
      </c>
      <c r="H1000" s="2">
        <v>349.99</v>
      </c>
      <c r="I1000" s="2">
        <v>1049.97</v>
      </c>
      <c r="J1000" t="s">
        <v>19</v>
      </c>
      <c r="K1000" t="s">
        <v>44</v>
      </c>
      <c r="L1000" t="s">
        <v>152</v>
      </c>
      <c r="M1000" t="s">
        <v>63</v>
      </c>
      <c r="N1000" t="s">
        <v>34</v>
      </c>
      <c r="O1000" t="s">
        <v>24</v>
      </c>
      <c r="P1000">
        <v>3</v>
      </c>
      <c r="Q1000" s="2">
        <f>Ventas[[#This Row],[precio_base]]*Ventas[[#This Row],[cantidad]]</f>
        <v>1049.97</v>
      </c>
      <c r="R1000" s="2">
        <f>Ventas[[#This Row],[Total bruto (antes de descuento)]]-Ventas[[#This Row],[total_venta]]</f>
        <v>0</v>
      </c>
    </row>
    <row r="1001" spans="1:18" x14ac:dyDescent="0.25">
      <c r="A1001" t="s">
        <v>1094</v>
      </c>
      <c r="B1001" s="1">
        <v>45296</v>
      </c>
      <c r="C1001" t="s">
        <v>122</v>
      </c>
      <c r="D1001" t="s">
        <v>43</v>
      </c>
      <c r="E1001">
        <v>4</v>
      </c>
      <c r="F1001" s="2">
        <v>44.99</v>
      </c>
      <c r="G1001">
        <v>0</v>
      </c>
      <c r="H1001" s="2">
        <v>44.99</v>
      </c>
      <c r="I1001" s="2">
        <v>179.96</v>
      </c>
      <c r="J1001" t="s">
        <v>90</v>
      </c>
      <c r="K1001" t="s">
        <v>44</v>
      </c>
      <c r="L1001" t="s">
        <v>28</v>
      </c>
      <c r="M1001" t="s">
        <v>58</v>
      </c>
      <c r="N1001" t="s">
        <v>59</v>
      </c>
      <c r="O1001" t="s">
        <v>24</v>
      </c>
      <c r="Q1001" s="2">
        <f>Ventas[[#This Row],[precio_base]]*Ventas[[#This Row],[cantidad]]</f>
        <v>179.96</v>
      </c>
      <c r="R1001" s="2">
        <f>Ventas[[#This Row],[Total bruto (antes de descuento)]]-Ventas[[#This Row],[total_venta]]</f>
        <v>0</v>
      </c>
    </row>
    <row r="1002" spans="1:18" x14ac:dyDescent="0.25">
      <c r="A1002" t="s">
        <v>1095</v>
      </c>
      <c r="B1002" s="1">
        <v>45197</v>
      </c>
      <c r="C1002" t="s">
        <v>87</v>
      </c>
      <c r="D1002" t="s">
        <v>27</v>
      </c>
      <c r="E1002">
        <v>3</v>
      </c>
      <c r="F1002" s="2">
        <v>249.99</v>
      </c>
      <c r="G1002">
        <v>5</v>
      </c>
      <c r="H1002" s="2">
        <v>237.49</v>
      </c>
      <c r="I1002" s="2">
        <v>712.47</v>
      </c>
      <c r="J1002" t="s">
        <v>62</v>
      </c>
      <c r="K1002" t="s">
        <v>44</v>
      </c>
      <c r="L1002" t="s">
        <v>45</v>
      </c>
      <c r="M1002" t="s">
        <v>123</v>
      </c>
      <c r="N1002" t="s">
        <v>124</v>
      </c>
      <c r="O1002" t="s">
        <v>24</v>
      </c>
      <c r="Q1002" s="2">
        <f>Ventas[[#This Row],[precio_base]]*Ventas[[#This Row],[cantidad]]</f>
        <v>749.97</v>
      </c>
      <c r="R1002" s="2">
        <f>Ventas[[#This Row],[Total bruto (antes de descuento)]]-Ventas[[#This Row],[total_venta]]</f>
        <v>37.5</v>
      </c>
    </row>
    <row r="1003" spans="1:18" x14ac:dyDescent="0.25">
      <c r="A1003" t="s">
        <v>1096</v>
      </c>
      <c r="B1003" s="1">
        <v>45081</v>
      </c>
      <c r="C1003" t="s">
        <v>50</v>
      </c>
      <c r="D1003" t="s">
        <v>27</v>
      </c>
      <c r="E1003">
        <v>4</v>
      </c>
      <c r="F1003" s="2">
        <v>149.99</v>
      </c>
      <c r="G1003">
        <v>0</v>
      </c>
      <c r="H1003" s="2">
        <v>149.99</v>
      </c>
      <c r="I1003" s="2">
        <v>599.96</v>
      </c>
      <c r="J1003" t="s">
        <v>19</v>
      </c>
      <c r="K1003" t="s">
        <v>20</v>
      </c>
      <c r="L1003" t="s">
        <v>21</v>
      </c>
      <c r="M1003" t="s">
        <v>46</v>
      </c>
      <c r="N1003" t="s">
        <v>47</v>
      </c>
      <c r="O1003" t="s">
        <v>48</v>
      </c>
      <c r="P1003">
        <v>3</v>
      </c>
      <c r="Q1003" s="2">
        <f>Ventas[[#This Row],[precio_base]]*Ventas[[#This Row],[cantidad]]</f>
        <v>599.96</v>
      </c>
      <c r="R1003" s="2">
        <f>Ventas[[#This Row],[Total bruto (antes de descuento)]]-Ventas[[#This Row],[total_venta]]</f>
        <v>0</v>
      </c>
    </row>
    <row r="1004" spans="1:18" x14ac:dyDescent="0.25">
      <c r="A1004" t="s">
        <v>1097</v>
      </c>
      <c r="B1004" s="1">
        <v>45094</v>
      </c>
      <c r="C1004" t="s">
        <v>30</v>
      </c>
      <c r="D1004" t="s">
        <v>31</v>
      </c>
      <c r="E1004">
        <v>4</v>
      </c>
      <c r="F1004" s="2">
        <v>299.99</v>
      </c>
      <c r="G1004">
        <v>5</v>
      </c>
      <c r="H1004" s="2">
        <v>284.99</v>
      </c>
      <c r="I1004" s="2">
        <v>1139.96</v>
      </c>
      <c r="J1004" t="s">
        <v>19</v>
      </c>
      <c r="K1004" t="s">
        <v>52</v>
      </c>
      <c r="L1004" t="s">
        <v>21</v>
      </c>
      <c r="M1004" t="s">
        <v>53</v>
      </c>
      <c r="N1004" t="s">
        <v>54</v>
      </c>
      <c r="O1004" t="s">
        <v>35</v>
      </c>
      <c r="P1004">
        <v>3</v>
      </c>
      <c r="Q1004" s="2">
        <f>Ventas[[#This Row],[precio_base]]*Ventas[[#This Row],[cantidad]]</f>
        <v>1199.96</v>
      </c>
      <c r="R1004" s="2">
        <f>Ventas[[#This Row],[Total bruto (antes de descuento)]]-Ventas[[#This Row],[total_venta]]</f>
        <v>60</v>
      </c>
    </row>
    <row r="1005" spans="1:18" x14ac:dyDescent="0.25">
      <c r="A1005" t="s">
        <v>1098</v>
      </c>
      <c r="B1005" s="1">
        <v>45653</v>
      </c>
      <c r="C1005" t="s">
        <v>50</v>
      </c>
      <c r="D1005" t="s">
        <v>27</v>
      </c>
      <c r="E1005">
        <v>4</v>
      </c>
      <c r="F1005" s="2">
        <v>149.99</v>
      </c>
      <c r="G1005">
        <v>5</v>
      </c>
      <c r="H1005" s="2">
        <v>142.49</v>
      </c>
      <c r="I1005" s="2">
        <v>569.96</v>
      </c>
      <c r="J1005" t="s">
        <v>19</v>
      </c>
      <c r="K1005" t="s">
        <v>44</v>
      </c>
      <c r="L1005" t="s">
        <v>21</v>
      </c>
      <c r="M1005" t="s">
        <v>67</v>
      </c>
      <c r="N1005" t="s">
        <v>68</v>
      </c>
      <c r="O1005" t="s">
        <v>35</v>
      </c>
      <c r="P1005">
        <v>3</v>
      </c>
      <c r="Q1005" s="2">
        <f>Ventas[[#This Row],[precio_base]]*Ventas[[#This Row],[cantidad]]</f>
        <v>599.96</v>
      </c>
      <c r="R1005" s="2">
        <f>Ventas[[#This Row],[Total bruto (antes de descuento)]]-Ventas[[#This Row],[total_venta]]</f>
        <v>30</v>
      </c>
    </row>
    <row r="1006" spans="1:18" x14ac:dyDescent="0.25">
      <c r="A1006" t="s">
        <v>1099</v>
      </c>
      <c r="B1006" s="1">
        <v>45022</v>
      </c>
      <c r="C1006" t="s">
        <v>115</v>
      </c>
      <c r="D1006" t="s">
        <v>18</v>
      </c>
      <c r="E1006">
        <v>3</v>
      </c>
      <c r="F1006" s="2">
        <v>799.99</v>
      </c>
      <c r="G1006">
        <v>0</v>
      </c>
      <c r="H1006" s="2">
        <v>799.99</v>
      </c>
      <c r="I1006" s="2">
        <v>2399.9699999999998</v>
      </c>
      <c r="J1006" t="s">
        <v>62</v>
      </c>
      <c r="K1006" t="s">
        <v>44</v>
      </c>
      <c r="L1006" t="s">
        <v>21</v>
      </c>
      <c r="M1006" t="s">
        <v>84</v>
      </c>
      <c r="N1006" t="s">
        <v>85</v>
      </c>
      <c r="O1006" t="s">
        <v>35</v>
      </c>
      <c r="Q1006" s="2">
        <f>Ventas[[#This Row],[precio_base]]*Ventas[[#This Row],[cantidad]]</f>
        <v>2399.9700000000003</v>
      </c>
      <c r="R1006" s="2">
        <f>Ventas[[#This Row],[Total bruto (antes de descuento)]]-Ventas[[#This Row],[total_venta]]</f>
        <v>0</v>
      </c>
    </row>
    <row r="1007" spans="1:18" x14ac:dyDescent="0.25">
      <c r="A1007" t="s">
        <v>1100</v>
      </c>
      <c r="B1007" s="1">
        <v>45606</v>
      </c>
      <c r="C1007" t="s">
        <v>26</v>
      </c>
      <c r="D1007" t="s">
        <v>27</v>
      </c>
      <c r="E1007">
        <v>2</v>
      </c>
      <c r="F1007" s="2">
        <v>399.99</v>
      </c>
      <c r="G1007">
        <v>10</v>
      </c>
      <c r="H1007" s="2">
        <v>359.99</v>
      </c>
      <c r="I1007" s="2">
        <v>719.98</v>
      </c>
      <c r="J1007" t="s">
        <v>116</v>
      </c>
      <c r="K1007" t="s">
        <v>44</v>
      </c>
      <c r="L1007" t="s">
        <v>45</v>
      </c>
      <c r="M1007" t="s">
        <v>46</v>
      </c>
      <c r="N1007" t="s">
        <v>47</v>
      </c>
      <c r="O1007" t="s">
        <v>48</v>
      </c>
      <c r="Q1007" s="2">
        <f>Ventas[[#This Row],[precio_base]]*Ventas[[#This Row],[cantidad]]</f>
        <v>799.98</v>
      </c>
      <c r="R1007" s="2">
        <f>Ventas[[#This Row],[Total bruto (antes de descuento)]]-Ventas[[#This Row],[total_venta]]</f>
        <v>80</v>
      </c>
    </row>
    <row r="1008" spans="1:18" x14ac:dyDescent="0.25">
      <c r="A1008" t="s">
        <v>1101</v>
      </c>
      <c r="B1008" s="1">
        <v>45353</v>
      </c>
      <c r="C1008" t="s">
        <v>122</v>
      </c>
      <c r="D1008" t="s">
        <v>43</v>
      </c>
      <c r="E1008">
        <v>1</v>
      </c>
      <c r="F1008" s="2">
        <v>44.99</v>
      </c>
      <c r="G1008">
        <v>0</v>
      </c>
      <c r="H1008" s="2">
        <v>44.99</v>
      </c>
      <c r="I1008" s="2">
        <v>44.99</v>
      </c>
      <c r="J1008" t="s">
        <v>51</v>
      </c>
      <c r="K1008" t="s">
        <v>20</v>
      </c>
      <c r="L1008" t="s">
        <v>21</v>
      </c>
      <c r="M1008" t="s">
        <v>73</v>
      </c>
      <c r="N1008" t="s">
        <v>74</v>
      </c>
      <c r="O1008" t="s">
        <v>35</v>
      </c>
      <c r="Q1008" s="2">
        <f>Ventas[[#This Row],[precio_base]]*Ventas[[#This Row],[cantidad]]</f>
        <v>44.99</v>
      </c>
      <c r="R1008" s="2">
        <f>Ventas[[#This Row],[Total bruto (antes de descuento)]]-Ventas[[#This Row],[total_venta]]</f>
        <v>0</v>
      </c>
    </row>
    <row r="1009" spans="1:18" x14ac:dyDescent="0.25">
      <c r="A1009" t="s">
        <v>1102</v>
      </c>
      <c r="B1009" s="1">
        <v>45218</v>
      </c>
      <c r="C1009" t="s">
        <v>81</v>
      </c>
      <c r="D1009" t="s">
        <v>31</v>
      </c>
      <c r="E1009">
        <v>1</v>
      </c>
      <c r="F1009" s="2">
        <v>189.99</v>
      </c>
      <c r="G1009">
        <v>5</v>
      </c>
      <c r="H1009" s="2">
        <v>180.49</v>
      </c>
      <c r="I1009" s="2">
        <v>180.49</v>
      </c>
      <c r="J1009" t="s">
        <v>19</v>
      </c>
      <c r="K1009" t="s">
        <v>57</v>
      </c>
      <c r="L1009" t="s">
        <v>32</v>
      </c>
      <c r="M1009" t="s">
        <v>53</v>
      </c>
      <c r="N1009" t="s">
        <v>54</v>
      </c>
      <c r="O1009" t="s">
        <v>35</v>
      </c>
      <c r="P1009">
        <v>2</v>
      </c>
      <c r="Q1009" s="2">
        <f>Ventas[[#This Row],[precio_base]]*Ventas[[#This Row],[cantidad]]</f>
        <v>189.99</v>
      </c>
      <c r="R1009" s="2">
        <f>Ventas[[#This Row],[Total bruto (antes de descuento)]]-Ventas[[#This Row],[total_venta]]</f>
        <v>9.5</v>
      </c>
    </row>
    <row r="1010" spans="1:18" x14ac:dyDescent="0.25">
      <c r="A1010" t="s">
        <v>1103</v>
      </c>
      <c r="B1010" s="1">
        <v>44956</v>
      </c>
      <c r="C1010" t="s">
        <v>56</v>
      </c>
      <c r="D1010" t="s">
        <v>18</v>
      </c>
      <c r="E1010">
        <v>4</v>
      </c>
      <c r="F1010" s="2">
        <v>89.99</v>
      </c>
      <c r="G1010">
        <v>20</v>
      </c>
      <c r="H1010" s="2">
        <v>71.989999999999995</v>
      </c>
      <c r="I1010" s="2">
        <v>287.95999999999998</v>
      </c>
      <c r="J1010" t="s">
        <v>51</v>
      </c>
      <c r="K1010" t="s">
        <v>44</v>
      </c>
      <c r="L1010" t="s">
        <v>152</v>
      </c>
      <c r="M1010" t="s">
        <v>101</v>
      </c>
      <c r="N1010" t="s">
        <v>102</v>
      </c>
      <c r="O1010" t="s">
        <v>35</v>
      </c>
      <c r="Q1010" s="2">
        <f>Ventas[[#This Row],[precio_base]]*Ventas[[#This Row],[cantidad]]</f>
        <v>359.96</v>
      </c>
      <c r="R1010" s="2">
        <f>Ventas[[#This Row],[Total bruto (antes de descuento)]]-Ventas[[#This Row],[total_venta]]</f>
        <v>72</v>
      </c>
    </row>
    <row r="1011" spans="1:18" x14ac:dyDescent="0.25">
      <c r="A1011" t="s">
        <v>1104</v>
      </c>
      <c r="B1011" s="1">
        <v>45535</v>
      </c>
      <c r="C1011" t="s">
        <v>81</v>
      </c>
      <c r="D1011" t="s">
        <v>31</v>
      </c>
      <c r="E1011">
        <v>1</v>
      </c>
      <c r="F1011" s="2">
        <v>189.99</v>
      </c>
      <c r="G1011">
        <v>0</v>
      </c>
      <c r="H1011" s="2">
        <v>189.99</v>
      </c>
      <c r="I1011" s="2">
        <v>189.99</v>
      </c>
      <c r="J1011" t="s">
        <v>116</v>
      </c>
      <c r="K1011" t="s">
        <v>44</v>
      </c>
      <c r="L1011" t="s">
        <v>45</v>
      </c>
      <c r="M1011" t="s">
        <v>73</v>
      </c>
      <c r="N1011" t="s">
        <v>74</v>
      </c>
      <c r="O1011" t="s">
        <v>35</v>
      </c>
      <c r="Q1011" s="2">
        <f>Ventas[[#This Row],[precio_base]]*Ventas[[#This Row],[cantidad]]</f>
        <v>189.99</v>
      </c>
      <c r="R1011" s="2">
        <f>Ventas[[#This Row],[Total bruto (antes de descuento)]]-Ventas[[#This Row],[total_venta]]</f>
        <v>0</v>
      </c>
    </row>
    <row r="1012" spans="1:18" x14ac:dyDescent="0.25">
      <c r="A1012" t="s">
        <v>1105</v>
      </c>
      <c r="B1012" s="1">
        <v>45509</v>
      </c>
      <c r="C1012" t="s">
        <v>78</v>
      </c>
      <c r="D1012" t="s">
        <v>18</v>
      </c>
      <c r="E1012">
        <v>2</v>
      </c>
      <c r="F1012" s="2">
        <v>349.99</v>
      </c>
      <c r="G1012">
        <v>20</v>
      </c>
      <c r="H1012" s="2">
        <v>279.99</v>
      </c>
      <c r="I1012" s="2">
        <v>559.98</v>
      </c>
      <c r="J1012" t="s">
        <v>19</v>
      </c>
      <c r="K1012" t="s">
        <v>20</v>
      </c>
      <c r="L1012" t="s">
        <v>28</v>
      </c>
      <c r="M1012" t="s">
        <v>73</v>
      </c>
      <c r="N1012" t="s">
        <v>74</v>
      </c>
      <c r="O1012" t="s">
        <v>35</v>
      </c>
      <c r="P1012">
        <v>1</v>
      </c>
      <c r="Q1012" s="2">
        <f>Ventas[[#This Row],[precio_base]]*Ventas[[#This Row],[cantidad]]</f>
        <v>699.98</v>
      </c>
      <c r="R1012" s="2">
        <f>Ventas[[#This Row],[Total bruto (antes de descuento)]]-Ventas[[#This Row],[total_venta]]</f>
        <v>140</v>
      </c>
    </row>
    <row r="1013" spans="1:18" x14ac:dyDescent="0.25">
      <c r="A1013" t="s">
        <v>1106</v>
      </c>
      <c r="B1013" s="1">
        <v>45487</v>
      </c>
      <c r="C1013" t="s">
        <v>156</v>
      </c>
      <c r="D1013" t="s">
        <v>27</v>
      </c>
      <c r="E1013">
        <v>4</v>
      </c>
      <c r="F1013" s="2">
        <v>49.99</v>
      </c>
      <c r="G1013">
        <v>0</v>
      </c>
      <c r="H1013" s="2">
        <v>49.99</v>
      </c>
      <c r="I1013" s="2">
        <v>199.96</v>
      </c>
      <c r="J1013" t="s">
        <v>19</v>
      </c>
      <c r="K1013" t="s">
        <v>20</v>
      </c>
      <c r="L1013" t="s">
        <v>28</v>
      </c>
      <c r="M1013" t="s">
        <v>63</v>
      </c>
      <c r="N1013" t="s">
        <v>34</v>
      </c>
      <c r="O1013" t="s">
        <v>24</v>
      </c>
      <c r="P1013">
        <v>4</v>
      </c>
      <c r="Q1013" s="2">
        <f>Ventas[[#This Row],[precio_base]]*Ventas[[#This Row],[cantidad]]</f>
        <v>199.96</v>
      </c>
      <c r="R1013" s="2">
        <f>Ventas[[#This Row],[Total bruto (antes de descuento)]]-Ventas[[#This Row],[total_venta]]</f>
        <v>0</v>
      </c>
    </row>
    <row r="1014" spans="1:18" x14ac:dyDescent="0.25">
      <c r="A1014" t="s">
        <v>1107</v>
      </c>
      <c r="B1014" s="1">
        <v>45018</v>
      </c>
      <c r="C1014" t="s">
        <v>104</v>
      </c>
      <c r="D1014" t="s">
        <v>18</v>
      </c>
      <c r="E1014">
        <v>2</v>
      </c>
      <c r="F1014" s="2">
        <v>1199.99</v>
      </c>
      <c r="G1014">
        <v>0</v>
      </c>
      <c r="H1014" s="2">
        <v>1199.99</v>
      </c>
      <c r="I1014" s="2">
        <v>2399.98</v>
      </c>
      <c r="J1014" t="s">
        <v>19</v>
      </c>
      <c r="K1014" t="s">
        <v>20</v>
      </c>
      <c r="L1014" t="s">
        <v>28</v>
      </c>
      <c r="M1014" t="s">
        <v>120</v>
      </c>
      <c r="N1014" t="s">
        <v>23</v>
      </c>
      <c r="O1014" t="s">
        <v>24</v>
      </c>
      <c r="P1014">
        <v>2</v>
      </c>
      <c r="Q1014" s="2">
        <f>Ventas[[#This Row],[precio_base]]*Ventas[[#This Row],[cantidad]]</f>
        <v>2399.98</v>
      </c>
      <c r="R1014" s="2">
        <f>Ventas[[#This Row],[Total bruto (antes de descuento)]]-Ventas[[#This Row],[total_venta]]</f>
        <v>0</v>
      </c>
    </row>
    <row r="1015" spans="1:18" x14ac:dyDescent="0.25">
      <c r="A1015" t="s">
        <v>1108</v>
      </c>
      <c r="B1015" s="1">
        <v>45050</v>
      </c>
      <c r="C1015" t="s">
        <v>83</v>
      </c>
      <c r="D1015" t="s">
        <v>38</v>
      </c>
      <c r="E1015">
        <v>4</v>
      </c>
      <c r="F1015" s="2">
        <v>49.99</v>
      </c>
      <c r="G1015">
        <v>20</v>
      </c>
      <c r="H1015" s="2">
        <v>39.99</v>
      </c>
      <c r="I1015" s="2">
        <v>159.96</v>
      </c>
      <c r="J1015" t="s">
        <v>19</v>
      </c>
      <c r="K1015" t="s">
        <v>52</v>
      </c>
      <c r="L1015" t="s">
        <v>152</v>
      </c>
      <c r="M1015" t="s">
        <v>39</v>
      </c>
      <c r="N1015" t="s">
        <v>40</v>
      </c>
      <c r="O1015" t="s">
        <v>35</v>
      </c>
      <c r="P1015">
        <v>5</v>
      </c>
      <c r="Q1015" s="2">
        <f>Ventas[[#This Row],[precio_base]]*Ventas[[#This Row],[cantidad]]</f>
        <v>199.96</v>
      </c>
      <c r="R1015" s="2">
        <f>Ventas[[#This Row],[Total bruto (antes de descuento)]]-Ventas[[#This Row],[total_venta]]</f>
        <v>40</v>
      </c>
    </row>
    <row r="1016" spans="1:18" x14ac:dyDescent="0.25">
      <c r="A1016" t="s">
        <v>1109</v>
      </c>
      <c r="B1016" s="1">
        <v>45061</v>
      </c>
      <c r="C1016" t="s">
        <v>89</v>
      </c>
      <c r="D1016" t="s">
        <v>38</v>
      </c>
      <c r="E1016">
        <v>1</v>
      </c>
      <c r="F1016" s="2">
        <v>69.989999999999995</v>
      </c>
      <c r="G1016">
        <v>20</v>
      </c>
      <c r="H1016" s="2">
        <v>55.99</v>
      </c>
      <c r="I1016" s="2">
        <v>55.99</v>
      </c>
      <c r="J1016" t="s">
        <v>19</v>
      </c>
      <c r="K1016" t="s">
        <v>44</v>
      </c>
      <c r="L1016" t="s">
        <v>32</v>
      </c>
      <c r="M1016" t="s">
        <v>22</v>
      </c>
      <c r="N1016" t="s">
        <v>23</v>
      </c>
      <c r="O1016" t="s">
        <v>24</v>
      </c>
      <c r="P1016">
        <v>4</v>
      </c>
      <c r="Q1016" s="2">
        <f>Ventas[[#This Row],[precio_base]]*Ventas[[#This Row],[cantidad]]</f>
        <v>69.989999999999995</v>
      </c>
      <c r="R1016" s="2">
        <f>Ventas[[#This Row],[Total bruto (antes de descuento)]]-Ventas[[#This Row],[total_venta]]</f>
        <v>13.999999999999993</v>
      </c>
    </row>
    <row r="1017" spans="1:18" x14ac:dyDescent="0.25">
      <c r="A1017" t="s">
        <v>1110</v>
      </c>
      <c r="B1017" s="1">
        <v>45201</v>
      </c>
      <c r="C1017" t="s">
        <v>26</v>
      </c>
      <c r="D1017" t="s">
        <v>27</v>
      </c>
      <c r="E1017">
        <v>5</v>
      </c>
      <c r="F1017" s="2">
        <v>399.99</v>
      </c>
      <c r="G1017">
        <v>5</v>
      </c>
      <c r="H1017" s="2">
        <v>379.99</v>
      </c>
      <c r="I1017" s="2">
        <v>1899.95</v>
      </c>
      <c r="J1017" t="s">
        <v>19</v>
      </c>
      <c r="K1017" t="s">
        <v>52</v>
      </c>
      <c r="L1017" t="s">
        <v>28</v>
      </c>
      <c r="M1017" t="s">
        <v>120</v>
      </c>
      <c r="N1017" t="s">
        <v>23</v>
      </c>
      <c r="O1017" t="s">
        <v>24</v>
      </c>
      <c r="P1017">
        <v>4</v>
      </c>
      <c r="Q1017" s="2">
        <f>Ventas[[#This Row],[precio_base]]*Ventas[[#This Row],[cantidad]]</f>
        <v>1999.95</v>
      </c>
      <c r="R1017" s="2">
        <f>Ventas[[#This Row],[Total bruto (antes de descuento)]]-Ventas[[#This Row],[total_venta]]</f>
        <v>100</v>
      </c>
    </row>
    <row r="1018" spans="1:18" x14ac:dyDescent="0.25">
      <c r="A1018" t="s">
        <v>1111</v>
      </c>
      <c r="B1018" s="1">
        <v>45572</v>
      </c>
      <c r="C1018" t="s">
        <v>37</v>
      </c>
      <c r="D1018" t="s">
        <v>38</v>
      </c>
      <c r="E1018">
        <v>1</v>
      </c>
      <c r="F1018" s="2">
        <v>34.99</v>
      </c>
      <c r="G1018">
        <v>0</v>
      </c>
      <c r="H1018" s="2">
        <v>34.99</v>
      </c>
      <c r="I1018" s="2">
        <v>34.99</v>
      </c>
      <c r="J1018" t="s">
        <v>19</v>
      </c>
      <c r="K1018" t="s">
        <v>44</v>
      </c>
      <c r="L1018" t="s">
        <v>28</v>
      </c>
      <c r="M1018" t="s">
        <v>101</v>
      </c>
      <c r="N1018" t="s">
        <v>102</v>
      </c>
      <c r="O1018" t="s">
        <v>35</v>
      </c>
      <c r="P1018">
        <v>2</v>
      </c>
      <c r="Q1018" s="2">
        <f>Ventas[[#This Row],[precio_base]]*Ventas[[#This Row],[cantidad]]</f>
        <v>34.99</v>
      </c>
      <c r="R1018" s="2">
        <f>Ventas[[#This Row],[Total bruto (antes de descuento)]]-Ventas[[#This Row],[total_venta]]</f>
        <v>0</v>
      </c>
    </row>
    <row r="1019" spans="1:18" x14ac:dyDescent="0.25">
      <c r="A1019" t="s">
        <v>1112</v>
      </c>
      <c r="B1019" s="1">
        <v>45434</v>
      </c>
      <c r="C1019" t="s">
        <v>87</v>
      </c>
      <c r="D1019" t="s">
        <v>27</v>
      </c>
      <c r="E1019">
        <v>5</v>
      </c>
      <c r="F1019" s="2">
        <v>249.99</v>
      </c>
      <c r="G1019">
        <v>0</v>
      </c>
      <c r="H1019" s="2">
        <v>249.99</v>
      </c>
      <c r="I1019" s="2">
        <v>1249.95</v>
      </c>
      <c r="J1019" t="s">
        <v>19</v>
      </c>
      <c r="K1019" t="s">
        <v>20</v>
      </c>
      <c r="L1019" t="s">
        <v>32</v>
      </c>
      <c r="M1019" t="s">
        <v>120</v>
      </c>
      <c r="N1019" t="s">
        <v>23</v>
      </c>
      <c r="O1019" t="s">
        <v>24</v>
      </c>
      <c r="P1019">
        <v>3</v>
      </c>
      <c r="Q1019" s="2">
        <f>Ventas[[#This Row],[precio_base]]*Ventas[[#This Row],[cantidad]]</f>
        <v>1249.95</v>
      </c>
      <c r="R1019" s="2">
        <f>Ventas[[#This Row],[Total bruto (antes de descuento)]]-Ventas[[#This Row],[total_venta]]</f>
        <v>0</v>
      </c>
    </row>
    <row r="1020" spans="1:18" x14ac:dyDescent="0.25">
      <c r="A1020" t="s">
        <v>1113</v>
      </c>
      <c r="B1020" s="1">
        <v>45079</v>
      </c>
      <c r="C1020" t="s">
        <v>78</v>
      </c>
      <c r="D1020" t="s">
        <v>18</v>
      </c>
      <c r="E1020">
        <v>3</v>
      </c>
      <c r="F1020" s="2">
        <v>349.99</v>
      </c>
      <c r="G1020">
        <v>20</v>
      </c>
      <c r="H1020" s="2">
        <v>279.99</v>
      </c>
      <c r="I1020" s="2">
        <v>839.97</v>
      </c>
      <c r="J1020" t="s">
        <v>19</v>
      </c>
      <c r="K1020" t="s">
        <v>20</v>
      </c>
      <c r="L1020" t="s">
        <v>21</v>
      </c>
      <c r="M1020" t="s">
        <v>120</v>
      </c>
      <c r="N1020" t="s">
        <v>23</v>
      </c>
      <c r="O1020" t="s">
        <v>24</v>
      </c>
      <c r="P1020">
        <v>1</v>
      </c>
      <c r="Q1020" s="2">
        <f>Ventas[[#This Row],[precio_base]]*Ventas[[#This Row],[cantidad]]</f>
        <v>1049.97</v>
      </c>
      <c r="R1020" s="2">
        <f>Ventas[[#This Row],[Total bruto (antes de descuento)]]-Ventas[[#This Row],[total_venta]]</f>
        <v>210</v>
      </c>
    </row>
    <row r="1021" spans="1:18" x14ac:dyDescent="0.25">
      <c r="A1021" t="s">
        <v>1114</v>
      </c>
      <c r="B1021" s="1">
        <v>44973</v>
      </c>
      <c r="C1021" t="s">
        <v>87</v>
      </c>
      <c r="D1021" t="s">
        <v>27</v>
      </c>
      <c r="E1021">
        <v>1</v>
      </c>
      <c r="F1021" s="2">
        <v>249.99</v>
      </c>
      <c r="G1021">
        <v>10</v>
      </c>
      <c r="H1021" s="2">
        <v>224.99</v>
      </c>
      <c r="I1021" s="2">
        <v>224.99</v>
      </c>
      <c r="J1021" t="s">
        <v>19</v>
      </c>
      <c r="K1021" t="s">
        <v>44</v>
      </c>
      <c r="L1021" t="s">
        <v>28</v>
      </c>
      <c r="M1021" t="s">
        <v>95</v>
      </c>
      <c r="N1021" t="s">
        <v>96</v>
      </c>
      <c r="O1021" t="s">
        <v>48</v>
      </c>
      <c r="P1021">
        <v>3</v>
      </c>
      <c r="Q1021" s="2">
        <f>Ventas[[#This Row],[precio_base]]*Ventas[[#This Row],[cantidad]]</f>
        <v>249.99</v>
      </c>
      <c r="R1021" s="2">
        <f>Ventas[[#This Row],[Total bruto (antes de descuento)]]-Ventas[[#This Row],[total_venta]]</f>
        <v>25</v>
      </c>
    </row>
    <row r="1022" spans="1:18" x14ac:dyDescent="0.25">
      <c r="A1022" t="s">
        <v>1115</v>
      </c>
      <c r="B1022" s="1">
        <v>45290</v>
      </c>
      <c r="C1022" t="s">
        <v>61</v>
      </c>
      <c r="D1022" t="s">
        <v>38</v>
      </c>
      <c r="E1022">
        <v>5</v>
      </c>
      <c r="F1022" s="2">
        <v>19.989999999999998</v>
      </c>
      <c r="G1022">
        <v>0</v>
      </c>
      <c r="H1022" s="2">
        <v>19.989999999999998</v>
      </c>
      <c r="I1022" s="2">
        <v>99.95</v>
      </c>
      <c r="J1022" t="s">
        <v>51</v>
      </c>
      <c r="K1022" t="s">
        <v>20</v>
      </c>
      <c r="L1022" t="s">
        <v>28</v>
      </c>
      <c r="M1022" t="s">
        <v>46</v>
      </c>
      <c r="N1022" t="s">
        <v>47</v>
      </c>
      <c r="O1022" t="s">
        <v>48</v>
      </c>
      <c r="Q1022" s="2">
        <f>Ventas[[#This Row],[precio_base]]*Ventas[[#This Row],[cantidad]]</f>
        <v>99.949999999999989</v>
      </c>
      <c r="R1022" s="2">
        <f>Ventas[[#This Row],[Total bruto (antes de descuento)]]-Ventas[[#This Row],[total_venta]]</f>
        <v>0</v>
      </c>
    </row>
    <row r="1023" spans="1:18" x14ac:dyDescent="0.25">
      <c r="A1023" t="s">
        <v>1116</v>
      </c>
      <c r="B1023" s="1">
        <v>45110</v>
      </c>
      <c r="C1023" t="s">
        <v>70</v>
      </c>
      <c r="D1023" t="s">
        <v>31</v>
      </c>
      <c r="E1023">
        <v>2</v>
      </c>
      <c r="F1023" s="2">
        <v>59.99</v>
      </c>
      <c r="G1023">
        <v>20</v>
      </c>
      <c r="H1023" s="2">
        <v>47.99</v>
      </c>
      <c r="I1023" s="2">
        <v>95.98</v>
      </c>
      <c r="J1023" t="s">
        <v>19</v>
      </c>
      <c r="K1023" t="s">
        <v>20</v>
      </c>
      <c r="L1023" t="s">
        <v>28</v>
      </c>
      <c r="M1023" t="s">
        <v>95</v>
      </c>
      <c r="N1023" t="s">
        <v>96</v>
      </c>
      <c r="O1023" t="s">
        <v>48</v>
      </c>
      <c r="P1023">
        <v>3</v>
      </c>
      <c r="Q1023" s="2">
        <f>Ventas[[#This Row],[precio_base]]*Ventas[[#This Row],[cantidad]]</f>
        <v>119.98</v>
      </c>
      <c r="R1023" s="2">
        <f>Ventas[[#This Row],[Total bruto (antes de descuento)]]-Ventas[[#This Row],[total_venta]]</f>
        <v>24</v>
      </c>
    </row>
    <row r="1024" spans="1:18" x14ac:dyDescent="0.25">
      <c r="A1024" t="s">
        <v>1117</v>
      </c>
      <c r="B1024" s="1">
        <v>45528</v>
      </c>
      <c r="C1024" t="s">
        <v>76</v>
      </c>
      <c r="D1024" t="s">
        <v>31</v>
      </c>
      <c r="E1024">
        <v>4</v>
      </c>
      <c r="F1024" s="2">
        <v>69.989999999999995</v>
      </c>
      <c r="G1024">
        <v>20</v>
      </c>
      <c r="H1024" s="2">
        <v>55.99</v>
      </c>
      <c r="I1024" s="2">
        <v>223.96</v>
      </c>
      <c r="J1024" t="s">
        <v>51</v>
      </c>
      <c r="K1024" t="s">
        <v>52</v>
      </c>
      <c r="L1024" t="s">
        <v>21</v>
      </c>
      <c r="M1024" t="s">
        <v>33</v>
      </c>
      <c r="N1024" t="s">
        <v>34</v>
      </c>
      <c r="O1024" t="s">
        <v>35</v>
      </c>
      <c r="Q1024" s="2">
        <f>Ventas[[#This Row],[precio_base]]*Ventas[[#This Row],[cantidad]]</f>
        <v>279.95999999999998</v>
      </c>
      <c r="R1024" s="2">
        <f>Ventas[[#This Row],[Total bruto (antes de descuento)]]-Ventas[[#This Row],[total_venta]]</f>
        <v>55.999999999999972</v>
      </c>
    </row>
    <row r="1025" spans="1:18" x14ac:dyDescent="0.25">
      <c r="A1025" t="s">
        <v>1118</v>
      </c>
      <c r="B1025" s="1">
        <v>45118</v>
      </c>
      <c r="C1025" t="s">
        <v>115</v>
      </c>
      <c r="D1025" t="s">
        <v>18</v>
      </c>
      <c r="E1025">
        <v>2</v>
      </c>
      <c r="F1025" s="2">
        <v>799.99</v>
      </c>
      <c r="G1025">
        <v>0</v>
      </c>
      <c r="H1025" s="2">
        <v>799.99</v>
      </c>
      <c r="I1025" s="2">
        <v>1599.98</v>
      </c>
      <c r="J1025" t="s">
        <v>51</v>
      </c>
      <c r="K1025" t="s">
        <v>20</v>
      </c>
      <c r="L1025" t="s">
        <v>28</v>
      </c>
      <c r="M1025" t="s">
        <v>33</v>
      </c>
      <c r="N1025" t="s">
        <v>34</v>
      </c>
      <c r="O1025" t="s">
        <v>35</v>
      </c>
      <c r="Q1025" s="2">
        <f>Ventas[[#This Row],[precio_base]]*Ventas[[#This Row],[cantidad]]</f>
        <v>1599.98</v>
      </c>
      <c r="R1025" s="2">
        <f>Ventas[[#This Row],[Total bruto (antes de descuento)]]-Ventas[[#This Row],[total_venta]]</f>
        <v>0</v>
      </c>
    </row>
    <row r="1026" spans="1:18" x14ac:dyDescent="0.25">
      <c r="A1026" t="s">
        <v>1119</v>
      </c>
      <c r="B1026" s="1">
        <v>45371</v>
      </c>
      <c r="C1026" t="s">
        <v>50</v>
      </c>
      <c r="D1026" t="s">
        <v>27</v>
      </c>
      <c r="E1026">
        <v>1</v>
      </c>
      <c r="F1026" s="2">
        <v>149.99</v>
      </c>
      <c r="G1026">
        <v>0</v>
      </c>
      <c r="H1026" s="2">
        <v>149.99</v>
      </c>
      <c r="I1026" s="2">
        <v>149.99</v>
      </c>
      <c r="J1026" t="s">
        <v>19</v>
      </c>
      <c r="K1026" t="s">
        <v>20</v>
      </c>
      <c r="L1026" t="s">
        <v>45</v>
      </c>
      <c r="M1026" t="s">
        <v>46</v>
      </c>
      <c r="N1026" t="s">
        <v>47</v>
      </c>
      <c r="O1026" t="s">
        <v>48</v>
      </c>
      <c r="P1026">
        <v>4</v>
      </c>
      <c r="Q1026" s="2">
        <f>Ventas[[#This Row],[precio_base]]*Ventas[[#This Row],[cantidad]]</f>
        <v>149.99</v>
      </c>
      <c r="R1026" s="2">
        <f>Ventas[[#This Row],[Total bruto (antes de descuento)]]-Ventas[[#This Row],[total_venta]]</f>
        <v>0</v>
      </c>
    </row>
    <row r="1027" spans="1:18" x14ac:dyDescent="0.25">
      <c r="A1027" t="s">
        <v>1120</v>
      </c>
      <c r="B1027" s="1">
        <v>45600</v>
      </c>
      <c r="C1027" t="s">
        <v>76</v>
      </c>
      <c r="D1027" t="s">
        <v>31</v>
      </c>
      <c r="E1027">
        <v>5</v>
      </c>
      <c r="F1027" s="2">
        <v>69.989999999999995</v>
      </c>
      <c r="G1027">
        <v>15</v>
      </c>
      <c r="H1027" s="2">
        <v>59.49</v>
      </c>
      <c r="I1027" s="2">
        <v>297.45</v>
      </c>
      <c r="J1027" t="s">
        <v>19</v>
      </c>
      <c r="K1027" t="s">
        <v>52</v>
      </c>
      <c r="L1027" t="s">
        <v>28</v>
      </c>
      <c r="M1027" t="s">
        <v>33</v>
      </c>
      <c r="N1027" t="s">
        <v>34</v>
      </c>
      <c r="O1027" t="s">
        <v>35</v>
      </c>
      <c r="P1027">
        <v>4</v>
      </c>
      <c r="Q1027" s="2">
        <f>Ventas[[#This Row],[precio_base]]*Ventas[[#This Row],[cantidad]]</f>
        <v>349.95</v>
      </c>
      <c r="R1027" s="2">
        <f>Ventas[[#This Row],[Total bruto (antes de descuento)]]-Ventas[[#This Row],[total_venta]]</f>
        <v>52.5</v>
      </c>
    </row>
    <row r="1028" spans="1:18" x14ac:dyDescent="0.25">
      <c r="A1028" t="s">
        <v>1121</v>
      </c>
      <c r="B1028" s="1">
        <v>45236</v>
      </c>
      <c r="C1028" t="s">
        <v>56</v>
      </c>
      <c r="D1028" t="s">
        <v>18</v>
      </c>
      <c r="E1028">
        <v>2</v>
      </c>
      <c r="F1028" s="2">
        <v>89.99</v>
      </c>
      <c r="G1028">
        <v>0</v>
      </c>
      <c r="H1028" s="2">
        <v>89.99</v>
      </c>
      <c r="I1028" s="2">
        <v>179.98</v>
      </c>
      <c r="J1028" t="s">
        <v>19</v>
      </c>
      <c r="K1028" t="s">
        <v>52</v>
      </c>
      <c r="L1028" t="s">
        <v>28</v>
      </c>
      <c r="M1028" t="s">
        <v>95</v>
      </c>
      <c r="N1028" t="s">
        <v>96</v>
      </c>
      <c r="O1028" t="s">
        <v>48</v>
      </c>
      <c r="P1028">
        <v>2</v>
      </c>
      <c r="Q1028" s="2">
        <f>Ventas[[#This Row],[precio_base]]*Ventas[[#This Row],[cantidad]]</f>
        <v>179.98</v>
      </c>
      <c r="R1028" s="2">
        <f>Ventas[[#This Row],[Total bruto (antes de descuento)]]-Ventas[[#This Row],[total_venta]]</f>
        <v>0</v>
      </c>
    </row>
    <row r="1029" spans="1:18" x14ac:dyDescent="0.25">
      <c r="A1029" t="s">
        <v>1122</v>
      </c>
      <c r="B1029" s="1">
        <v>44954</v>
      </c>
      <c r="C1029" t="s">
        <v>115</v>
      </c>
      <c r="D1029" t="s">
        <v>18</v>
      </c>
      <c r="E1029">
        <v>4</v>
      </c>
      <c r="F1029" s="2">
        <v>799.99</v>
      </c>
      <c r="G1029">
        <v>15</v>
      </c>
      <c r="H1029" s="2">
        <v>679.99</v>
      </c>
      <c r="I1029" s="2">
        <v>2719.96</v>
      </c>
      <c r="J1029" t="s">
        <v>19</v>
      </c>
      <c r="K1029" t="s">
        <v>20</v>
      </c>
      <c r="L1029" t="s">
        <v>28</v>
      </c>
      <c r="M1029" t="s">
        <v>22</v>
      </c>
      <c r="N1029" t="s">
        <v>23</v>
      </c>
      <c r="O1029" t="s">
        <v>24</v>
      </c>
      <c r="P1029">
        <v>5</v>
      </c>
      <c r="Q1029" s="2">
        <f>Ventas[[#This Row],[precio_base]]*Ventas[[#This Row],[cantidad]]</f>
        <v>3199.96</v>
      </c>
      <c r="R1029" s="2">
        <f>Ventas[[#This Row],[Total bruto (antes de descuento)]]-Ventas[[#This Row],[total_venta]]</f>
        <v>480</v>
      </c>
    </row>
    <row r="1030" spans="1:18" x14ac:dyDescent="0.25">
      <c r="A1030" t="s">
        <v>1123</v>
      </c>
      <c r="B1030" s="1">
        <v>45122</v>
      </c>
      <c r="C1030" t="s">
        <v>56</v>
      </c>
      <c r="D1030" t="s">
        <v>18</v>
      </c>
      <c r="E1030">
        <v>3</v>
      </c>
      <c r="F1030" s="2">
        <v>89.99</v>
      </c>
      <c r="G1030">
        <v>20</v>
      </c>
      <c r="H1030" s="2">
        <v>71.989999999999995</v>
      </c>
      <c r="I1030" s="2">
        <v>215.97</v>
      </c>
      <c r="J1030" t="s">
        <v>19</v>
      </c>
      <c r="K1030" t="s">
        <v>20</v>
      </c>
      <c r="L1030" t="s">
        <v>21</v>
      </c>
      <c r="M1030" t="s">
        <v>101</v>
      </c>
      <c r="N1030" t="s">
        <v>102</v>
      </c>
      <c r="O1030" t="s">
        <v>35</v>
      </c>
      <c r="P1030">
        <v>2</v>
      </c>
      <c r="Q1030" s="2">
        <f>Ventas[[#This Row],[precio_base]]*Ventas[[#This Row],[cantidad]]</f>
        <v>269.96999999999997</v>
      </c>
      <c r="R1030" s="2">
        <f>Ventas[[#This Row],[Total bruto (antes de descuento)]]-Ventas[[#This Row],[total_venta]]</f>
        <v>53.999999999999972</v>
      </c>
    </row>
    <row r="1031" spans="1:18" x14ac:dyDescent="0.25">
      <c r="A1031" t="s">
        <v>1124</v>
      </c>
      <c r="B1031" s="1">
        <v>45646</v>
      </c>
      <c r="C1031" t="s">
        <v>151</v>
      </c>
      <c r="D1031" t="s">
        <v>27</v>
      </c>
      <c r="E1031">
        <v>4</v>
      </c>
      <c r="F1031" s="2">
        <v>599.99</v>
      </c>
      <c r="G1031">
        <v>5</v>
      </c>
      <c r="H1031" s="2">
        <v>569.99</v>
      </c>
      <c r="I1031" s="2">
        <v>2279.96</v>
      </c>
      <c r="J1031" t="s">
        <v>19</v>
      </c>
      <c r="K1031" t="s">
        <v>44</v>
      </c>
      <c r="L1031" t="s">
        <v>21</v>
      </c>
      <c r="M1031" t="s">
        <v>101</v>
      </c>
      <c r="N1031" t="s">
        <v>102</v>
      </c>
      <c r="O1031" t="s">
        <v>35</v>
      </c>
      <c r="P1031">
        <v>5</v>
      </c>
      <c r="Q1031" s="2">
        <f>Ventas[[#This Row],[precio_base]]*Ventas[[#This Row],[cantidad]]</f>
        <v>2399.96</v>
      </c>
      <c r="R1031" s="2">
        <f>Ventas[[#This Row],[Total bruto (antes de descuento)]]-Ventas[[#This Row],[total_venta]]</f>
        <v>120</v>
      </c>
    </row>
    <row r="1032" spans="1:18" x14ac:dyDescent="0.25">
      <c r="A1032" t="s">
        <v>1125</v>
      </c>
      <c r="B1032" s="1">
        <v>45328</v>
      </c>
      <c r="C1032" t="s">
        <v>94</v>
      </c>
      <c r="D1032" t="s">
        <v>18</v>
      </c>
      <c r="E1032">
        <v>3</v>
      </c>
      <c r="F1032" s="2">
        <v>899.99</v>
      </c>
      <c r="G1032">
        <v>0</v>
      </c>
      <c r="H1032" s="2">
        <v>899.99</v>
      </c>
      <c r="I1032" s="2">
        <v>2699.97</v>
      </c>
      <c r="J1032" t="s">
        <v>19</v>
      </c>
      <c r="K1032" t="s">
        <v>44</v>
      </c>
      <c r="L1032" t="s">
        <v>152</v>
      </c>
      <c r="M1032" t="s">
        <v>67</v>
      </c>
      <c r="N1032" t="s">
        <v>68</v>
      </c>
      <c r="O1032" t="s">
        <v>35</v>
      </c>
      <c r="P1032">
        <v>4</v>
      </c>
      <c r="Q1032" s="2">
        <f>Ventas[[#This Row],[precio_base]]*Ventas[[#This Row],[cantidad]]</f>
        <v>2699.9700000000003</v>
      </c>
      <c r="R1032" s="2">
        <f>Ventas[[#This Row],[Total bruto (antes de descuento)]]-Ventas[[#This Row],[total_venta]]</f>
        <v>0</v>
      </c>
    </row>
    <row r="1033" spans="1:18" x14ac:dyDescent="0.25">
      <c r="A1033" t="s">
        <v>1126</v>
      </c>
      <c r="B1033" s="1">
        <v>45519</v>
      </c>
      <c r="C1033" t="s">
        <v>156</v>
      </c>
      <c r="D1033" t="s">
        <v>27</v>
      </c>
      <c r="E1033">
        <v>5</v>
      </c>
      <c r="F1033" s="2">
        <v>49.99</v>
      </c>
      <c r="G1033">
        <v>0</v>
      </c>
      <c r="H1033" s="2">
        <v>49.99</v>
      </c>
      <c r="I1033" s="2">
        <v>249.95</v>
      </c>
      <c r="J1033" t="s">
        <v>19</v>
      </c>
      <c r="K1033" t="s">
        <v>44</v>
      </c>
      <c r="L1033" t="s">
        <v>45</v>
      </c>
      <c r="M1033" t="s">
        <v>120</v>
      </c>
      <c r="N1033" t="s">
        <v>23</v>
      </c>
      <c r="O1033" t="s">
        <v>24</v>
      </c>
      <c r="P1033">
        <v>5</v>
      </c>
      <c r="Q1033" s="2">
        <f>Ventas[[#This Row],[precio_base]]*Ventas[[#This Row],[cantidad]]</f>
        <v>249.95000000000002</v>
      </c>
      <c r="R1033" s="2">
        <f>Ventas[[#This Row],[Total bruto (antes de descuento)]]-Ventas[[#This Row],[total_venta]]</f>
        <v>0</v>
      </c>
    </row>
    <row r="1034" spans="1:18" x14ac:dyDescent="0.25">
      <c r="A1034" t="s">
        <v>1127</v>
      </c>
      <c r="B1034" s="1">
        <v>45621</v>
      </c>
      <c r="C1034" t="s">
        <v>130</v>
      </c>
      <c r="D1034" t="s">
        <v>43</v>
      </c>
      <c r="E1034">
        <v>4</v>
      </c>
      <c r="F1034" s="2">
        <v>24.99</v>
      </c>
      <c r="G1034">
        <v>0</v>
      </c>
      <c r="H1034" s="2">
        <v>24.99</v>
      </c>
      <c r="I1034" s="2">
        <v>99.96</v>
      </c>
      <c r="J1034" t="s">
        <v>51</v>
      </c>
      <c r="K1034" t="s">
        <v>20</v>
      </c>
      <c r="L1034" t="s">
        <v>45</v>
      </c>
      <c r="M1034" t="s">
        <v>65</v>
      </c>
      <c r="N1034" t="s">
        <v>54</v>
      </c>
      <c r="O1034" t="s">
        <v>35</v>
      </c>
      <c r="Q1034" s="2">
        <f>Ventas[[#This Row],[precio_base]]*Ventas[[#This Row],[cantidad]]</f>
        <v>99.96</v>
      </c>
      <c r="R1034" s="2">
        <f>Ventas[[#This Row],[Total bruto (antes de descuento)]]-Ventas[[#This Row],[total_venta]]</f>
        <v>0</v>
      </c>
    </row>
    <row r="1035" spans="1:18" x14ac:dyDescent="0.25">
      <c r="A1035" t="s">
        <v>1128</v>
      </c>
      <c r="B1035" s="1">
        <v>45493</v>
      </c>
      <c r="C1035" t="s">
        <v>56</v>
      </c>
      <c r="D1035" t="s">
        <v>18</v>
      </c>
      <c r="E1035">
        <v>3</v>
      </c>
      <c r="F1035" s="2">
        <v>89.99</v>
      </c>
      <c r="G1035">
        <v>15</v>
      </c>
      <c r="H1035" s="2">
        <v>76.489999999999995</v>
      </c>
      <c r="I1035" s="2">
        <v>229.47</v>
      </c>
      <c r="J1035" t="s">
        <v>19</v>
      </c>
      <c r="K1035" t="s">
        <v>20</v>
      </c>
      <c r="L1035" t="s">
        <v>28</v>
      </c>
      <c r="M1035" t="s">
        <v>101</v>
      </c>
      <c r="N1035" t="s">
        <v>102</v>
      </c>
      <c r="O1035" t="s">
        <v>35</v>
      </c>
      <c r="P1035">
        <v>3</v>
      </c>
      <c r="Q1035" s="2">
        <f>Ventas[[#This Row],[precio_base]]*Ventas[[#This Row],[cantidad]]</f>
        <v>269.96999999999997</v>
      </c>
      <c r="R1035" s="2">
        <f>Ventas[[#This Row],[Total bruto (antes de descuento)]]-Ventas[[#This Row],[total_venta]]</f>
        <v>40.499999999999972</v>
      </c>
    </row>
    <row r="1036" spans="1:18" x14ac:dyDescent="0.25">
      <c r="A1036" t="s">
        <v>1129</v>
      </c>
      <c r="B1036" s="1">
        <v>45386</v>
      </c>
      <c r="C1036" t="s">
        <v>30</v>
      </c>
      <c r="D1036" t="s">
        <v>31</v>
      </c>
      <c r="E1036">
        <v>4</v>
      </c>
      <c r="F1036" s="2">
        <v>299.99</v>
      </c>
      <c r="G1036">
        <v>0</v>
      </c>
      <c r="H1036" s="2">
        <v>299.99</v>
      </c>
      <c r="I1036" s="2">
        <v>1199.96</v>
      </c>
      <c r="J1036" t="s">
        <v>19</v>
      </c>
      <c r="K1036" t="s">
        <v>20</v>
      </c>
      <c r="L1036" t="s">
        <v>21</v>
      </c>
      <c r="M1036" t="s">
        <v>84</v>
      </c>
      <c r="N1036" t="s">
        <v>85</v>
      </c>
      <c r="O1036" t="s">
        <v>35</v>
      </c>
      <c r="P1036">
        <v>2</v>
      </c>
      <c r="Q1036" s="2">
        <f>Ventas[[#This Row],[precio_base]]*Ventas[[#This Row],[cantidad]]</f>
        <v>1199.96</v>
      </c>
      <c r="R1036" s="2">
        <f>Ventas[[#This Row],[Total bruto (antes de descuento)]]-Ventas[[#This Row],[total_venta]]</f>
        <v>0</v>
      </c>
    </row>
    <row r="1037" spans="1:18" x14ac:dyDescent="0.25">
      <c r="A1037" t="s">
        <v>1130</v>
      </c>
      <c r="B1037" s="1">
        <v>45446</v>
      </c>
      <c r="C1037" t="s">
        <v>163</v>
      </c>
      <c r="D1037" t="s">
        <v>18</v>
      </c>
      <c r="E1037">
        <v>5</v>
      </c>
      <c r="F1037" s="2">
        <v>499.99</v>
      </c>
      <c r="G1037">
        <v>15</v>
      </c>
      <c r="H1037" s="2">
        <v>424.99</v>
      </c>
      <c r="I1037" s="2">
        <v>2124.9499999999998</v>
      </c>
      <c r="J1037" t="s">
        <v>19</v>
      </c>
      <c r="K1037" t="s">
        <v>52</v>
      </c>
      <c r="L1037" t="s">
        <v>28</v>
      </c>
      <c r="M1037" t="s">
        <v>33</v>
      </c>
      <c r="N1037" t="s">
        <v>34</v>
      </c>
      <c r="O1037" t="s">
        <v>35</v>
      </c>
      <c r="P1037">
        <v>4</v>
      </c>
      <c r="Q1037" s="2">
        <f>Ventas[[#This Row],[precio_base]]*Ventas[[#This Row],[cantidad]]</f>
        <v>2499.9499999999998</v>
      </c>
      <c r="R1037" s="2">
        <f>Ventas[[#This Row],[Total bruto (antes de descuento)]]-Ventas[[#This Row],[total_venta]]</f>
        <v>375</v>
      </c>
    </row>
    <row r="1038" spans="1:18" x14ac:dyDescent="0.25">
      <c r="A1038" t="s">
        <v>1131</v>
      </c>
      <c r="B1038" s="1">
        <v>45061</v>
      </c>
      <c r="C1038" t="s">
        <v>130</v>
      </c>
      <c r="D1038" t="s">
        <v>43</v>
      </c>
      <c r="E1038">
        <v>3</v>
      </c>
      <c r="F1038" s="2">
        <v>24.99</v>
      </c>
      <c r="G1038">
        <v>15</v>
      </c>
      <c r="H1038" s="2">
        <v>21.24</v>
      </c>
      <c r="I1038" s="2">
        <v>63.72</v>
      </c>
      <c r="J1038" t="s">
        <v>51</v>
      </c>
      <c r="K1038" t="s">
        <v>52</v>
      </c>
      <c r="L1038" t="s">
        <v>28</v>
      </c>
      <c r="M1038" t="s">
        <v>120</v>
      </c>
      <c r="N1038" t="s">
        <v>23</v>
      </c>
      <c r="O1038" t="s">
        <v>24</v>
      </c>
      <c r="Q1038" s="2">
        <f>Ventas[[#This Row],[precio_base]]*Ventas[[#This Row],[cantidad]]</f>
        <v>74.97</v>
      </c>
      <c r="R1038" s="2">
        <f>Ventas[[#This Row],[Total bruto (antes de descuento)]]-Ventas[[#This Row],[total_venta]]</f>
        <v>11.25</v>
      </c>
    </row>
    <row r="1039" spans="1:18" x14ac:dyDescent="0.25">
      <c r="A1039" t="s">
        <v>1132</v>
      </c>
      <c r="B1039" s="1">
        <v>45295</v>
      </c>
      <c r="C1039" t="s">
        <v>70</v>
      </c>
      <c r="D1039" t="s">
        <v>31</v>
      </c>
      <c r="E1039">
        <v>4</v>
      </c>
      <c r="F1039" s="2">
        <v>59.99</v>
      </c>
      <c r="G1039">
        <v>20</v>
      </c>
      <c r="H1039" s="2">
        <v>47.99</v>
      </c>
      <c r="I1039" s="2">
        <v>191.96</v>
      </c>
      <c r="J1039" t="s">
        <v>116</v>
      </c>
      <c r="K1039" t="s">
        <v>44</v>
      </c>
      <c r="L1039" t="s">
        <v>21</v>
      </c>
      <c r="M1039" t="s">
        <v>63</v>
      </c>
      <c r="N1039" t="s">
        <v>34</v>
      </c>
      <c r="O1039" t="s">
        <v>24</v>
      </c>
      <c r="Q1039" s="2">
        <f>Ventas[[#This Row],[precio_base]]*Ventas[[#This Row],[cantidad]]</f>
        <v>239.96</v>
      </c>
      <c r="R1039" s="2">
        <f>Ventas[[#This Row],[Total bruto (antes de descuento)]]-Ventas[[#This Row],[total_venta]]</f>
        <v>48</v>
      </c>
    </row>
    <row r="1040" spans="1:18" x14ac:dyDescent="0.25">
      <c r="A1040" t="s">
        <v>1133</v>
      </c>
      <c r="B1040" s="1">
        <v>45015</v>
      </c>
      <c r="C1040" t="s">
        <v>81</v>
      </c>
      <c r="D1040" t="s">
        <v>31</v>
      </c>
      <c r="E1040">
        <v>4</v>
      </c>
      <c r="F1040" s="2">
        <v>189.99</v>
      </c>
      <c r="G1040">
        <v>0</v>
      </c>
      <c r="H1040" s="2">
        <v>189.99</v>
      </c>
      <c r="I1040" s="2">
        <v>759.96</v>
      </c>
      <c r="J1040" t="s">
        <v>19</v>
      </c>
      <c r="K1040" t="s">
        <v>44</v>
      </c>
      <c r="L1040" t="s">
        <v>21</v>
      </c>
      <c r="M1040" t="s">
        <v>63</v>
      </c>
      <c r="N1040" t="s">
        <v>34</v>
      </c>
      <c r="O1040" t="s">
        <v>24</v>
      </c>
      <c r="P1040">
        <v>4</v>
      </c>
      <c r="Q1040" s="2">
        <f>Ventas[[#This Row],[precio_base]]*Ventas[[#This Row],[cantidad]]</f>
        <v>759.96</v>
      </c>
      <c r="R1040" s="2">
        <f>Ventas[[#This Row],[Total bruto (antes de descuento)]]-Ventas[[#This Row],[total_venta]]</f>
        <v>0</v>
      </c>
    </row>
    <row r="1041" spans="1:18" x14ac:dyDescent="0.25">
      <c r="A1041" t="s">
        <v>1134</v>
      </c>
      <c r="B1041" s="1">
        <v>45432</v>
      </c>
      <c r="C1041" t="s">
        <v>83</v>
      </c>
      <c r="D1041" t="s">
        <v>38</v>
      </c>
      <c r="E1041">
        <v>2</v>
      </c>
      <c r="F1041" s="2">
        <v>49.99</v>
      </c>
      <c r="G1041">
        <v>0</v>
      </c>
      <c r="H1041" s="2">
        <v>49.99</v>
      </c>
      <c r="I1041" s="2">
        <v>99.98</v>
      </c>
      <c r="J1041" t="s">
        <v>19</v>
      </c>
      <c r="K1041" t="s">
        <v>20</v>
      </c>
      <c r="L1041" t="s">
        <v>21</v>
      </c>
      <c r="M1041" t="s">
        <v>46</v>
      </c>
      <c r="N1041" t="s">
        <v>47</v>
      </c>
      <c r="O1041" t="s">
        <v>48</v>
      </c>
      <c r="P1041">
        <v>2</v>
      </c>
      <c r="Q1041" s="2">
        <f>Ventas[[#This Row],[precio_base]]*Ventas[[#This Row],[cantidad]]</f>
        <v>99.98</v>
      </c>
      <c r="R1041" s="2">
        <f>Ventas[[#This Row],[Total bruto (antes de descuento)]]-Ventas[[#This Row],[total_venta]]</f>
        <v>0</v>
      </c>
    </row>
    <row r="1042" spans="1:18" x14ac:dyDescent="0.25">
      <c r="A1042" t="s">
        <v>1135</v>
      </c>
      <c r="B1042" s="1">
        <v>45105</v>
      </c>
      <c r="C1042" t="s">
        <v>143</v>
      </c>
      <c r="D1042" t="s">
        <v>43</v>
      </c>
      <c r="E1042">
        <v>5</v>
      </c>
      <c r="F1042" s="2">
        <v>34.99</v>
      </c>
      <c r="G1042">
        <v>0</v>
      </c>
      <c r="H1042" s="2">
        <v>34.99</v>
      </c>
      <c r="I1042" s="2">
        <v>174.95</v>
      </c>
      <c r="J1042" t="s">
        <v>62</v>
      </c>
      <c r="K1042" t="s">
        <v>20</v>
      </c>
      <c r="L1042" t="s">
        <v>28</v>
      </c>
      <c r="M1042" t="s">
        <v>123</v>
      </c>
      <c r="N1042" t="s">
        <v>124</v>
      </c>
      <c r="O1042" t="s">
        <v>24</v>
      </c>
      <c r="Q1042" s="2">
        <f>Ventas[[#This Row],[precio_base]]*Ventas[[#This Row],[cantidad]]</f>
        <v>174.95000000000002</v>
      </c>
      <c r="R1042" s="2">
        <f>Ventas[[#This Row],[Total bruto (antes de descuento)]]-Ventas[[#This Row],[total_venta]]</f>
        <v>0</v>
      </c>
    </row>
    <row r="1043" spans="1:18" x14ac:dyDescent="0.25">
      <c r="A1043" t="s">
        <v>1136</v>
      </c>
      <c r="B1043" s="1">
        <v>45050</v>
      </c>
      <c r="C1043" t="s">
        <v>50</v>
      </c>
      <c r="D1043" t="s">
        <v>27</v>
      </c>
      <c r="E1043">
        <v>2</v>
      </c>
      <c r="F1043" s="2">
        <v>149.99</v>
      </c>
      <c r="G1043">
        <v>5</v>
      </c>
      <c r="H1043" s="2">
        <v>142.49</v>
      </c>
      <c r="I1043" s="2">
        <v>284.98</v>
      </c>
      <c r="J1043" t="s">
        <v>19</v>
      </c>
      <c r="K1043" t="s">
        <v>52</v>
      </c>
      <c r="L1043" t="s">
        <v>28</v>
      </c>
      <c r="M1043" t="s">
        <v>123</v>
      </c>
      <c r="N1043" t="s">
        <v>124</v>
      </c>
      <c r="O1043" t="s">
        <v>24</v>
      </c>
      <c r="P1043">
        <v>5</v>
      </c>
      <c r="Q1043" s="2">
        <f>Ventas[[#This Row],[precio_base]]*Ventas[[#This Row],[cantidad]]</f>
        <v>299.98</v>
      </c>
      <c r="R1043" s="2">
        <f>Ventas[[#This Row],[Total bruto (antes de descuento)]]-Ventas[[#This Row],[total_venta]]</f>
        <v>15</v>
      </c>
    </row>
    <row r="1044" spans="1:18" x14ac:dyDescent="0.25">
      <c r="A1044" t="s">
        <v>1137</v>
      </c>
      <c r="B1044" s="1">
        <v>45200</v>
      </c>
      <c r="C1044" t="s">
        <v>130</v>
      </c>
      <c r="D1044" t="s">
        <v>43</v>
      </c>
      <c r="E1044">
        <v>2</v>
      </c>
      <c r="F1044" s="2">
        <v>24.99</v>
      </c>
      <c r="G1044">
        <v>20</v>
      </c>
      <c r="H1044" s="2">
        <v>19.989999999999998</v>
      </c>
      <c r="I1044" s="2">
        <v>39.979999999999997</v>
      </c>
      <c r="J1044" t="s">
        <v>51</v>
      </c>
      <c r="K1044" t="s">
        <v>44</v>
      </c>
      <c r="L1044" t="s">
        <v>21</v>
      </c>
      <c r="M1044" t="s">
        <v>65</v>
      </c>
      <c r="N1044" t="s">
        <v>54</v>
      </c>
      <c r="O1044" t="s">
        <v>35</v>
      </c>
      <c r="Q1044" s="2">
        <f>Ventas[[#This Row],[precio_base]]*Ventas[[#This Row],[cantidad]]</f>
        <v>49.98</v>
      </c>
      <c r="R1044" s="2">
        <f>Ventas[[#This Row],[Total bruto (antes de descuento)]]-Ventas[[#This Row],[total_venta]]</f>
        <v>10</v>
      </c>
    </row>
    <row r="1045" spans="1:18" x14ac:dyDescent="0.25">
      <c r="A1045" t="s">
        <v>1138</v>
      </c>
      <c r="B1045" s="1">
        <v>44978</v>
      </c>
      <c r="C1045" t="s">
        <v>122</v>
      </c>
      <c r="D1045" t="s">
        <v>43</v>
      </c>
      <c r="E1045">
        <v>4</v>
      </c>
      <c r="F1045" s="2">
        <v>44.99</v>
      </c>
      <c r="G1045">
        <v>20</v>
      </c>
      <c r="H1045" s="2">
        <v>35.99</v>
      </c>
      <c r="I1045" s="2">
        <v>143.96</v>
      </c>
      <c r="J1045" t="s">
        <v>19</v>
      </c>
      <c r="K1045" t="s">
        <v>52</v>
      </c>
      <c r="L1045" t="s">
        <v>152</v>
      </c>
      <c r="M1045" t="s">
        <v>67</v>
      </c>
      <c r="N1045" t="s">
        <v>68</v>
      </c>
      <c r="O1045" t="s">
        <v>35</v>
      </c>
      <c r="P1045">
        <v>5</v>
      </c>
      <c r="Q1045" s="2">
        <f>Ventas[[#This Row],[precio_base]]*Ventas[[#This Row],[cantidad]]</f>
        <v>179.96</v>
      </c>
      <c r="R1045" s="2">
        <f>Ventas[[#This Row],[Total bruto (antes de descuento)]]-Ventas[[#This Row],[total_venta]]</f>
        <v>36</v>
      </c>
    </row>
    <row r="1046" spans="1:18" x14ac:dyDescent="0.25">
      <c r="A1046" t="s">
        <v>1139</v>
      </c>
      <c r="B1046" s="1">
        <v>45551</v>
      </c>
      <c r="C1046" t="s">
        <v>70</v>
      </c>
      <c r="D1046" t="s">
        <v>31</v>
      </c>
      <c r="E1046">
        <v>1</v>
      </c>
      <c r="F1046" s="2">
        <v>59.99</v>
      </c>
      <c r="G1046">
        <v>20</v>
      </c>
      <c r="H1046" s="2">
        <v>47.99</v>
      </c>
      <c r="I1046" s="2">
        <v>47.99</v>
      </c>
      <c r="J1046" t="s">
        <v>19</v>
      </c>
      <c r="K1046" t="s">
        <v>20</v>
      </c>
      <c r="L1046" t="s">
        <v>28</v>
      </c>
      <c r="M1046" t="s">
        <v>65</v>
      </c>
      <c r="N1046" t="s">
        <v>54</v>
      </c>
      <c r="O1046" t="s">
        <v>35</v>
      </c>
      <c r="P1046">
        <v>2</v>
      </c>
      <c r="Q1046" s="2">
        <f>Ventas[[#This Row],[precio_base]]*Ventas[[#This Row],[cantidad]]</f>
        <v>59.99</v>
      </c>
      <c r="R1046" s="2">
        <f>Ventas[[#This Row],[Total bruto (antes de descuento)]]-Ventas[[#This Row],[total_venta]]</f>
        <v>12</v>
      </c>
    </row>
    <row r="1047" spans="1:18" x14ac:dyDescent="0.25">
      <c r="A1047" t="s">
        <v>1140</v>
      </c>
      <c r="B1047" s="1">
        <v>45297</v>
      </c>
      <c r="C1047" t="s">
        <v>205</v>
      </c>
      <c r="D1047" t="s">
        <v>18</v>
      </c>
      <c r="E1047">
        <v>3</v>
      </c>
      <c r="F1047" s="2">
        <v>129.99</v>
      </c>
      <c r="G1047">
        <v>15</v>
      </c>
      <c r="H1047" s="2">
        <v>110.49</v>
      </c>
      <c r="I1047" s="2">
        <v>331.47</v>
      </c>
      <c r="J1047" t="s">
        <v>19</v>
      </c>
      <c r="K1047" t="s">
        <v>44</v>
      </c>
      <c r="L1047" t="s">
        <v>32</v>
      </c>
      <c r="M1047" t="s">
        <v>65</v>
      </c>
      <c r="N1047" t="s">
        <v>54</v>
      </c>
      <c r="O1047" t="s">
        <v>35</v>
      </c>
      <c r="P1047">
        <v>2</v>
      </c>
      <c r="Q1047" s="2">
        <f>Ventas[[#This Row],[precio_base]]*Ventas[[#This Row],[cantidad]]</f>
        <v>389.97</v>
      </c>
      <c r="R1047" s="2">
        <f>Ventas[[#This Row],[Total bruto (antes de descuento)]]-Ventas[[#This Row],[total_venta]]</f>
        <v>58.5</v>
      </c>
    </row>
    <row r="1048" spans="1:18" x14ac:dyDescent="0.25">
      <c r="A1048" t="s">
        <v>1141</v>
      </c>
      <c r="B1048" s="1">
        <v>45589</v>
      </c>
      <c r="C1048" t="s">
        <v>89</v>
      </c>
      <c r="D1048" t="s">
        <v>38</v>
      </c>
      <c r="E1048">
        <v>3</v>
      </c>
      <c r="F1048" s="2">
        <v>69.989999999999995</v>
      </c>
      <c r="G1048">
        <v>20</v>
      </c>
      <c r="H1048" s="2">
        <v>55.99</v>
      </c>
      <c r="I1048" s="2">
        <v>167.97</v>
      </c>
      <c r="J1048" t="s">
        <v>19</v>
      </c>
      <c r="K1048" t="s">
        <v>20</v>
      </c>
      <c r="L1048" t="s">
        <v>152</v>
      </c>
      <c r="M1048" t="s">
        <v>67</v>
      </c>
      <c r="N1048" t="s">
        <v>68</v>
      </c>
      <c r="O1048" t="s">
        <v>35</v>
      </c>
      <c r="P1048">
        <v>1</v>
      </c>
      <c r="Q1048" s="2">
        <f>Ventas[[#This Row],[precio_base]]*Ventas[[#This Row],[cantidad]]</f>
        <v>209.96999999999997</v>
      </c>
      <c r="R1048" s="2">
        <f>Ventas[[#This Row],[Total bruto (antes de descuento)]]-Ventas[[#This Row],[total_venta]]</f>
        <v>41.999999999999972</v>
      </c>
    </row>
    <row r="1049" spans="1:18" x14ac:dyDescent="0.25">
      <c r="A1049" t="s">
        <v>1142</v>
      </c>
      <c r="B1049" s="1">
        <v>45178</v>
      </c>
      <c r="C1049" t="s">
        <v>143</v>
      </c>
      <c r="D1049" t="s">
        <v>43</v>
      </c>
      <c r="E1049">
        <v>4</v>
      </c>
      <c r="F1049" s="2">
        <v>34.99</v>
      </c>
      <c r="G1049">
        <v>0</v>
      </c>
      <c r="H1049" s="2">
        <v>34.99</v>
      </c>
      <c r="I1049" s="2">
        <v>139.96</v>
      </c>
      <c r="J1049" t="s">
        <v>19</v>
      </c>
      <c r="K1049" t="s">
        <v>20</v>
      </c>
      <c r="L1049" t="s">
        <v>45</v>
      </c>
      <c r="M1049" t="s">
        <v>63</v>
      </c>
      <c r="N1049" t="s">
        <v>34</v>
      </c>
      <c r="O1049" t="s">
        <v>24</v>
      </c>
      <c r="P1049">
        <v>4</v>
      </c>
      <c r="Q1049" s="2">
        <f>Ventas[[#This Row],[precio_base]]*Ventas[[#This Row],[cantidad]]</f>
        <v>139.96</v>
      </c>
      <c r="R1049" s="2">
        <f>Ventas[[#This Row],[Total bruto (antes de descuento)]]-Ventas[[#This Row],[total_venta]]</f>
        <v>0</v>
      </c>
    </row>
    <row r="1050" spans="1:18" x14ac:dyDescent="0.25">
      <c r="A1050" t="s">
        <v>1143</v>
      </c>
      <c r="B1050" s="1">
        <v>45296</v>
      </c>
      <c r="C1050" t="s">
        <v>72</v>
      </c>
      <c r="D1050" t="s">
        <v>31</v>
      </c>
      <c r="E1050">
        <v>2</v>
      </c>
      <c r="F1050" s="2">
        <v>29.99</v>
      </c>
      <c r="G1050">
        <v>0</v>
      </c>
      <c r="H1050" s="2">
        <v>29.99</v>
      </c>
      <c r="I1050" s="2">
        <v>59.98</v>
      </c>
      <c r="J1050" t="s">
        <v>51</v>
      </c>
      <c r="K1050" t="s">
        <v>20</v>
      </c>
      <c r="L1050" t="s">
        <v>21</v>
      </c>
      <c r="M1050" t="s">
        <v>65</v>
      </c>
      <c r="N1050" t="s">
        <v>54</v>
      </c>
      <c r="O1050" t="s">
        <v>35</v>
      </c>
      <c r="Q1050" s="2">
        <f>Ventas[[#This Row],[precio_base]]*Ventas[[#This Row],[cantidad]]</f>
        <v>59.98</v>
      </c>
      <c r="R1050" s="2">
        <f>Ventas[[#This Row],[Total bruto (antes de descuento)]]-Ventas[[#This Row],[total_venta]]</f>
        <v>0</v>
      </c>
    </row>
    <row r="1051" spans="1:18" x14ac:dyDescent="0.25">
      <c r="A1051" t="s">
        <v>1144</v>
      </c>
      <c r="B1051" s="1">
        <v>45366</v>
      </c>
      <c r="C1051" t="s">
        <v>37</v>
      </c>
      <c r="D1051" t="s">
        <v>38</v>
      </c>
      <c r="E1051">
        <v>4</v>
      </c>
      <c r="F1051" s="2">
        <v>34.99</v>
      </c>
      <c r="G1051">
        <v>5</v>
      </c>
      <c r="H1051" s="2">
        <v>33.24</v>
      </c>
      <c r="I1051" s="2">
        <v>132.96</v>
      </c>
      <c r="J1051" t="s">
        <v>90</v>
      </c>
      <c r="K1051" t="s">
        <v>52</v>
      </c>
      <c r="L1051" t="s">
        <v>45</v>
      </c>
      <c r="M1051" t="s">
        <v>65</v>
      </c>
      <c r="N1051" t="s">
        <v>54</v>
      </c>
      <c r="O1051" t="s">
        <v>35</v>
      </c>
      <c r="Q1051" s="2">
        <f>Ventas[[#This Row],[precio_base]]*Ventas[[#This Row],[cantidad]]</f>
        <v>139.96</v>
      </c>
      <c r="R1051" s="2">
        <f>Ventas[[#This Row],[Total bruto (antes de descuento)]]-Ventas[[#This Row],[total_venta]]</f>
        <v>7</v>
      </c>
    </row>
    <row r="1052" spans="1:18" x14ac:dyDescent="0.25">
      <c r="A1052" t="s">
        <v>1145</v>
      </c>
      <c r="B1052" s="1">
        <v>44957</v>
      </c>
      <c r="C1052" t="s">
        <v>151</v>
      </c>
      <c r="D1052" t="s">
        <v>27</v>
      </c>
      <c r="E1052">
        <v>2</v>
      </c>
      <c r="F1052" s="2">
        <v>599.99</v>
      </c>
      <c r="G1052">
        <v>20</v>
      </c>
      <c r="H1052" s="2">
        <v>479.99</v>
      </c>
      <c r="I1052" s="2">
        <v>959.98</v>
      </c>
      <c r="J1052" t="s">
        <v>19</v>
      </c>
      <c r="K1052" t="s">
        <v>44</v>
      </c>
      <c r="L1052" t="s">
        <v>21</v>
      </c>
      <c r="M1052" t="s">
        <v>39</v>
      </c>
      <c r="N1052" t="s">
        <v>40</v>
      </c>
      <c r="O1052" t="s">
        <v>35</v>
      </c>
      <c r="P1052">
        <v>3</v>
      </c>
      <c r="Q1052" s="2">
        <f>Ventas[[#This Row],[precio_base]]*Ventas[[#This Row],[cantidad]]</f>
        <v>1199.98</v>
      </c>
      <c r="R1052" s="2">
        <f>Ventas[[#This Row],[Total bruto (antes de descuento)]]-Ventas[[#This Row],[total_venta]]</f>
        <v>240</v>
      </c>
    </row>
    <row r="1053" spans="1:18" x14ac:dyDescent="0.25">
      <c r="A1053" t="s">
        <v>1146</v>
      </c>
      <c r="B1053" s="1">
        <v>45249</v>
      </c>
      <c r="C1053" t="s">
        <v>109</v>
      </c>
      <c r="D1053" t="s">
        <v>38</v>
      </c>
      <c r="E1053">
        <v>2</v>
      </c>
      <c r="F1053" s="2">
        <v>39.99</v>
      </c>
      <c r="G1053">
        <v>5</v>
      </c>
      <c r="H1053" s="2">
        <v>37.99</v>
      </c>
      <c r="I1053" s="2">
        <v>75.98</v>
      </c>
      <c r="J1053" t="s">
        <v>19</v>
      </c>
      <c r="K1053" t="s">
        <v>20</v>
      </c>
      <c r="L1053" t="s">
        <v>152</v>
      </c>
      <c r="M1053" t="s">
        <v>39</v>
      </c>
      <c r="N1053" t="s">
        <v>40</v>
      </c>
      <c r="O1053" t="s">
        <v>35</v>
      </c>
      <c r="P1053">
        <v>2</v>
      </c>
      <c r="Q1053" s="2">
        <f>Ventas[[#This Row],[precio_base]]*Ventas[[#This Row],[cantidad]]</f>
        <v>79.98</v>
      </c>
      <c r="R1053" s="2">
        <f>Ventas[[#This Row],[Total bruto (antes de descuento)]]-Ventas[[#This Row],[total_venta]]</f>
        <v>4</v>
      </c>
    </row>
    <row r="1054" spans="1:18" x14ac:dyDescent="0.25">
      <c r="A1054" t="s">
        <v>1147</v>
      </c>
      <c r="B1054" s="1">
        <v>45515</v>
      </c>
      <c r="C1054" t="s">
        <v>94</v>
      </c>
      <c r="D1054" t="s">
        <v>18</v>
      </c>
      <c r="E1054">
        <v>5</v>
      </c>
      <c r="F1054" s="2">
        <v>899.99</v>
      </c>
      <c r="G1054">
        <v>0</v>
      </c>
      <c r="H1054" s="2">
        <v>899.99</v>
      </c>
      <c r="I1054" s="2">
        <v>4499.95</v>
      </c>
      <c r="J1054" t="s">
        <v>19</v>
      </c>
      <c r="K1054" t="s">
        <v>44</v>
      </c>
      <c r="L1054" t="s">
        <v>45</v>
      </c>
      <c r="M1054" t="s">
        <v>53</v>
      </c>
      <c r="N1054" t="s">
        <v>54</v>
      </c>
      <c r="O1054" t="s">
        <v>35</v>
      </c>
      <c r="P1054">
        <v>3</v>
      </c>
      <c r="Q1054" s="2">
        <f>Ventas[[#This Row],[precio_base]]*Ventas[[#This Row],[cantidad]]</f>
        <v>4499.95</v>
      </c>
      <c r="R1054" s="2">
        <f>Ventas[[#This Row],[Total bruto (antes de descuento)]]-Ventas[[#This Row],[total_venta]]</f>
        <v>0</v>
      </c>
    </row>
    <row r="1055" spans="1:18" x14ac:dyDescent="0.25">
      <c r="A1055" t="s">
        <v>1148</v>
      </c>
      <c r="B1055" s="1">
        <v>45248</v>
      </c>
      <c r="C1055" t="s">
        <v>122</v>
      </c>
      <c r="D1055" t="s">
        <v>43</v>
      </c>
      <c r="E1055">
        <v>3</v>
      </c>
      <c r="F1055" s="2">
        <v>44.99</v>
      </c>
      <c r="G1055">
        <v>0</v>
      </c>
      <c r="H1055" s="2">
        <v>44.99</v>
      </c>
      <c r="I1055" s="2">
        <v>134.97</v>
      </c>
      <c r="J1055" t="s">
        <v>62</v>
      </c>
      <c r="K1055" t="s">
        <v>44</v>
      </c>
      <c r="L1055" t="s">
        <v>152</v>
      </c>
      <c r="M1055" t="s">
        <v>53</v>
      </c>
      <c r="N1055" t="s">
        <v>54</v>
      </c>
      <c r="O1055" t="s">
        <v>35</v>
      </c>
      <c r="Q1055" s="2">
        <f>Ventas[[#This Row],[precio_base]]*Ventas[[#This Row],[cantidad]]</f>
        <v>134.97</v>
      </c>
      <c r="R1055" s="2">
        <f>Ventas[[#This Row],[Total bruto (antes de descuento)]]-Ventas[[#This Row],[total_venta]]</f>
        <v>0</v>
      </c>
    </row>
    <row r="1056" spans="1:18" x14ac:dyDescent="0.25">
      <c r="A1056" t="s">
        <v>1149</v>
      </c>
      <c r="B1056" s="1">
        <v>45644</v>
      </c>
      <c r="C1056" t="s">
        <v>109</v>
      </c>
      <c r="D1056" t="s">
        <v>38</v>
      </c>
      <c r="E1056">
        <v>4</v>
      </c>
      <c r="F1056" s="2">
        <v>39.99</v>
      </c>
      <c r="G1056">
        <v>15</v>
      </c>
      <c r="H1056" s="2">
        <v>33.99</v>
      </c>
      <c r="I1056" s="2">
        <v>135.96</v>
      </c>
      <c r="J1056" t="s">
        <v>19</v>
      </c>
      <c r="K1056" t="s">
        <v>44</v>
      </c>
      <c r="L1056" t="s">
        <v>28</v>
      </c>
      <c r="M1056" t="s">
        <v>65</v>
      </c>
      <c r="N1056" t="s">
        <v>54</v>
      </c>
      <c r="O1056" t="s">
        <v>35</v>
      </c>
      <c r="P1056">
        <v>4</v>
      </c>
      <c r="Q1056" s="2">
        <f>Ventas[[#This Row],[precio_base]]*Ventas[[#This Row],[cantidad]]</f>
        <v>159.96</v>
      </c>
      <c r="R1056" s="2">
        <f>Ventas[[#This Row],[Total bruto (antes de descuento)]]-Ventas[[#This Row],[total_venta]]</f>
        <v>24</v>
      </c>
    </row>
    <row r="1057" spans="1:18" x14ac:dyDescent="0.25">
      <c r="A1057" t="s">
        <v>1150</v>
      </c>
      <c r="B1057" s="1">
        <v>45641</v>
      </c>
      <c r="C1057" t="s">
        <v>89</v>
      </c>
      <c r="D1057" t="s">
        <v>38</v>
      </c>
      <c r="E1057">
        <v>4</v>
      </c>
      <c r="F1057" s="2">
        <v>69.989999999999995</v>
      </c>
      <c r="G1057">
        <v>20</v>
      </c>
      <c r="H1057" s="2">
        <v>55.99</v>
      </c>
      <c r="I1057" s="2">
        <v>223.96</v>
      </c>
      <c r="J1057" t="s">
        <v>19</v>
      </c>
      <c r="K1057" t="s">
        <v>20</v>
      </c>
      <c r="L1057" t="s">
        <v>45</v>
      </c>
      <c r="M1057" t="s">
        <v>58</v>
      </c>
      <c r="N1057" t="s">
        <v>59</v>
      </c>
      <c r="O1057" t="s">
        <v>24</v>
      </c>
      <c r="P1057">
        <v>4</v>
      </c>
      <c r="Q1057" s="2">
        <f>Ventas[[#This Row],[precio_base]]*Ventas[[#This Row],[cantidad]]</f>
        <v>279.95999999999998</v>
      </c>
      <c r="R1057" s="2">
        <f>Ventas[[#This Row],[Total bruto (antes de descuento)]]-Ventas[[#This Row],[total_venta]]</f>
        <v>55.999999999999972</v>
      </c>
    </row>
    <row r="1058" spans="1:18" x14ac:dyDescent="0.25">
      <c r="A1058" t="s">
        <v>1151</v>
      </c>
      <c r="B1058" s="1">
        <v>45056</v>
      </c>
      <c r="C1058" t="s">
        <v>87</v>
      </c>
      <c r="D1058" t="s">
        <v>27</v>
      </c>
      <c r="E1058">
        <v>5</v>
      </c>
      <c r="F1058" s="2">
        <v>249.99</v>
      </c>
      <c r="G1058">
        <v>0</v>
      </c>
      <c r="H1058" s="2">
        <v>249.99</v>
      </c>
      <c r="I1058" s="2">
        <v>1249.95</v>
      </c>
      <c r="J1058" t="s">
        <v>19</v>
      </c>
      <c r="K1058" t="s">
        <v>44</v>
      </c>
      <c r="L1058" t="s">
        <v>45</v>
      </c>
      <c r="M1058" t="s">
        <v>65</v>
      </c>
      <c r="N1058" t="s">
        <v>54</v>
      </c>
      <c r="O1058" t="s">
        <v>35</v>
      </c>
      <c r="P1058">
        <v>2</v>
      </c>
      <c r="Q1058" s="2">
        <f>Ventas[[#This Row],[precio_base]]*Ventas[[#This Row],[cantidad]]</f>
        <v>1249.95</v>
      </c>
      <c r="R1058" s="2">
        <f>Ventas[[#This Row],[Total bruto (antes de descuento)]]-Ventas[[#This Row],[total_venta]]</f>
        <v>0</v>
      </c>
    </row>
    <row r="1059" spans="1:18" x14ac:dyDescent="0.25">
      <c r="A1059" t="s">
        <v>1152</v>
      </c>
      <c r="B1059" s="1">
        <v>44950</v>
      </c>
      <c r="C1059" t="s">
        <v>104</v>
      </c>
      <c r="D1059" t="s">
        <v>18</v>
      </c>
      <c r="E1059">
        <v>5</v>
      </c>
      <c r="F1059" s="2">
        <v>1199.99</v>
      </c>
      <c r="G1059">
        <v>10</v>
      </c>
      <c r="H1059" s="2">
        <v>1079.99</v>
      </c>
      <c r="I1059" s="2">
        <v>5399.95</v>
      </c>
      <c r="J1059" t="s">
        <v>19</v>
      </c>
      <c r="K1059" t="s">
        <v>52</v>
      </c>
      <c r="L1059" t="s">
        <v>28</v>
      </c>
      <c r="M1059" t="s">
        <v>67</v>
      </c>
      <c r="N1059" t="s">
        <v>68</v>
      </c>
      <c r="O1059" t="s">
        <v>35</v>
      </c>
      <c r="P1059">
        <v>5</v>
      </c>
      <c r="Q1059" s="2">
        <f>Ventas[[#This Row],[precio_base]]*Ventas[[#This Row],[cantidad]]</f>
        <v>5999.95</v>
      </c>
      <c r="R1059" s="2">
        <f>Ventas[[#This Row],[Total bruto (antes de descuento)]]-Ventas[[#This Row],[total_venta]]</f>
        <v>600</v>
      </c>
    </row>
    <row r="1060" spans="1:18" x14ac:dyDescent="0.25">
      <c r="A1060" t="s">
        <v>1153</v>
      </c>
      <c r="B1060" s="1">
        <v>45040</v>
      </c>
      <c r="C1060" t="s">
        <v>76</v>
      </c>
      <c r="D1060" t="s">
        <v>31</v>
      </c>
      <c r="E1060">
        <v>1</v>
      </c>
      <c r="F1060" s="2">
        <v>69.989999999999995</v>
      </c>
      <c r="G1060">
        <v>20</v>
      </c>
      <c r="H1060" s="2">
        <v>55.99</v>
      </c>
      <c r="I1060" s="2">
        <v>55.99</v>
      </c>
      <c r="J1060" t="s">
        <v>19</v>
      </c>
      <c r="K1060" t="s">
        <v>44</v>
      </c>
      <c r="L1060" t="s">
        <v>21</v>
      </c>
      <c r="M1060" t="s">
        <v>73</v>
      </c>
      <c r="N1060" t="s">
        <v>74</v>
      </c>
      <c r="O1060" t="s">
        <v>35</v>
      </c>
      <c r="P1060">
        <v>1</v>
      </c>
      <c r="Q1060" s="2">
        <f>Ventas[[#This Row],[precio_base]]*Ventas[[#This Row],[cantidad]]</f>
        <v>69.989999999999995</v>
      </c>
      <c r="R1060" s="2">
        <f>Ventas[[#This Row],[Total bruto (antes de descuento)]]-Ventas[[#This Row],[total_venta]]</f>
        <v>13.999999999999993</v>
      </c>
    </row>
    <row r="1061" spans="1:18" x14ac:dyDescent="0.25">
      <c r="A1061" t="s">
        <v>1154</v>
      </c>
      <c r="B1061" s="1">
        <v>45386</v>
      </c>
      <c r="C1061" t="s">
        <v>83</v>
      </c>
      <c r="D1061" t="s">
        <v>38</v>
      </c>
      <c r="E1061">
        <v>5</v>
      </c>
      <c r="F1061" s="2">
        <v>49.99</v>
      </c>
      <c r="G1061">
        <v>15</v>
      </c>
      <c r="H1061" s="2">
        <v>42.49</v>
      </c>
      <c r="I1061" s="2">
        <v>212.45</v>
      </c>
      <c r="J1061" t="s">
        <v>19</v>
      </c>
      <c r="K1061" t="s">
        <v>57</v>
      </c>
      <c r="L1061" t="s">
        <v>32</v>
      </c>
      <c r="M1061" t="s">
        <v>123</v>
      </c>
      <c r="N1061" t="s">
        <v>124</v>
      </c>
      <c r="O1061" t="s">
        <v>24</v>
      </c>
      <c r="P1061">
        <v>5</v>
      </c>
      <c r="Q1061" s="2">
        <f>Ventas[[#This Row],[precio_base]]*Ventas[[#This Row],[cantidad]]</f>
        <v>249.95000000000002</v>
      </c>
      <c r="R1061" s="2">
        <f>Ventas[[#This Row],[Total bruto (antes de descuento)]]-Ventas[[#This Row],[total_venta]]</f>
        <v>37.500000000000028</v>
      </c>
    </row>
    <row r="1062" spans="1:18" x14ac:dyDescent="0.25">
      <c r="A1062" t="s">
        <v>1155</v>
      </c>
      <c r="B1062" s="1">
        <v>45506</v>
      </c>
      <c r="C1062" t="s">
        <v>30</v>
      </c>
      <c r="D1062" t="s">
        <v>31</v>
      </c>
      <c r="E1062">
        <v>5</v>
      </c>
      <c r="F1062" s="2">
        <v>299.99</v>
      </c>
      <c r="G1062">
        <v>20</v>
      </c>
      <c r="H1062" s="2">
        <v>239.99</v>
      </c>
      <c r="I1062" s="2">
        <v>1199.95</v>
      </c>
      <c r="J1062" t="s">
        <v>19</v>
      </c>
      <c r="K1062" t="s">
        <v>20</v>
      </c>
      <c r="L1062" t="s">
        <v>28</v>
      </c>
      <c r="M1062" t="s">
        <v>123</v>
      </c>
      <c r="N1062" t="s">
        <v>124</v>
      </c>
      <c r="O1062" t="s">
        <v>24</v>
      </c>
      <c r="P1062">
        <v>5</v>
      </c>
      <c r="Q1062" s="2">
        <f>Ventas[[#This Row],[precio_base]]*Ventas[[#This Row],[cantidad]]</f>
        <v>1499.95</v>
      </c>
      <c r="R1062" s="2">
        <f>Ventas[[#This Row],[Total bruto (antes de descuento)]]-Ventas[[#This Row],[total_venta]]</f>
        <v>300</v>
      </c>
    </row>
    <row r="1063" spans="1:18" x14ac:dyDescent="0.25">
      <c r="A1063" t="s">
        <v>1156</v>
      </c>
      <c r="B1063" s="1">
        <v>45615</v>
      </c>
      <c r="C1063" t="s">
        <v>78</v>
      </c>
      <c r="D1063" t="s">
        <v>18</v>
      </c>
      <c r="E1063">
        <v>4</v>
      </c>
      <c r="F1063" s="2">
        <v>349.99</v>
      </c>
      <c r="G1063">
        <v>10</v>
      </c>
      <c r="H1063" s="2">
        <v>314.99</v>
      </c>
      <c r="I1063" s="2">
        <v>1259.96</v>
      </c>
      <c r="J1063" t="s">
        <v>51</v>
      </c>
      <c r="K1063" t="s">
        <v>20</v>
      </c>
      <c r="L1063" t="s">
        <v>45</v>
      </c>
      <c r="M1063" t="s">
        <v>95</v>
      </c>
      <c r="N1063" t="s">
        <v>96</v>
      </c>
      <c r="O1063" t="s">
        <v>48</v>
      </c>
      <c r="Q1063" s="2">
        <f>Ventas[[#This Row],[precio_base]]*Ventas[[#This Row],[cantidad]]</f>
        <v>1399.96</v>
      </c>
      <c r="R1063" s="2">
        <f>Ventas[[#This Row],[Total bruto (antes de descuento)]]-Ventas[[#This Row],[total_venta]]</f>
        <v>140</v>
      </c>
    </row>
    <row r="1064" spans="1:18" x14ac:dyDescent="0.25">
      <c r="A1064" t="s">
        <v>1157</v>
      </c>
      <c r="B1064" s="1">
        <v>45296</v>
      </c>
      <c r="C1064" t="s">
        <v>151</v>
      </c>
      <c r="D1064" t="s">
        <v>27</v>
      </c>
      <c r="E1064">
        <v>1</v>
      </c>
      <c r="F1064" s="2">
        <v>599.99</v>
      </c>
      <c r="G1064">
        <v>0</v>
      </c>
      <c r="H1064" s="2">
        <v>599.99</v>
      </c>
      <c r="I1064" s="2">
        <v>599.99</v>
      </c>
      <c r="J1064" t="s">
        <v>51</v>
      </c>
      <c r="K1064" t="s">
        <v>20</v>
      </c>
      <c r="L1064" t="s">
        <v>21</v>
      </c>
      <c r="M1064" t="s">
        <v>67</v>
      </c>
      <c r="N1064" t="s">
        <v>68</v>
      </c>
      <c r="O1064" t="s">
        <v>35</v>
      </c>
      <c r="Q1064" s="2">
        <f>Ventas[[#This Row],[precio_base]]*Ventas[[#This Row],[cantidad]]</f>
        <v>599.99</v>
      </c>
      <c r="R1064" s="2">
        <f>Ventas[[#This Row],[Total bruto (antes de descuento)]]-Ventas[[#This Row],[total_venta]]</f>
        <v>0</v>
      </c>
    </row>
    <row r="1065" spans="1:18" x14ac:dyDescent="0.25">
      <c r="A1065" t="s">
        <v>1158</v>
      </c>
      <c r="B1065" s="1">
        <v>45362</v>
      </c>
      <c r="C1065" t="s">
        <v>130</v>
      </c>
      <c r="D1065" t="s">
        <v>43</v>
      </c>
      <c r="E1065">
        <v>2</v>
      </c>
      <c r="F1065" s="2">
        <v>24.99</v>
      </c>
      <c r="G1065">
        <v>5</v>
      </c>
      <c r="H1065" s="2">
        <v>23.74</v>
      </c>
      <c r="I1065" s="2">
        <v>47.48</v>
      </c>
      <c r="J1065" t="s">
        <v>19</v>
      </c>
      <c r="K1065" t="s">
        <v>20</v>
      </c>
      <c r="L1065" t="s">
        <v>45</v>
      </c>
      <c r="M1065" t="s">
        <v>95</v>
      </c>
      <c r="N1065" t="s">
        <v>96</v>
      </c>
      <c r="O1065" t="s">
        <v>48</v>
      </c>
      <c r="P1065">
        <v>5</v>
      </c>
      <c r="Q1065" s="2">
        <f>Ventas[[#This Row],[precio_base]]*Ventas[[#This Row],[cantidad]]</f>
        <v>49.98</v>
      </c>
      <c r="R1065" s="2">
        <f>Ventas[[#This Row],[Total bruto (antes de descuento)]]-Ventas[[#This Row],[total_venta]]</f>
        <v>2.5</v>
      </c>
    </row>
    <row r="1066" spans="1:18" x14ac:dyDescent="0.25">
      <c r="A1066" t="s">
        <v>1159</v>
      </c>
      <c r="B1066" s="1">
        <v>45499</v>
      </c>
      <c r="C1066" t="s">
        <v>87</v>
      </c>
      <c r="D1066" t="s">
        <v>27</v>
      </c>
      <c r="E1066">
        <v>4</v>
      </c>
      <c r="F1066" s="2">
        <v>249.99</v>
      </c>
      <c r="G1066">
        <v>20</v>
      </c>
      <c r="H1066" s="2">
        <v>199.99</v>
      </c>
      <c r="I1066" s="2">
        <v>799.96</v>
      </c>
      <c r="J1066" t="s">
        <v>19</v>
      </c>
      <c r="K1066" t="s">
        <v>44</v>
      </c>
      <c r="L1066" t="s">
        <v>152</v>
      </c>
      <c r="M1066" t="s">
        <v>101</v>
      </c>
      <c r="N1066" t="s">
        <v>102</v>
      </c>
      <c r="O1066" t="s">
        <v>35</v>
      </c>
      <c r="P1066">
        <v>4</v>
      </c>
      <c r="Q1066" s="2">
        <f>Ventas[[#This Row],[precio_base]]*Ventas[[#This Row],[cantidad]]</f>
        <v>999.96</v>
      </c>
      <c r="R1066" s="2">
        <f>Ventas[[#This Row],[Total bruto (antes de descuento)]]-Ventas[[#This Row],[total_venta]]</f>
        <v>200</v>
      </c>
    </row>
    <row r="1067" spans="1:18" x14ac:dyDescent="0.25">
      <c r="A1067" t="s">
        <v>1160</v>
      </c>
      <c r="B1067" s="1">
        <v>45353</v>
      </c>
      <c r="C1067" t="s">
        <v>143</v>
      </c>
      <c r="D1067" t="s">
        <v>43</v>
      </c>
      <c r="E1067">
        <v>2</v>
      </c>
      <c r="F1067" s="2">
        <v>34.99</v>
      </c>
      <c r="G1067">
        <v>0</v>
      </c>
      <c r="H1067" s="2">
        <v>34.99</v>
      </c>
      <c r="I1067" s="2">
        <v>69.98</v>
      </c>
      <c r="J1067" t="s">
        <v>19</v>
      </c>
      <c r="K1067" t="s">
        <v>44</v>
      </c>
      <c r="L1067" t="s">
        <v>21</v>
      </c>
      <c r="M1067" t="s">
        <v>101</v>
      </c>
      <c r="N1067" t="s">
        <v>102</v>
      </c>
      <c r="O1067" t="s">
        <v>35</v>
      </c>
      <c r="P1067">
        <v>5</v>
      </c>
      <c r="Q1067" s="2">
        <f>Ventas[[#This Row],[precio_base]]*Ventas[[#This Row],[cantidad]]</f>
        <v>69.98</v>
      </c>
      <c r="R1067" s="2">
        <f>Ventas[[#This Row],[Total bruto (antes de descuento)]]-Ventas[[#This Row],[total_venta]]</f>
        <v>0</v>
      </c>
    </row>
    <row r="1068" spans="1:18" x14ac:dyDescent="0.25">
      <c r="A1068" t="s">
        <v>1161</v>
      </c>
      <c r="B1068" s="1">
        <v>45468</v>
      </c>
      <c r="C1068" t="s">
        <v>17</v>
      </c>
      <c r="D1068" t="s">
        <v>18</v>
      </c>
      <c r="E1068">
        <v>2</v>
      </c>
      <c r="F1068" s="2">
        <v>45.99</v>
      </c>
      <c r="G1068">
        <v>5</v>
      </c>
      <c r="H1068" s="2">
        <v>43.69</v>
      </c>
      <c r="I1068" s="2">
        <v>87.38</v>
      </c>
      <c r="J1068" t="s">
        <v>19</v>
      </c>
      <c r="K1068" t="s">
        <v>20</v>
      </c>
      <c r="L1068" t="s">
        <v>45</v>
      </c>
      <c r="M1068" t="s">
        <v>84</v>
      </c>
      <c r="N1068" t="s">
        <v>85</v>
      </c>
      <c r="O1068" t="s">
        <v>35</v>
      </c>
      <c r="P1068">
        <v>1</v>
      </c>
      <c r="Q1068" s="2">
        <f>Ventas[[#This Row],[precio_base]]*Ventas[[#This Row],[cantidad]]</f>
        <v>91.98</v>
      </c>
      <c r="R1068" s="2">
        <f>Ventas[[#This Row],[Total bruto (antes de descuento)]]-Ventas[[#This Row],[total_venta]]</f>
        <v>4.6000000000000085</v>
      </c>
    </row>
    <row r="1069" spans="1:18" x14ac:dyDescent="0.25">
      <c r="A1069" t="s">
        <v>1162</v>
      </c>
      <c r="B1069" s="1">
        <v>45543</v>
      </c>
      <c r="C1069" t="s">
        <v>42</v>
      </c>
      <c r="D1069" t="s">
        <v>43</v>
      </c>
      <c r="E1069">
        <v>4</v>
      </c>
      <c r="F1069" s="2">
        <v>349.99</v>
      </c>
      <c r="G1069">
        <v>0</v>
      </c>
      <c r="H1069" s="2">
        <v>349.99</v>
      </c>
      <c r="I1069" s="2">
        <v>1399.96</v>
      </c>
      <c r="J1069" t="s">
        <v>19</v>
      </c>
      <c r="K1069" t="s">
        <v>20</v>
      </c>
      <c r="L1069" t="s">
        <v>45</v>
      </c>
      <c r="M1069" t="s">
        <v>33</v>
      </c>
      <c r="N1069" t="s">
        <v>34</v>
      </c>
      <c r="O1069" t="s">
        <v>35</v>
      </c>
      <c r="P1069">
        <v>1</v>
      </c>
      <c r="Q1069" s="2">
        <f>Ventas[[#This Row],[precio_base]]*Ventas[[#This Row],[cantidad]]</f>
        <v>1399.96</v>
      </c>
      <c r="R1069" s="2">
        <f>Ventas[[#This Row],[Total bruto (antes de descuento)]]-Ventas[[#This Row],[total_venta]]</f>
        <v>0</v>
      </c>
    </row>
    <row r="1070" spans="1:18" x14ac:dyDescent="0.25">
      <c r="A1070" t="s">
        <v>1163</v>
      </c>
      <c r="B1070" s="1">
        <v>45307</v>
      </c>
      <c r="C1070" t="s">
        <v>83</v>
      </c>
      <c r="D1070" t="s">
        <v>38</v>
      </c>
      <c r="E1070">
        <v>3</v>
      </c>
      <c r="F1070" s="2">
        <v>49.99</v>
      </c>
      <c r="G1070">
        <v>0</v>
      </c>
      <c r="H1070" s="2">
        <v>49.99</v>
      </c>
      <c r="I1070" s="2">
        <v>149.97</v>
      </c>
      <c r="J1070" t="s">
        <v>19</v>
      </c>
      <c r="K1070" t="s">
        <v>52</v>
      </c>
      <c r="L1070" t="s">
        <v>21</v>
      </c>
      <c r="M1070" t="s">
        <v>46</v>
      </c>
      <c r="N1070" t="s">
        <v>47</v>
      </c>
      <c r="O1070" t="s">
        <v>48</v>
      </c>
      <c r="P1070">
        <v>5</v>
      </c>
      <c r="Q1070" s="2">
        <f>Ventas[[#This Row],[precio_base]]*Ventas[[#This Row],[cantidad]]</f>
        <v>149.97</v>
      </c>
      <c r="R1070" s="2">
        <f>Ventas[[#This Row],[Total bruto (antes de descuento)]]-Ventas[[#This Row],[total_venta]]</f>
        <v>0</v>
      </c>
    </row>
    <row r="1071" spans="1:18" x14ac:dyDescent="0.25">
      <c r="A1071" t="s">
        <v>1164</v>
      </c>
      <c r="B1071" s="1">
        <v>45358</v>
      </c>
      <c r="C1071" t="s">
        <v>94</v>
      </c>
      <c r="D1071" t="s">
        <v>18</v>
      </c>
      <c r="E1071">
        <v>3</v>
      </c>
      <c r="F1071" s="2">
        <v>899.99</v>
      </c>
      <c r="G1071">
        <v>0</v>
      </c>
      <c r="H1071" s="2">
        <v>899.99</v>
      </c>
      <c r="I1071" s="2">
        <v>2699.97</v>
      </c>
      <c r="J1071" t="s">
        <v>19</v>
      </c>
      <c r="K1071" t="s">
        <v>44</v>
      </c>
      <c r="L1071" t="s">
        <v>21</v>
      </c>
      <c r="M1071" t="s">
        <v>67</v>
      </c>
      <c r="N1071" t="s">
        <v>68</v>
      </c>
      <c r="O1071" t="s">
        <v>35</v>
      </c>
      <c r="P1071">
        <v>5</v>
      </c>
      <c r="Q1071" s="2">
        <f>Ventas[[#This Row],[precio_base]]*Ventas[[#This Row],[cantidad]]</f>
        <v>2699.9700000000003</v>
      </c>
      <c r="R1071" s="2">
        <f>Ventas[[#This Row],[Total bruto (antes de descuento)]]-Ventas[[#This Row],[total_venta]]</f>
        <v>0</v>
      </c>
    </row>
    <row r="1072" spans="1:18" x14ac:dyDescent="0.25">
      <c r="A1072" t="s">
        <v>1165</v>
      </c>
      <c r="B1072" s="1">
        <v>45284</v>
      </c>
      <c r="C1072" t="s">
        <v>56</v>
      </c>
      <c r="D1072" t="s">
        <v>18</v>
      </c>
      <c r="E1072">
        <v>1</v>
      </c>
      <c r="F1072" s="2">
        <v>89.99</v>
      </c>
      <c r="G1072">
        <v>5</v>
      </c>
      <c r="H1072" s="2">
        <v>85.49</v>
      </c>
      <c r="I1072" s="2">
        <v>85.49</v>
      </c>
      <c r="J1072" t="s">
        <v>19</v>
      </c>
      <c r="K1072" t="s">
        <v>44</v>
      </c>
      <c r="L1072" t="s">
        <v>152</v>
      </c>
      <c r="M1072" t="s">
        <v>58</v>
      </c>
      <c r="N1072" t="s">
        <v>59</v>
      </c>
      <c r="O1072" t="s">
        <v>24</v>
      </c>
      <c r="P1072">
        <v>4</v>
      </c>
      <c r="Q1072" s="2">
        <f>Ventas[[#This Row],[precio_base]]*Ventas[[#This Row],[cantidad]]</f>
        <v>89.99</v>
      </c>
      <c r="R1072" s="2">
        <f>Ventas[[#This Row],[Total bruto (antes de descuento)]]-Ventas[[#This Row],[total_venta]]</f>
        <v>4.5</v>
      </c>
    </row>
    <row r="1073" spans="1:18" x14ac:dyDescent="0.25">
      <c r="A1073" t="s">
        <v>1166</v>
      </c>
      <c r="B1073" s="1">
        <v>45413</v>
      </c>
      <c r="C1073" t="s">
        <v>143</v>
      </c>
      <c r="D1073" t="s">
        <v>43</v>
      </c>
      <c r="E1073">
        <v>5</v>
      </c>
      <c r="F1073" s="2">
        <v>34.99</v>
      </c>
      <c r="G1073">
        <v>0</v>
      </c>
      <c r="H1073" s="2">
        <v>34.99</v>
      </c>
      <c r="I1073" s="2">
        <v>174.95</v>
      </c>
      <c r="J1073" t="s">
        <v>51</v>
      </c>
      <c r="K1073" t="s">
        <v>44</v>
      </c>
      <c r="L1073" t="s">
        <v>28</v>
      </c>
      <c r="M1073" t="s">
        <v>65</v>
      </c>
      <c r="N1073" t="s">
        <v>54</v>
      </c>
      <c r="O1073" t="s">
        <v>35</v>
      </c>
      <c r="Q1073" s="2">
        <f>Ventas[[#This Row],[precio_base]]*Ventas[[#This Row],[cantidad]]</f>
        <v>174.95000000000002</v>
      </c>
      <c r="R1073" s="2">
        <f>Ventas[[#This Row],[Total bruto (antes de descuento)]]-Ventas[[#This Row],[total_venta]]</f>
        <v>0</v>
      </c>
    </row>
    <row r="1074" spans="1:18" x14ac:dyDescent="0.25">
      <c r="A1074" t="s">
        <v>1167</v>
      </c>
      <c r="B1074" s="1">
        <v>45610</v>
      </c>
      <c r="C1074" t="s">
        <v>151</v>
      </c>
      <c r="D1074" t="s">
        <v>27</v>
      </c>
      <c r="E1074">
        <v>2</v>
      </c>
      <c r="F1074" s="2">
        <v>599.99</v>
      </c>
      <c r="G1074">
        <v>20</v>
      </c>
      <c r="H1074" s="2">
        <v>479.99</v>
      </c>
      <c r="I1074" s="2">
        <v>959.98</v>
      </c>
      <c r="J1074" t="s">
        <v>51</v>
      </c>
      <c r="K1074" t="s">
        <v>52</v>
      </c>
      <c r="L1074" t="s">
        <v>28</v>
      </c>
      <c r="M1074" t="s">
        <v>95</v>
      </c>
      <c r="N1074" t="s">
        <v>96</v>
      </c>
      <c r="O1074" t="s">
        <v>48</v>
      </c>
      <c r="Q1074" s="2">
        <f>Ventas[[#This Row],[precio_base]]*Ventas[[#This Row],[cantidad]]</f>
        <v>1199.98</v>
      </c>
      <c r="R1074" s="2">
        <f>Ventas[[#This Row],[Total bruto (antes de descuento)]]-Ventas[[#This Row],[total_venta]]</f>
        <v>240</v>
      </c>
    </row>
    <row r="1075" spans="1:18" x14ac:dyDescent="0.25">
      <c r="A1075" t="s">
        <v>1168</v>
      </c>
      <c r="B1075" s="1">
        <v>45346</v>
      </c>
      <c r="C1075" t="s">
        <v>109</v>
      </c>
      <c r="D1075" t="s">
        <v>38</v>
      </c>
      <c r="E1075">
        <v>2</v>
      </c>
      <c r="F1075" s="2">
        <v>39.99</v>
      </c>
      <c r="G1075">
        <v>5</v>
      </c>
      <c r="H1075" s="2">
        <v>37.99</v>
      </c>
      <c r="I1075" s="2">
        <v>75.98</v>
      </c>
      <c r="J1075" t="s">
        <v>19</v>
      </c>
      <c r="K1075" t="s">
        <v>57</v>
      </c>
      <c r="L1075" t="s">
        <v>32</v>
      </c>
      <c r="M1075" t="s">
        <v>46</v>
      </c>
      <c r="N1075" t="s">
        <v>47</v>
      </c>
      <c r="O1075" t="s">
        <v>48</v>
      </c>
      <c r="P1075">
        <v>3</v>
      </c>
      <c r="Q1075" s="2">
        <f>Ventas[[#This Row],[precio_base]]*Ventas[[#This Row],[cantidad]]</f>
        <v>79.98</v>
      </c>
      <c r="R1075" s="2">
        <f>Ventas[[#This Row],[Total bruto (antes de descuento)]]-Ventas[[#This Row],[total_venta]]</f>
        <v>4</v>
      </c>
    </row>
    <row r="1076" spans="1:18" x14ac:dyDescent="0.25">
      <c r="A1076" t="s">
        <v>1169</v>
      </c>
      <c r="B1076" s="1">
        <v>45588</v>
      </c>
      <c r="C1076" t="s">
        <v>56</v>
      </c>
      <c r="D1076" t="s">
        <v>18</v>
      </c>
      <c r="E1076">
        <v>2</v>
      </c>
      <c r="F1076" s="2">
        <v>89.99</v>
      </c>
      <c r="G1076">
        <v>15</v>
      </c>
      <c r="H1076" s="2">
        <v>76.489999999999995</v>
      </c>
      <c r="I1076" s="2">
        <v>152.97999999999999</v>
      </c>
      <c r="J1076" t="s">
        <v>19</v>
      </c>
      <c r="K1076" t="s">
        <v>52</v>
      </c>
      <c r="L1076" t="s">
        <v>28</v>
      </c>
      <c r="M1076" t="s">
        <v>73</v>
      </c>
      <c r="N1076" t="s">
        <v>74</v>
      </c>
      <c r="O1076" t="s">
        <v>35</v>
      </c>
      <c r="P1076">
        <v>5</v>
      </c>
      <c r="Q1076" s="2">
        <f>Ventas[[#This Row],[precio_base]]*Ventas[[#This Row],[cantidad]]</f>
        <v>179.98</v>
      </c>
      <c r="R1076" s="2">
        <f>Ventas[[#This Row],[Total bruto (antes de descuento)]]-Ventas[[#This Row],[total_venta]]</f>
        <v>27</v>
      </c>
    </row>
    <row r="1077" spans="1:18" x14ac:dyDescent="0.25">
      <c r="A1077" t="s">
        <v>1170</v>
      </c>
      <c r="B1077" s="1">
        <v>45587</v>
      </c>
      <c r="C1077" t="s">
        <v>17</v>
      </c>
      <c r="D1077" t="s">
        <v>18</v>
      </c>
      <c r="E1077">
        <v>5</v>
      </c>
      <c r="F1077" s="2">
        <v>45.99</v>
      </c>
      <c r="G1077">
        <v>0</v>
      </c>
      <c r="H1077" s="2">
        <v>45.99</v>
      </c>
      <c r="I1077" s="2">
        <v>229.95</v>
      </c>
      <c r="J1077" t="s">
        <v>19</v>
      </c>
      <c r="K1077" t="s">
        <v>44</v>
      </c>
      <c r="L1077" t="s">
        <v>28</v>
      </c>
      <c r="M1077" t="s">
        <v>33</v>
      </c>
      <c r="N1077" t="s">
        <v>34</v>
      </c>
      <c r="O1077" t="s">
        <v>35</v>
      </c>
      <c r="P1077">
        <v>5</v>
      </c>
      <c r="Q1077" s="2">
        <f>Ventas[[#This Row],[precio_base]]*Ventas[[#This Row],[cantidad]]</f>
        <v>229.95000000000002</v>
      </c>
      <c r="R1077" s="2">
        <f>Ventas[[#This Row],[Total bruto (antes de descuento)]]-Ventas[[#This Row],[total_venta]]</f>
        <v>0</v>
      </c>
    </row>
    <row r="1078" spans="1:18" x14ac:dyDescent="0.25">
      <c r="A1078" t="s">
        <v>1171</v>
      </c>
      <c r="B1078" s="1">
        <v>45461</v>
      </c>
      <c r="C1078" t="s">
        <v>115</v>
      </c>
      <c r="D1078" t="s">
        <v>18</v>
      </c>
      <c r="E1078">
        <v>4</v>
      </c>
      <c r="F1078" s="2">
        <v>799.99</v>
      </c>
      <c r="G1078">
        <v>10</v>
      </c>
      <c r="H1078" s="2">
        <v>719.99</v>
      </c>
      <c r="I1078" s="2">
        <v>2879.96</v>
      </c>
      <c r="J1078" t="s">
        <v>62</v>
      </c>
      <c r="K1078" t="s">
        <v>44</v>
      </c>
      <c r="L1078" t="s">
        <v>45</v>
      </c>
      <c r="M1078" t="s">
        <v>95</v>
      </c>
      <c r="N1078" t="s">
        <v>96</v>
      </c>
      <c r="O1078" t="s">
        <v>48</v>
      </c>
      <c r="Q1078" s="2">
        <f>Ventas[[#This Row],[precio_base]]*Ventas[[#This Row],[cantidad]]</f>
        <v>3199.96</v>
      </c>
      <c r="R1078" s="2">
        <f>Ventas[[#This Row],[Total bruto (antes de descuento)]]-Ventas[[#This Row],[total_venta]]</f>
        <v>320</v>
      </c>
    </row>
    <row r="1079" spans="1:18" x14ac:dyDescent="0.25">
      <c r="A1079" t="s">
        <v>1172</v>
      </c>
      <c r="B1079" s="1">
        <v>44946</v>
      </c>
      <c r="C1079" t="s">
        <v>61</v>
      </c>
      <c r="D1079" t="s">
        <v>38</v>
      </c>
      <c r="E1079">
        <v>2</v>
      </c>
      <c r="F1079" s="2">
        <v>19.989999999999998</v>
      </c>
      <c r="G1079">
        <v>0</v>
      </c>
      <c r="H1079" s="2">
        <v>19.989999999999998</v>
      </c>
      <c r="I1079" s="2">
        <v>39.979999999999997</v>
      </c>
      <c r="J1079" t="s">
        <v>62</v>
      </c>
      <c r="K1079" t="s">
        <v>52</v>
      </c>
      <c r="L1079" t="s">
        <v>45</v>
      </c>
      <c r="M1079" t="s">
        <v>67</v>
      </c>
      <c r="N1079" t="s">
        <v>68</v>
      </c>
      <c r="O1079" t="s">
        <v>35</v>
      </c>
      <c r="Q1079" s="2">
        <f>Ventas[[#This Row],[precio_base]]*Ventas[[#This Row],[cantidad]]</f>
        <v>39.979999999999997</v>
      </c>
      <c r="R1079" s="2">
        <f>Ventas[[#This Row],[Total bruto (antes de descuento)]]-Ventas[[#This Row],[total_venta]]</f>
        <v>0</v>
      </c>
    </row>
    <row r="1080" spans="1:18" x14ac:dyDescent="0.25">
      <c r="A1080" t="s">
        <v>1173</v>
      </c>
      <c r="B1080" s="1">
        <v>45473</v>
      </c>
      <c r="C1080" t="s">
        <v>156</v>
      </c>
      <c r="D1080" t="s">
        <v>27</v>
      </c>
      <c r="E1080">
        <v>3</v>
      </c>
      <c r="F1080" s="2">
        <v>49.99</v>
      </c>
      <c r="G1080">
        <v>5</v>
      </c>
      <c r="H1080" s="2">
        <v>47.49</v>
      </c>
      <c r="I1080" s="2">
        <v>142.47</v>
      </c>
      <c r="J1080" t="s">
        <v>19</v>
      </c>
      <c r="K1080" t="s">
        <v>52</v>
      </c>
      <c r="L1080" t="s">
        <v>21</v>
      </c>
      <c r="M1080" t="s">
        <v>101</v>
      </c>
      <c r="N1080" t="s">
        <v>102</v>
      </c>
      <c r="O1080" t="s">
        <v>35</v>
      </c>
      <c r="P1080">
        <v>4</v>
      </c>
      <c r="Q1080" s="2">
        <f>Ventas[[#This Row],[precio_base]]*Ventas[[#This Row],[cantidad]]</f>
        <v>149.97</v>
      </c>
      <c r="R1080" s="2">
        <f>Ventas[[#This Row],[Total bruto (antes de descuento)]]-Ventas[[#This Row],[total_venta]]</f>
        <v>7.5</v>
      </c>
    </row>
    <row r="1081" spans="1:18" x14ac:dyDescent="0.25">
      <c r="A1081" t="s">
        <v>1174</v>
      </c>
      <c r="B1081" s="1">
        <v>45111</v>
      </c>
      <c r="C1081" t="s">
        <v>37</v>
      </c>
      <c r="D1081" t="s">
        <v>38</v>
      </c>
      <c r="E1081">
        <v>1</v>
      </c>
      <c r="F1081" s="2">
        <v>34.99</v>
      </c>
      <c r="G1081">
        <v>20</v>
      </c>
      <c r="H1081" s="2">
        <v>27.99</v>
      </c>
      <c r="I1081" s="2">
        <v>27.99</v>
      </c>
      <c r="J1081" t="s">
        <v>19</v>
      </c>
      <c r="K1081" t="s">
        <v>20</v>
      </c>
      <c r="L1081" t="s">
        <v>21</v>
      </c>
      <c r="M1081" t="s">
        <v>120</v>
      </c>
      <c r="N1081" t="s">
        <v>23</v>
      </c>
      <c r="O1081" t="s">
        <v>24</v>
      </c>
      <c r="P1081">
        <v>1</v>
      </c>
      <c r="Q1081" s="2">
        <f>Ventas[[#This Row],[precio_base]]*Ventas[[#This Row],[cantidad]]</f>
        <v>34.99</v>
      </c>
      <c r="R1081" s="2">
        <f>Ventas[[#This Row],[Total bruto (antes de descuento)]]-Ventas[[#This Row],[total_venta]]</f>
        <v>7.0000000000000036</v>
      </c>
    </row>
    <row r="1082" spans="1:18" x14ac:dyDescent="0.25">
      <c r="A1082" t="s">
        <v>1175</v>
      </c>
      <c r="B1082" s="1">
        <v>45481</v>
      </c>
      <c r="C1082" t="s">
        <v>205</v>
      </c>
      <c r="D1082" t="s">
        <v>18</v>
      </c>
      <c r="E1082">
        <v>3</v>
      </c>
      <c r="F1082" s="2">
        <v>129.99</v>
      </c>
      <c r="G1082">
        <v>0</v>
      </c>
      <c r="H1082" s="2">
        <v>129.99</v>
      </c>
      <c r="I1082" s="2">
        <v>389.97</v>
      </c>
      <c r="J1082" t="s">
        <v>19</v>
      </c>
      <c r="K1082" t="s">
        <v>20</v>
      </c>
      <c r="L1082" t="s">
        <v>21</v>
      </c>
      <c r="M1082" t="s">
        <v>39</v>
      </c>
      <c r="N1082" t="s">
        <v>40</v>
      </c>
      <c r="O1082" t="s">
        <v>35</v>
      </c>
      <c r="P1082">
        <v>4</v>
      </c>
      <c r="Q1082" s="2">
        <f>Ventas[[#This Row],[precio_base]]*Ventas[[#This Row],[cantidad]]</f>
        <v>389.97</v>
      </c>
      <c r="R1082" s="2">
        <f>Ventas[[#This Row],[Total bruto (antes de descuento)]]-Ventas[[#This Row],[total_venta]]</f>
        <v>0</v>
      </c>
    </row>
    <row r="1083" spans="1:18" x14ac:dyDescent="0.25">
      <c r="A1083" t="s">
        <v>1176</v>
      </c>
      <c r="B1083" s="1">
        <v>45621</v>
      </c>
      <c r="C1083" t="s">
        <v>205</v>
      </c>
      <c r="D1083" t="s">
        <v>18</v>
      </c>
      <c r="E1083">
        <v>1</v>
      </c>
      <c r="F1083" s="2">
        <v>129.99</v>
      </c>
      <c r="G1083">
        <v>10</v>
      </c>
      <c r="H1083" s="2">
        <v>116.99</v>
      </c>
      <c r="I1083" s="2">
        <v>116.99</v>
      </c>
      <c r="J1083" t="s">
        <v>116</v>
      </c>
      <c r="K1083" t="s">
        <v>20</v>
      </c>
      <c r="L1083" t="s">
        <v>21</v>
      </c>
      <c r="M1083" t="s">
        <v>63</v>
      </c>
      <c r="N1083" t="s">
        <v>34</v>
      </c>
      <c r="O1083" t="s">
        <v>24</v>
      </c>
      <c r="Q1083" s="2">
        <f>Ventas[[#This Row],[precio_base]]*Ventas[[#This Row],[cantidad]]</f>
        <v>129.99</v>
      </c>
      <c r="R1083" s="2">
        <f>Ventas[[#This Row],[Total bruto (antes de descuento)]]-Ventas[[#This Row],[total_venta]]</f>
        <v>13.000000000000014</v>
      </c>
    </row>
    <row r="1084" spans="1:18" x14ac:dyDescent="0.25">
      <c r="A1084" t="s">
        <v>1177</v>
      </c>
      <c r="B1084" s="1">
        <v>45326</v>
      </c>
      <c r="C1084" t="s">
        <v>17</v>
      </c>
      <c r="D1084" t="s">
        <v>18</v>
      </c>
      <c r="E1084">
        <v>3</v>
      </c>
      <c r="F1084" s="2">
        <v>45.99</v>
      </c>
      <c r="G1084">
        <v>0</v>
      </c>
      <c r="H1084" s="2">
        <v>45.99</v>
      </c>
      <c r="I1084" s="2">
        <v>137.97</v>
      </c>
      <c r="J1084" t="s">
        <v>19</v>
      </c>
      <c r="K1084" t="s">
        <v>20</v>
      </c>
      <c r="L1084" t="s">
        <v>152</v>
      </c>
      <c r="M1084" t="s">
        <v>123</v>
      </c>
      <c r="N1084" t="s">
        <v>124</v>
      </c>
      <c r="O1084" t="s">
        <v>24</v>
      </c>
      <c r="P1084">
        <v>1</v>
      </c>
      <c r="Q1084" s="2">
        <f>Ventas[[#This Row],[precio_base]]*Ventas[[#This Row],[cantidad]]</f>
        <v>137.97</v>
      </c>
      <c r="R1084" s="2">
        <f>Ventas[[#This Row],[Total bruto (antes de descuento)]]-Ventas[[#This Row],[total_venta]]</f>
        <v>0</v>
      </c>
    </row>
    <row r="1085" spans="1:18" x14ac:dyDescent="0.25">
      <c r="A1085" t="s">
        <v>1178</v>
      </c>
      <c r="B1085" s="1">
        <v>44980</v>
      </c>
      <c r="C1085" t="s">
        <v>115</v>
      </c>
      <c r="D1085" t="s">
        <v>18</v>
      </c>
      <c r="E1085">
        <v>2</v>
      </c>
      <c r="F1085" s="2">
        <v>799.99</v>
      </c>
      <c r="G1085">
        <v>20</v>
      </c>
      <c r="H1085" s="2">
        <v>639.99</v>
      </c>
      <c r="I1085" s="2">
        <v>1279.98</v>
      </c>
      <c r="J1085" t="s">
        <v>19</v>
      </c>
      <c r="K1085" t="s">
        <v>44</v>
      </c>
      <c r="L1085" t="s">
        <v>28</v>
      </c>
      <c r="M1085" t="s">
        <v>22</v>
      </c>
      <c r="N1085" t="s">
        <v>23</v>
      </c>
      <c r="O1085" t="s">
        <v>24</v>
      </c>
      <c r="P1085">
        <v>4</v>
      </c>
      <c r="Q1085" s="2">
        <f>Ventas[[#This Row],[precio_base]]*Ventas[[#This Row],[cantidad]]</f>
        <v>1599.98</v>
      </c>
      <c r="R1085" s="2">
        <f>Ventas[[#This Row],[Total bruto (antes de descuento)]]-Ventas[[#This Row],[total_venta]]</f>
        <v>320</v>
      </c>
    </row>
    <row r="1086" spans="1:18" x14ac:dyDescent="0.25">
      <c r="A1086" t="s">
        <v>1179</v>
      </c>
      <c r="B1086" s="1">
        <v>45044</v>
      </c>
      <c r="C1086" t="s">
        <v>61</v>
      </c>
      <c r="D1086" t="s">
        <v>38</v>
      </c>
      <c r="E1086">
        <v>1</v>
      </c>
      <c r="F1086" s="2">
        <v>19.989999999999998</v>
      </c>
      <c r="G1086">
        <v>0</v>
      </c>
      <c r="H1086" s="2">
        <v>19.989999999999998</v>
      </c>
      <c r="I1086" s="2">
        <v>19.989999999999998</v>
      </c>
      <c r="J1086" t="s">
        <v>19</v>
      </c>
      <c r="K1086" t="s">
        <v>20</v>
      </c>
      <c r="L1086" t="s">
        <v>21</v>
      </c>
      <c r="M1086" t="s">
        <v>120</v>
      </c>
      <c r="N1086" t="s">
        <v>23</v>
      </c>
      <c r="O1086" t="s">
        <v>24</v>
      </c>
      <c r="P1086">
        <v>2</v>
      </c>
      <c r="Q1086" s="2">
        <f>Ventas[[#This Row],[precio_base]]*Ventas[[#This Row],[cantidad]]</f>
        <v>19.989999999999998</v>
      </c>
      <c r="R1086" s="2">
        <f>Ventas[[#This Row],[Total bruto (antes de descuento)]]-Ventas[[#This Row],[total_venta]]</f>
        <v>0</v>
      </c>
    </row>
    <row r="1087" spans="1:18" x14ac:dyDescent="0.25">
      <c r="A1087" t="s">
        <v>1180</v>
      </c>
      <c r="B1087" s="1">
        <v>44946</v>
      </c>
      <c r="C1087" t="s">
        <v>61</v>
      </c>
      <c r="D1087" t="s">
        <v>38</v>
      </c>
      <c r="E1087">
        <v>5</v>
      </c>
      <c r="F1087" s="2">
        <v>19.989999999999998</v>
      </c>
      <c r="G1087">
        <v>10</v>
      </c>
      <c r="H1087" s="2">
        <v>17.989999999999998</v>
      </c>
      <c r="I1087" s="2">
        <v>89.95</v>
      </c>
      <c r="J1087" t="s">
        <v>51</v>
      </c>
      <c r="K1087" t="s">
        <v>52</v>
      </c>
      <c r="L1087" t="s">
        <v>28</v>
      </c>
      <c r="M1087" t="s">
        <v>22</v>
      </c>
      <c r="N1087" t="s">
        <v>23</v>
      </c>
      <c r="O1087" t="s">
        <v>24</v>
      </c>
      <c r="Q1087" s="2">
        <f>Ventas[[#This Row],[precio_base]]*Ventas[[#This Row],[cantidad]]</f>
        <v>99.949999999999989</v>
      </c>
      <c r="R1087" s="2">
        <f>Ventas[[#This Row],[Total bruto (antes de descuento)]]-Ventas[[#This Row],[total_venta]]</f>
        <v>9.9999999999999858</v>
      </c>
    </row>
    <row r="1088" spans="1:18" x14ac:dyDescent="0.25">
      <c r="A1088" t="s">
        <v>1181</v>
      </c>
      <c r="B1088" s="1">
        <v>45055</v>
      </c>
      <c r="C1088" t="s">
        <v>83</v>
      </c>
      <c r="D1088" t="s">
        <v>38</v>
      </c>
      <c r="E1088">
        <v>5</v>
      </c>
      <c r="F1088" s="2">
        <v>49.99</v>
      </c>
      <c r="G1088">
        <v>5</v>
      </c>
      <c r="H1088" s="2">
        <v>47.49</v>
      </c>
      <c r="I1088" s="2">
        <v>237.45</v>
      </c>
      <c r="J1088" t="s">
        <v>19</v>
      </c>
      <c r="K1088" t="s">
        <v>44</v>
      </c>
      <c r="L1088" t="s">
        <v>21</v>
      </c>
      <c r="M1088" t="s">
        <v>67</v>
      </c>
      <c r="N1088" t="s">
        <v>68</v>
      </c>
      <c r="O1088" t="s">
        <v>35</v>
      </c>
      <c r="P1088">
        <v>2</v>
      </c>
      <c r="Q1088" s="2">
        <f>Ventas[[#This Row],[precio_base]]*Ventas[[#This Row],[cantidad]]</f>
        <v>249.95000000000002</v>
      </c>
      <c r="R1088" s="2">
        <f>Ventas[[#This Row],[Total bruto (antes de descuento)]]-Ventas[[#This Row],[total_venta]]</f>
        <v>12.500000000000028</v>
      </c>
    </row>
    <row r="1089" spans="1:18" x14ac:dyDescent="0.25">
      <c r="A1089" t="s">
        <v>1182</v>
      </c>
      <c r="B1089" s="1">
        <v>45309</v>
      </c>
      <c r="C1089" t="s">
        <v>50</v>
      </c>
      <c r="D1089" t="s">
        <v>27</v>
      </c>
      <c r="E1089">
        <v>2</v>
      </c>
      <c r="F1089" s="2">
        <v>149.99</v>
      </c>
      <c r="G1089">
        <v>20</v>
      </c>
      <c r="H1089" s="2">
        <v>119.99</v>
      </c>
      <c r="I1089" s="2">
        <v>239.98</v>
      </c>
      <c r="J1089" t="s">
        <v>19</v>
      </c>
      <c r="K1089" t="s">
        <v>57</v>
      </c>
      <c r="L1089" t="s">
        <v>45</v>
      </c>
      <c r="M1089" t="s">
        <v>120</v>
      </c>
      <c r="N1089" t="s">
        <v>23</v>
      </c>
      <c r="O1089" t="s">
        <v>24</v>
      </c>
      <c r="P1089">
        <v>1</v>
      </c>
      <c r="Q1089" s="2">
        <f>Ventas[[#This Row],[precio_base]]*Ventas[[#This Row],[cantidad]]</f>
        <v>299.98</v>
      </c>
      <c r="R1089" s="2">
        <f>Ventas[[#This Row],[Total bruto (antes de descuento)]]-Ventas[[#This Row],[total_venta]]</f>
        <v>60.000000000000028</v>
      </c>
    </row>
    <row r="1090" spans="1:18" x14ac:dyDescent="0.25">
      <c r="A1090" t="s">
        <v>1183</v>
      </c>
      <c r="B1090" s="1">
        <v>44928</v>
      </c>
      <c r="C1090" t="s">
        <v>143</v>
      </c>
      <c r="D1090" t="s">
        <v>43</v>
      </c>
      <c r="E1090">
        <v>4</v>
      </c>
      <c r="F1090" s="2">
        <v>34.99</v>
      </c>
      <c r="G1090">
        <v>20</v>
      </c>
      <c r="H1090" s="2">
        <v>27.99</v>
      </c>
      <c r="I1090" s="2">
        <v>111.96</v>
      </c>
      <c r="J1090" t="s">
        <v>51</v>
      </c>
      <c r="K1090" t="s">
        <v>57</v>
      </c>
      <c r="L1090" t="s">
        <v>21</v>
      </c>
      <c r="M1090" t="s">
        <v>73</v>
      </c>
      <c r="N1090" t="s">
        <v>74</v>
      </c>
      <c r="O1090" t="s">
        <v>35</v>
      </c>
      <c r="Q1090" s="2">
        <f>Ventas[[#This Row],[precio_base]]*Ventas[[#This Row],[cantidad]]</f>
        <v>139.96</v>
      </c>
      <c r="R1090" s="2">
        <f>Ventas[[#This Row],[Total bruto (antes de descuento)]]-Ventas[[#This Row],[total_venta]]</f>
        <v>28.000000000000014</v>
      </c>
    </row>
    <row r="1091" spans="1:18" x14ac:dyDescent="0.25">
      <c r="A1091" t="s">
        <v>1184</v>
      </c>
      <c r="B1091" s="1">
        <v>45420</v>
      </c>
      <c r="C1091" t="s">
        <v>61</v>
      </c>
      <c r="D1091" t="s">
        <v>38</v>
      </c>
      <c r="E1091">
        <v>5</v>
      </c>
      <c r="F1091" s="2">
        <v>19.989999999999998</v>
      </c>
      <c r="G1091">
        <v>0</v>
      </c>
      <c r="H1091" s="2">
        <v>19.989999999999998</v>
      </c>
      <c r="I1091" s="2">
        <v>99.95</v>
      </c>
      <c r="J1091" t="s">
        <v>62</v>
      </c>
      <c r="K1091" t="s">
        <v>57</v>
      </c>
      <c r="L1091" t="s">
        <v>32</v>
      </c>
      <c r="M1091" t="s">
        <v>120</v>
      </c>
      <c r="N1091" t="s">
        <v>23</v>
      </c>
      <c r="O1091" t="s">
        <v>24</v>
      </c>
      <c r="Q1091" s="2">
        <f>Ventas[[#This Row],[precio_base]]*Ventas[[#This Row],[cantidad]]</f>
        <v>99.949999999999989</v>
      </c>
      <c r="R1091" s="2">
        <f>Ventas[[#This Row],[Total bruto (antes de descuento)]]-Ventas[[#This Row],[total_venta]]</f>
        <v>0</v>
      </c>
    </row>
    <row r="1092" spans="1:18" x14ac:dyDescent="0.25">
      <c r="A1092" t="s">
        <v>1185</v>
      </c>
      <c r="B1092" s="1">
        <v>45144</v>
      </c>
      <c r="C1092" t="s">
        <v>26</v>
      </c>
      <c r="D1092" t="s">
        <v>27</v>
      </c>
      <c r="E1092">
        <v>5</v>
      </c>
      <c r="F1092" s="2">
        <v>399.99</v>
      </c>
      <c r="G1092">
        <v>0</v>
      </c>
      <c r="H1092" s="2">
        <v>399.99</v>
      </c>
      <c r="I1092" s="2">
        <v>1999.95</v>
      </c>
      <c r="J1092" t="s">
        <v>19</v>
      </c>
      <c r="K1092" t="s">
        <v>44</v>
      </c>
      <c r="L1092" t="s">
        <v>21</v>
      </c>
      <c r="M1092" t="s">
        <v>84</v>
      </c>
      <c r="N1092" t="s">
        <v>85</v>
      </c>
      <c r="O1092" t="s">
        <v>35</v>
      </c>
      <c r="P1092">
        <v>1</v>
      </c>
      <c r="Q1092" s="2">
        <f>Ventas[[#This Row],[precio_base]]*Ventas[[#This Row],[cantidad]]</f>
        <v>1999.95</v>
      </c>
      <c r="R1092" s="2">
        <f>Ventas[[#This Row],[Total bruto (antes de descuento)]]-Ventas[[#This Row],[total_venta]]</f>
        <v>0</v>
      </c>
    </row>
    <row r="1093" spans="1:18" x14ac:dyDescent="0.25">
      <c r="A1093" t="s">
        <v>1186</v>
      </c>
      <c r="B1093" s="1">
        <v>45331</v>
      </c>
      <c r="C1093" t="s">
        <v>30</v>
      </c>
      <c r="D1093" t="s">
        <v>31</v>
      </c>
      <c r="E1093">
        <v>1</v>
      </c>
      <c r="F1093" s="2">
        <v>299.99</v>
      </c>
      <c r="G1093">
        <v>20</v>
      </c>
      <c r="H1093" s="2">
        <v>239.99</v>
      </c>
      <c r="I1093" s="2">
        <v>239.99</v>
      </c>
      <c r="J1093" t="s">
        <v>19</v>
      </c>
      <c r="K1093" t="s">
        <v>57</v>
      </c>
      <c r="L1093" t="s">
        <v>32</v>
      </c>
      <c r="M1093" t="s">
        <v>65</v>
      </c>
      <c r="N1093" t="s">
        <v>54</v>
      </c>
      <c r="O1093" t="s">
        <v>35</v>
      </c>
      <c r="P1093">
        <v>2</v>
      </c>
      <c r="Q1093" s="2">
        <f>Ventas[[#This Row],[precio_base]]*Ventas[[#This Row],[cantidad]]</f>
        <v>299.99</v>
      </c>
      <c r="R1093" s="2">
        <f>Ventas[[#This Row],[Total bruto (antes de descuento)]]-Ventas[[#This Row],[total_venta]]</f>
        <v>60</v>
      </c>
    </row>
    <row r="1094" spans="1:18" x14ac:dyDescent="0.25">
      <c r="A1094" t="s">
        <v>1187</v>
      </c>
      <c r="B1094" s="1">
        <v>45552</v>
      </c>
      <c r="C1094" t="s">
        <v>87</v>
      </c>
      <c r="D1094" t="s">
        <v>27</v>
      </c>
      <c r="E1094">
        <v>3</v>
      </c>
      <c r="F1094" s="2">
        <v>249.99</v>
      </c>
      <c r="G1094">
        <v>15</v>
      </c>
      <c r="H1094" s="2">
        <v>212.49</v>
      </c>
      <c r="I1094" s="2">
        <v>637.47</v>
      </c>
      <c r="J1094" t="s">
        <v>90</v>
      </c>
      <c r="K1094" t="s">
        <v>20</v>
      </c>
      <c r="L1094" t="s">
        <v>28</v>
      </c>
      <c r="M1094" t="s">
        <v>73</v>
      </c>
      <c r="N1094" t="s">
        <v>74</v>
      </c>
      <c r="O1094" t="s">
        <v>35</v>
      </c>
      <c r="Q1094" s="2">
        <f>Ventas[[#This Row],[precio_base]]*Ventas[[#This Row],[cantidad]]</f>
        <v>749.97</v>
      </c>
      <c r="R1094" s="2">
        <f>Ventas[[#This Row],[Total bruto (antes de descuento)]]-Ventas[[#This Row],[total_venta]]</f>
        <v>112.5</v>
      </c>
    </row>
    <row r="1095" spans="1:18" x14ac:dyDescent="0.25">
      <c r="A1095" t="s">
        <v>1188</v>
      </c>
      <c r="B1095" s="1">
        <v>45390</v>
      </c>
      <c r="C1095" t="s">
        <v>61</v>
      </c>
      <c r="D1095" t="s">
        <v>38</v>
      </c>
      <c r="E1095">
        <v>2</v>
      </c>
      <c r="F1095" s="2">
        <v>19.989999999999998</v>
      </c>
      <c r="G1095">
        <v>15</v>
      </c>
      <c r="H1095" s="2">
        <v>16.989999999999998</v>
      </c>
      <c r="I1095" s="2">
        <v>33.979999999999997</v>
      </c>
      <c r="J1095" t="s">
        <v>116</v>
      </c>
      <c r="K1095" t="s">
        <v>20</v>
      </c>
      <c r="L1095" t="s">
        <v>152</v>
      </c>
      <c r="M1095" t="s">
        <v>123</v>
      </c>
      <c r="N1095" t="s">
        <v>124</v>
      </c>
      <c r="O1095" t="s">
        <v>24</v>
      </c>
      <c r="Q1095" s="2">
        <f>Ventas[[#This Row],[precio_base]]*Ventas[[#This Row],[cantidad]]</f>
        <v>39.979999999999997</v>
      </c>
      <c r="R1095" s="2">
        <f>Ventas[[#This Row],[Total bruto (antes de descuento)]]-Ventas[[#This Row],[total_venta]]</f>
        <v>6</v>
      </c>
    </row>
    <row r="1096" spans="1:18" x14ac:dyDescent="0.25">
      <c r="A1096" t="s">
        <v>1189</v>
      </c>
      <c r="B1096" s="1">
        <v>45263</v>
      </c>
      <c r="C1096" t="s">
        <v>104</v>
      </c>
      <c r="D1096" t="s">
        <v>18</v>
      </c>
      <c r="E1096">
        <v>2</v>
      </c>
      <c r="F1096" s="2">
        <v>1199.99</v>
      </c>
      <c r="G1096">
        <v>15</v>
      </c>
      <c r="H1096" s="2">
        <v>1019.99</v>
      </c>
      <c r="I1096" s="2">
        <v>2039.98</v>
      </c>
      <c r="J1096" t="s">
        <v>90</v>
      </c>
      <c r="K1096" t="s">
        <v>44</v>
      </c>
      <c r="L1096" t="s">
        <v>152</v>
      </c>
      <c r="M1096" t="s">
        <v>33</v>
      </c>
      <c r="N1096" t="s">
        <v>34</v>
      </c>
      <c r="O1096" t="s">
        <v>35</v>
      </c>
      <c r="Q1096" s="2">
        <f>Ventas[[#This Row],[precio_base]]*Ventas[[#This Row],[cantidad]]</f>
        <v>2399.98</v>
      </c>
      <c r="R1096" s="2">
        <f>Ventas[[#This Row],[Total bruto (antes de descuento)]]-Ventas[[#This Row],[total_venta]]</f>
        <v>360</v>
      </c>
    </row>
    <row r="1097" spans="1:18" x14ac:dyDescent="0.25">
      <c r="A1097" t="s">
        <v>1190</v>
      </c>
      <c r="B1097" s="1">
        <v>45615</v>
      </c>
      <c r="C1097" t="s">
        <v>205</v>
      </c>
      <c r="D1097" t="s">
        <v>18</v>
      </c>
      <c r="E1097">
        <v>4</v>
      </c>
      <c r="F1097" s="2">
        <v>129.99</v>
      </c>
      <c r="G1097">
        <v>10</v>
      </c>
      <c r="H1097" s="2">
        <v>116.99</v>
      </c>
      <c r="I1097" s="2">
        <v>467.96</v>
      </c>
      <c r="J1097" t="s">
        <v>62</v>
      </c>
      <c r="K1097" t="s">
        <v>44</v>
      </c>
      <c r="L1097" t="s">
        <v>45</v>
      </c>
      <c r="M1097" t="s">
        <v>84</v>
      </c>
      <c r="N1097" t="s">
        <v>85</v>
      </c>
      <c r="O1097" t="s">
        <v>35</v>
      </c>
      <c r="Q1097" s="2">
        <f>Ventas[[#This Row],[precio_base]]*Ventas[[#This Row],[cantidad]]</f>
        <v>519.96</v>
      </c>
      <c r="R1097" s="2">
        <f>Ventas[[#This Row],[Total bruto (antes de descuento)]]-Ventas[[#This Row],[total_venta]]</f>
        <v>52.000000000000057</v>
      </c>
    </row>
    <row r="1098" spans="1:18" x14ac:dyDescent="0.25">
      <c r="A1098" t="s">
        <v>1191</v>
      </c>
      <c r="B1098" s="1">
        <v>45010</v>
      </c>
      <c r="C1098" t="s">
        <v>70</v>
      </c>
      <c r="D1098" t="s">
        <v>31</v>
      </c>
      <c r="E1098">
        <v>1</v>
      </c>
      <c r="F1098" s="2">
        <v>59.99</v>
      </c>
      <c r="G1098">
        <v>10</v>
      </c>
      <c r="H1098" s="2">
        <v>53.99</v>
      </c>
      <c r="I1098" s="2">
        <v>53.99</v>
      </c>
      <c r="J1098" t="s">
        <v>19</v>
      </c>
      <c r="K1098" t="s">
        <v>52</v>
      </c>
      <c r="L1098" t="s">
        <v>45</v>
      </c>
      <c r="M1098" t="s">
        <v>67</v>
      </c>
      <c r="N1098" t="s">
        <v>68</v>
      </c>
      <c r="O1098" t="s">
        <v>35</v>
      </c>
      <c r="P1098">
        <v>1</v>
      </c>
      <c r="Q1098" s="2">
        <f>Ventas[[#This Row],[precio_base]]*Ventas[[#This Row],[cantidad]]</f>
        <v>59.99</v>
      </c>
      <c r="R1098" s="2">
        <f>Ventas[[#This Row],[Total bruto (antes de descuento)]]-Ventas[[#This Row],[total_venta]]</f>
        <v>6</v>
      </c>
    </row>
    <row r="1099" spans="1:18" x14ac:dyDescent="0.25">
      <c r="A1099" t="s">
        <v>1192</v>
      </c>
      <c r="B1099" s="1">
        <v>45288</v>
      </c>
      <c r="C1099" t="s">
        <v>143</v>
      </c>
      <c r="D1099" t="s">
        <v>43</v>
      </c>
      <c r="E1099">
        <v>4</v>
      </c>
      <c r="F1099" s="2">
        <v>34.99</v>
      </c>
      <c r="G1099">
        <v>20</v>
      </c>
      <c r="H1099" s="2">
        <v>27.99</v>
      </c>
      <c r="I1099" s="2">
        <v>111.96</v>
      </c>
      <c r="J1099" t="s">
        <v>51</v>
      </c>
      <c r="K1099" t="s">
        <v>20</v>
      </c>
      <c r="L1099" t="s">
        <v>28</v>
      </c>
      <c r="M1099" t="s">
        <v>120</v>
      </c>
      <c r="N1099" t="s">
        <v>23</v>
      </c>
      <c r="O1099" t="s">
        <v>24</v>
      </c>
      <c r="Q1099" s="2">
        <f>Ventas[[#This Row],[precio_base]]*Ventas[[#This Row],[cantidad]]</f>
        <v>139.96</v>
      </c>
      <c r="R1099" s="2">
        <f>Ventas[[#This Row],[Total bruto (antes de descuento)]]-Ventas[[#This Row],[total_venta]]</f>
        <v>28.000000000000014</v>
      </c>
    </row>
    <row r="1100" spans="1:18" x14ac:dyDescent="0.25">
      <c r="A1100" t="s">
        <v>1193</v>
      </c>
      <c r="B1100" s="1">
        <v>45640</v>
      </c>
      <c r="C1100" t="s">
        <v>104</v>
      </c>
      <c r="D1100" t="s">
        <v>18</v>
      </c>
      <c r="E1100">
        <v>1</v>
      </c>
      <c r="F1100" s="2">
        <v>1199.99</v>
      </c>
      <c r="G1100">
        <v>5</v>
      </c>
      <c r="H1100" s="2">
        <v>1139.99</v>
      </c>
      <c r="I1100" s="2">
        <v>1139.99</v>
      </c>
      <c r="J1100" t="s">
        <v>19</v>
      </c>
      <c r="K1100" t="s">
        <v>20</v>
      </c>
      <c r="L1100" t="s">
        <v>21</v>
      </c>
      <c r="M1100" t="s">
        <v>22</v>
      </c>
      <c r="N1100" t="s">
        <v>23</v>
      </c>
      <c r="O1100" t="s">
        <v>24</v>
      </c>
      <c r="P1100">
        <v>1</v>
      </c>
      <c r="Q1100" s="2">
        <f>Ventas[[#This Row],[precio_base]]*Ventas[[#This Row],[cantidad]]</f>
        <v>1199.99</v>
      </c>
      <c r="R1100" s="2">
        <f>Ventas[[#This Row],[Total bruto (antes de descuento)]]-Ventas[[#This Row],[total_venta]]</f>
        <v>60</v>
      </c>
    </row>
    <row r="1101" spans="1:18" x14ac:dyDescent="0.25">
      <c r="A1101" t="s">
        <v>1194</v>
      </c>
      <c r="B1101" s="1">
        <v>45214</v>
      </c>
      <c r="C1101" t="s">
        <v>81</v>
      </c>
      <c r="D1101" t="s">
        <v>31</v>
      </c>
      <c r="E1101">
        <v>3</v>
      </c>
      <c r="F1101" s="2">
        <v>189.99</v>
      </c>
      <c r="G1101">
        <v>0</v>
      </c>
      <c r="H1101" s="2">
        <v>189.99</v>
      </c>
      <c r="I1101" s="2">
        <v>569.97</v>
      </c>
      <c r="J1101" t="s">
        <v>19</v>
      </c>
      <c r="K1101" t="s">
        <v>44</v>
      </c>
      <c r="L1101" t="s">
        <v>32</v>
      </c>
      <c r="M1101" t="s">
        <v>33</v>
      </c>
      <c r="N1101" t="s">
        <v>34</v>
      </c>
      <c r="O1101" t="s">
        <v>35</v>
      </c>
      <c r="P1101">
        <v>2</v>
      </c>
      <c r="Q1101" s="2">
        <f>Ventas[[#This Row],[precio_base]]*Ventas[[#This Row],[cantidad]]</f>
        <v>569.97</v>
      </c>
      <c r="R1101" s="2">
        <f>Ventas[[#This Row],[Total bruto (antes de descuento)]]-Ventas[[#This Row],[total_venta]]</f>
        <v>0</v>
      </c>
    </row>
    <row r="1102" spans="1:18" x14ac:dyDescent="0.25">
      <c r="A1102" t="s">
        <v>1195</v>
      </c>
      <c r="B1102" s="1">
        <v>45166</v>
      </c>
      <c r="C1102" t="s">
        <v>92</v>
      </c>
      <c r="D1102" t="s">
        <v>27</v>
      </c>
      <c r="E1102">
        <v>3</v>
      </c>
      <c r="F1102" s="2">
        <v>79.989999999999995</v>
      </c>
      <c r="G1102">
        <v>0</v>
      </c>
      <c r="H1102" s="2">
        <v>79.989999999999995</v>
      </c>
      <c r="I1102" s="2">
        <v>239.97</v>
      </c>
      <c r="J1102" t="s">
        <v>19</v>
      </c>
      <c r="K1102" t="s">
        <v>44</v>
      </c>
      <c r="L1102" t="s">
        <v>28</v>
      </c>
      <c r="M1102" t="s">
        <v>53</v>
      </c>
      <c r="N1102" t="s">
        <v>54</v>
      </c>
      <c r="O1102" t="s">
        <v>35</v>
      </c>
      <c r="P1102">
        <v>1</v>
      </c>
      <c r="Q1102" s="2">
        <f>Ventas[[#This Row],[precio_base]]*Ventas[[#This Row],[cantidad]]</f>
        <v>239.96999999999997</v>
      </c>
      <c r="R1102" s="2">
        <f>Ventas[[#This Row],[Total bruto (antes de descuento)]]-Ventas[[#This Row],[total_venta]]</f>
        <v>0</v>
      </c>
    </row>
    <row r="1103" spans="1:18" x14ac:dyDescent="0.25">
      <c r="A1103" t="s">
        <v>1196</v>
      </c>
      <c r="B1103" s="1">
        <v>45127</v>
      </c>
      <c r="C1103" t="s">
        <v>143</v>
      </c>
      <c r="D1103" t="s">
        <v>43</v>
      </c>
      <c r="E1103">
        <v>4</v>
      </c>
      <c r="F1103" s="2">
        <v>34.99</v>
      </c>
      <c r="G1103">
        <v>0</v>
      </c>
      <c r="H1103" s="2">
        <v>34.99</v>
      </c>
      <c r="I1103" s="2">
        <v>139.96</v>
      </c>
      <c r="J1103" t="s">
        <v>62</v>
      </c>
      <c r="K1103" t="s">
        <v>44</v>
      </c>
      <c r="L1103" t="s">
        <v>21</v>
      </c>
      <c r="M1103" t="s">
        <v>33</v>
      </c>
      <c r="N1103" t="s">
        <v>34</v>
      </c>
      <c r="O1103" t="s">
        <v>35</v>
      </c>
      <c r="Q1103" s="2">
        <f>Ventas[[#This Row],[precio_base]]*Ventas[[#This Row],[cantidad]]</f>
        <v>139.96</v>
      </c>
      <c r="R1103" s="2">
        <f>Ventas[[#This Row],[Total bruto (antes de descuento)]]-Ventas[[#This Row],[total_venta]]</f>
        <v>0</v>
      </c>
    </row>
    <row r="1104" spans="1:18" x14ac:dyDescent="0.25">
      <c r="A1104" t="s">
        <v>1197</v>
      </c>
      <c r="B1104" s="1">
        <v>45125</v>
      </c>
      <c r="C1104" t="s">
        <v>81</v>
      </c>
      <c r="D1104" t="s">
        <v>31</v>
      </c>
      <c r="E1104">
        <v>5</v>
      </c>
      <c r="F1104" s="2">
        <v>189.99</v>
      </c>
      <c r="G1104">
        <v>15</v>
      </c>
      <c r="H1104" s="2">
        <v>161.49</v>
      </c>
      <c r="I1104" s="2">
        <v>807.45</v>
      </c>
      <c r="J1104" t="s">
        <v>51</v>
      </c>
      <c r="K1104" t="s">
        <v>20</v>
      </c>
      <c r="L1104" t="s">
        <v>45</v>
      </c>
      <c r="M1104" t="s">
        <v>33</v>
      </c>
      <c r="N1104" t="s">
        <v>34</v>
      </c>
      <c r="O1104" t="s">
        <v>35</v>
      </c>
      <c r="Q1104" s="2">
        <f>Ventas[[#This Row],[precio_base]]*Ventas[[#This Row],[cantidad]]</f>
        <v>949.95</v>
      </c>
      <c r="R1104" s="2">
        <f>Ventas[[#This Row],[Total bruto (antes de descuento)]]-Ventas[[#This Row],[total_venta]]</f>
        <v>142.5</v>
      </c>
    </row>
    <row r="1105" spans="1:18" x14ac:dyDescent="0.25">
      <c r="A1105" t="s">
        <v>1198</v>
      </c>
      <c r="B1105" s="1">
        <v>44993</v>
      </c>
      <c r="C1105" t="s">
        <v>78</v>
      </c>
      <c r="D1105" t="s">
        <v>18</v>
      </c>
      <c r="E1105">
        <v>3</v>
      </c>
      <c r="F1105" s="2">
        <v>349.99</v>
      </c>
      <c r="G1105">
        <v>10</v>
      </c>
      <c r="H1105" s="2">
        <v>314.99</v>
      </c>
      <c r="I1105" s="2">
        <v>944.97</v>
      </c>
      <c r="J1105" t="s">
        <v>62</v>
      </c>
      <c r="K1105" t="s">
        <v>44</v>
      </c>
      <c r="L1105" t="s">
        <v>28</v>
      </c>
      <c r="M1105" t="s">
        <v>53</v>
      </c>
      <c r="N1105" t="s">
        <v>54</v>
      </c>
      <c r="O1105" t="s">
        <v>35</v>
      </c>
      <c r="Q1105" s="2">
        <f>Ventas[[#This Row],[precio_base]]*Ventas[[#This Row],[cantidad]]</f>
        <v>1049.97</v>
      </c>
      <c r="R1105" s="2">
        <f>Ventas[[#This Row],[Total bruto (antes de descuento)]]-Ventas[[#This Row],[total_venta]]</f>
        <v>105</v>
      </c>
    </row>
    <row r="1106" spans="1:18" x14ac:dyDescent="0.25">
      <c r="A1106" t="s">
        <v>1199</v>
      </c>
      <c r="B1106" s="1">
        <v>45123</v>
      </c>
      <c r="C1106" t="s">
        <v>42</v>
      </c>
      <c r="D1106" t="s">
        <v>43</v>
      </c>
      <c r="E1106">
        <v>1</v>
      </c>
      <c r="F1106" s="2">
        <v>349.99</v>
      </c>
      <c r="G1106">
        <v>15</v>
      </c>
      <c r="H1106" s="2">
        <v>297.49</v>
      </c>
      <c r="I1106" s="2">
        <v>297.49</v>
      </c>
      <c r="J1106" t="s">
        <v>51</v>
      </c>
      <c r="K1106" t="s">
        <v>20</v>
      </c>
      <c r="L1106" t="s">
        <v>45</v>
      </c>
      <c r="M1106" t="s">
        <v>33</v>
      </c>
      <c r="N1106" t="s">
        <v>34</v>
      </c>
      <c r="O1106" t="s">
        <v>35</v>
      </c>
      <c r="Q1106" s="2">
        <f>Ventas[[#This Row],[precio_base]]*Ventas[[#This Row],[cantidad]]</f>
        <v>349.99</v>
      </c>
      <c r="R1106" s="2">
        <f>Ventas[[#This Row],[Total bruto (antes de descuento)]]-Ventas[[#This Row],[total_venta]]</f>
        <v>52.5</v>
      </c>
    </row>
    <row r="1107" spans="1:18" x14ac:dyDescent="0.25">
      <c r="A1107" t="s">
        <v>1200</v>
      </c>
      <c r="B1107" s="1">
        <v>45391</v>
      </c>
      <c r="C1107" t="s">
        <v>104</v>
      </c>
      <c r="D1107" t="s">
        <v>18</v>
      </c>
      <c r="E1107">
        <v>4</v>
      </c>
      <c r="F1107" s="2">
        <v>1199.99</v>
      </c>
      <c r="G1107">
        <v>15</v>
      </c>
      <c r="H1107" s="2">
        <v>1019.99</v>
      </c>
      <c r="I1107" s="2">
        <v>4079.96</v>
      </c>
      <c r="J1107" t="s">
        <v>51</v>
      </c>
      <c r="K1107" t="s">
        <v>20</v>
      </c>
      <c r="L1107" t="s">
        <v>152</v>
      </c>
      <c r="M1107" t="s">
        <v>73</v>
      </c>
      <c r="N1107" t="s">
        <v>74</v>
      </c>
      <c r="O1107" t="s">
        <v>35</v>
      </c>
      <c r="Q1107" s="2">
        <f>Ventas[[#This Row],[precio_base]]*Ventas[[#This Row],[cantidad]]</f>
        <v>4799.96</v>
      </c>
      <c r="R1107" s="2">
        <f>Ventas[[#This Row],[Total bruto (antes de descuento)]]-Ventas[[#This Row],[total_venta]]</f>
        <v>720</v>
      </c>
    </row>
    <row r="1108" spans="1:18" x14ac:dyDescent="0.25">
      <c r="A1108" t="s">
        <v>1201</v>
      </c>
      <c r="B1108" s="1">
        <v>45369</v>
      </c>
      <c r="C1108" t="s">
        <v>42</v>
      </c>
      <c r="D1108" t="s">
        <v>43</v>
      </c>
      <c r="E1108">
        <v>4</v>
      </c>
      <c r="F1108" s="2">
        <v>349.99</v>
      </c>
      <c r="G1108">
        <v>0</v>
      </c>
      <c r="H1108" s="2">
        <v>349.99</v>
      </c>
      <c r="I1108" s="2">
        <v>1399.96</v>
      </c>
      <c r="J1108" t="s">
        <v>19</v>
      </c>
      <c r="K1108" t="s">
        <v>44</v>
      </c>
      <c r="L1108" t="s">
        <v>45</v>
      </c>
      <c r="M1108" t="s">
        <v>65</v>
      </c>
      <c r="N1108" t="s">
        <v>54</v>
      </c>
      <c r="O1108" t="s">
        <v>35</v>
      </c>
      <c r="P1108">
        <v>1</v>
      </c>
      <c r="Q1108" s="2">
        <f>Ventas[[#This Row],[precio_base]]*Ventas[[#This Row],[cantidad]]</f>
        <v>1399.96</v>
      </c>
      <c r="R1108" s="2">
        <f>Ventas[[#This Row],[Total bruto (antes de descuento)]]-Ventas[[#This Row],[total_venta]]</f>
        <v>0</v>
      </c>
    </row>
    <row r="1109" spans="1:18" x14ac:dyDescent="0.25">
      <c r="A1109" t="s">
        <v>1202</v>
      </c>
      <c r="B1109" s="1">
        <v>45156</v>
      </c>
      <c r="C1109" t="s">
        <v>94</v>
      </c>
      <c r="D1109" t="s">
        <v>18</v>
      </c>
      <c r="E1109">
        <v>3</v>
      </c>
      <c r="F1109" s="2">
        <v>899.99</v>
      </c>
      <c r="G1109">
        <v>5</v>
      </c>
      <c r="H1109" s="2">
        <v>854.99</v>
      </c>
      <c r="I1109" s="2">
        <v>2564.9699999999998</v>
      </c>
      <c r="J1109" t="s">
        <v>19</v>
      </c>
      <c r="K1109" t="s">
        <v>20</v>
      </c>
      <c r="L1109" t="s">
        <v>21</v>
      </c>
      <c r="M1109" t="s">
        <v>123</v>
      </c>
      <c r="N1109" t="s">
        <v>124</v>
      </c>
      <c r="O1109" t="s">
        <v>24</v>
      </c>
      <c r="P1109">
        <v>1</v>
      </c>
      <c r="Q1109" s="2">
        <f>Ventas[[#This Row],[precio_base]]*Ventas[[#This Row],[cantidad]]</f>
        <v>2699.9700000000003</v>
      </c>
      <c r="R1109" s="2">
        <f>Ventas[[#This Row],[Total bruto (antes de descuento)]]-Ventas[[#This Row],[total_venta]]</f>
        <v>135.00000000000045</v>
      </c>
    </row>
    <row r="1110" spans="1:18" x14ac:dyDescent="0.25">
      <c r="A1110" t="s">
        <v>1203</v>
      </c>
      <c r="B1110" s="1">
        <v>45512</v>
      </c>
      <c r="C1110" t="s">
        <v>70</v>
      </c>
      <c r="D1110" t="s">
        <v>31</v>
      </c>
      <c r="E1110">
        <v>1</v>
      </c>
      <c r="F1110" s="2">
        <v>59.99</v>
      </c>
      <c r="G1110">
        <v>15</v>
      </c>
      <c r="H1110" s="2">
        <v>50.99</v>
      </c>
      <c r="I1110" s="2">
        <v>50.99</v>
      </c>
      <c r="J1110" t="s">
        <v>19</v>
      </c>
      <c r="K1110" t="s">
        <v>20</v>
      </c>
      <c r="L1110" t="s">
        <v>21</v>
      </c>
      <c r="M1110" t="s">
        <v>84</v>
      </c>
      <c r="N1110" t="s">
        <v>85</v>
      </c>
      <c r="O1110" t="s">
        <v>35</v>
      </c>
      <c r="P1110">
        <v>2</v>
      </c>
      <c r="Q1110" s="2">
        <f>Ventas[[#This Row],[precio_base]]*Ventas[[#This Row],[cantidad]]</f>
        <v>59.99</v>
      </c>
      <c r="R1110" s="2">
        <f>Ventas[[#This Row],[Total bruto (antes de descuento)]]-Ventas[[#This Row],[total_venta]]</f>
        <v>9</v>
      </c>
    </row>
    <row r="1111" spans="1:18" x14ac:dyDescent="0.25">
      <c r="A1111" t="s">
        <v>1204</v>
      </c>
      <c r="B1111" s="1">
        <v>45128</v>
      </c>
      <c r="C1111" t="s">
        <v>205</v>
      </c>
      <c r="D1111" t="s">
        <v>18</v>
      </c>
      <c r="E1111">
        <v>3</v>
      </c>
      <c r="F1111" s="2">
        <v>129.99</v>
      </c>
      <c r="G1111">
        <v>0</v>
      </c>
      <c r="H1111" s="2">
        <v>129.99</v>
      </c>
      <c r="I1111" s="2">
        <v>389.97</v>
      </c>
      <c r="J1111" t="s">
        <v>19</v>
      </c>
      <c r="K1111" t="s">
        <v>20</v>
      </c>
      <c r="L1111" t="s">
        <v>45</v>
      </c>
      <c r="M1111" t="s">
        <v>73</v>
      </c>
      <c r="N1111" t="s">
        <v>74</v>
      </c>
      <c r="O1111" t="s">
        <v>35</v>
      </c>
      <c r="P1111">
        <v>1</v>
      </c>
      <c r="Q1111" s="2">
        <f>Ventas[[#This Row],[precio_base]]*Ventas[[#This Row],[cantidad]]</f>
        <v>389.97</v>
      </c>
      <c r="R1111" s="2">
        <f>Ventas[[#This Row],[Total bruto (antes de descuento)]]-Ventas[[#This Row],[total_venta]]</f>
        <v>0</v>
      </c>
    </row>
    <row r="1112" spans="1:18" x14ac:dyDescent="0.25">
      <c r="A1112" t="s">
        <v>1205</v>
      </c>
      <c r="B1112" s="1">
        <v>45533</v>
      </c>
      <c r="C1112" t="s">
        <v>70</v>
      </c>
      <c r="D1112" t="s">
        <v>31</v>
      </c>
      <c r="E1112">
        <v>3</v>
      </c>
      <c r="F1112" s="2">
        <v>59.99</v>
      </c>
      <c r="G1112">
        <v>20</v>
      </c>
      <c r="H1112" s="2">
        <v>47.99</v>
      </c>
      <c r="I1112" s="2">
        <v>143.97</v>
      </c>
      <c r="J1112" t="s">
        <v>19</v>
      </c>
      <c r="K1112" t="s">
        <v>44</v>
      </c>
      <c r="L1112" t="s">
        <v>152</v>
      </c>
      <c r="M1112" t="s">
        <v>95</v>
      </c>
      <c r="N1112" t="s">
        <v>96</v>
      </c>
      <c r="O1112" t="s">
        <v>48</v>
      </c>
      <c r="P1112">
        <v>1</v>
      </c>
      <c r="Q1112" s="2">
        <f>Ventas[[#This Row],[precio_base]]*Ventas[[#This Row],[cantidad]]</f>
        <v>179.97</v>
      </c>
      <c r="R1112" s="2">
        <f>Ventas[[#This Row],[Total bruto (antes de descuento)]]-Ventas[[#This Row],[total_venta]]</f>
        <v>36</v>
      </c>
    </row>
    <row r="1113" spans="1:18" x14ac:dyDescent="0.25">
      <c r="A1113" t="s">
        <v>1206</v>
      </c>
      <c r="B1113" s="1">
        <v>45268</v>
      </c>
      <c r="C1113" t="s">
        <v>87</v>
      </c>
      <c r="D1113" t="s">
        <v>27</v>
      </c>
      <c r="E1113">
        <v>2</v>
      </c>
      <c r="F1113" s="2">
        <v>249.99</v>
      </c>
      <c r="G1113">
        <v>0</v>
      </c>
      <c r="H1113" s="2">
        <v>249.99</v>
      </c>
      <c r="I1113" s="2">
        <v>499.98</v>
      </c>
      <c r="J1113" t="s">
        <v>51</v>
      </c>
      <c r="K1113" t="s">
        <v>20</v>
      </c>
      <c r="L1113" t="s">
        <v>21</v>
      </c>
      <c r="M1113" t="s">
        <v>33</v>
      </c>
      <c r="N1113" t="s">
        <v>34</v>
      </c>
      <c r="O1113" t="s">
        <v>35</v>
      </c>
      <c r="Q1113" s="2">
        <f>Ventas[[#This Row],[precio_base]]*Ventas[[#This Row],[cantidad]]</f>
        <v>499.98</v>
      </c>
      <c r="R1113" s="2">
        <f>Ventas[[#This Row],[Total bruto (antes de descuento)]]-Ventas[[#This Row],[total_venta]]</f>
        <v>0</v>
      </c>
    </row>
    <row r="1114" spans="1:18" x14ac:dyDescent="0.25">
      <c r="A1114" t="s">
        <v>1207</v>
      </c>
      <c r="B1114" s="1">
        <v>45384</v>
      </c>
      <c r="C1114" t="s">
        <v>26</v>
      </c>
      <c r="D1114" t="s">
        <v>27</v>
      </c>
      <c r="E1114">
        <v>1</v>
      </c>
      <c r="F1114" s="2">
        <v>399.99</v>
      </c>
      <c r="G1114">
        <v>0</v>
      </c>
      <c r="H1114" s="2">
        <v>399.99</v>
      </c>
      <c r="I1114" s="2">
        <v>399.99</v>
      </c>
      <c r="J1114" t="s">
        <v>116</v>
      </c>
      <c r="K1114" t="s">
        <v>20</v>
      </c>
      <c r="L1114" t="s">
        <v>21</v>
      </c>
      <c r="M1114" t="s">
        <v>53</v>
      </c>
      <c r="N1114" t="s">
        <v>54</v>
      </c>
      <c r="O1114" t="s">
        <v>35</v>
      </c>
      <c r="Q1114" s="2">
        <f>Ventas[[#This Row],[precio_base]]*Ventas[[#This Row],[cantidad]]</f>
        <v>399.99</v>
      </c>
      <c r="R1114" s="2">
        <f>Ventas[[#This Row],[Total bruto (antes de descuento)]]-Ventas[[#This Row],[total_venta]]</f>
        <v>0</v>
      </c>
    </row>
    <row r="1115" spans="1:18" x14ac:dyDescent="0.25">
      <c r="A1115" t="s">
        <v>1208</v>
      </c>
      <c r="B1115" s="1">
        <v>45637</v>
      </c>
      <c r="C1115" t="s">
        <v>56</v>
      </c>
      <c r="D1115" t="s">
        <v>18</v>
      </c>
      <c r="E1115">
        <v>2</v>
      </c>
      <c r="F1115" s="2">
        <v>89.99</v>
      </c>
      <c r="G1115">
        <v>0</v>
      </c>
      <c r="H1115" s="2">
        <v>89.99</v>
      </c>
      <c r="I1115" s="2">
        <v>179.98</v>
      </c>
      <c r="J1115" t="s">
        <v>90</v>
      </c>
      <c r="K1115" t="s">
        <v>20</v>
      </c>
      <c r="L1115" t="s">
        <v>28</v>
      </c>
      <c r="M1115" t="s">
        <v>101</v>
      </c>
      <c r="N1115" t="s">
        <v>102</v>
      </c>
      <c r="O1115" t="s">
        <v>35</v>
      </c>
      <c r="Q1115" s="2">
        <f>Ventas[[#This Row],[precio_base]]*Ventas[[#This Row],[cantidad]]</f>
        <v>179.98</v>
      </c>
      <c r="R1115" s="2">
        <f>Ventas[[#This Row],[Total bruto (antes de descuento)]]-Ventas[[#This Row],[total_venta]]</f>
        <v>0</v>
      </c>
    </row>
    <row r="1116" spans="1:18" x14ac:dyDescent="0.25">
      <c r="A1116" t="s">
        <v>1209</v>
      </c>
      <c r="B1116" s="1">
        <v>45369</v>
      </c>
      <c r="C1116" t="s">
        <v>56</v>
      </c>
      <c r="D1116" t="s">
        <v>18</v>
      </c>
      <c r="E1116">
        <v>1</v>
      </c>
      <c r="F1116" s="2">
        <v>89.99</v>
      </c>
      <c r="G1116">
        <v>15</v>
      </c>
      <c r="H1116" s="2">
        <v>76.489999999999995</v>
      </c>
      <c r="I1116" s="2">
        <v>76.489999999999995</v>
      </c>
      <c r="J1116" t="s">
        <v>19</v>
      </c>
      <c r="K1116" t="s">
        <v>20</v>
      </c>
      <c r="L1116" t="s">
        <v>45</v>
      </c>
      <c r="M1116" t="s">
        <v>46</v>
      </c>
      <c r="N1116" t="s">
        <v>47</v>
      </c>
      <c r="O1116" t="s">
        <v>48</v>
      </c>
      <c r="P1116">
        <v>1</v>
      </c>
      <c r="Q1116" s="2">
        <f>Ventas[[#This Row],[precio_base]]*Ventas[[#This Row],[cantidad]]</f>
        <v>89.99</v>
      </c>
      <c r="R1116" s="2">
        <f>Ventas[[#This Row],[Total bruto (antes de descuento)]]-Ventas[[#This Row],[total_venta]]</f>
        <v>13.5</v>
      </c>
    </row>
    <row r="1117" spans="1:18" x14ac:dyDescent="0.25">
      <c r="A1117" t="s">
        <v>1210</v>
      </c>
      <c r="B1117" s="1">
        <v>45559</v>
      </c>
      <c r="C1117" t="s">
        <v>98</v>
      </c>
      <c r="D1117" t="s">
        <v>31</v>
      </c>
      <c r="E1117">
        <v>4</v>
      </c>
      <c r="F1117" s="2">
        <v>99.99</v>
      </c>
      <c r="G1117">
        <v>0</v>
      </c>
      <c r="H1117" s="2">
        <v>99.99</v>
      </c>
      <c r="I1117" s="2">
        <v>399.96</v>
      </c>
      <c r="J1117" t="s">
        <v>62</v>
      </c>
      <c r="K1117" t="s">
        <v>44</v>
      </c>
      <c r="L1117" t="s">
        <v>21</v>
      </c>
      <c r="M1117" t="s">
        <v>39</v>
      </c>
      <c r="N1117" t="s">
        <v>40</v>
      </c>
      <c r="O1117" t="s">
        <v>35</v>
      </c>
      <c r="Q1117" s="2">
        <f>Ventas[[#This Row],[precio_base]]*Ventas[[#This Row],[cantidad]]</f>
        <v>399.96</v>
      </c>
      <c r="R1117" s="2">
        <f>Ventas[[#This Row],[Total bruto (antes de descuento)]]-Ventas[[#This Row],[total_venta]]</f>
        <v>0</v>
      </c>
    </row>
    <row r="1118" spans="1:18" x14ac:dyDescent="0.25">
      <c r="A1118" t="s">
        <v>1211</v>
      </c>
      <c r="B1118" s="1">
        <v>45320</v>
      </c>
      <c r="C1118" t="s">
        <v>151</v>
      </c>
      <c r="D1118" t="s">
        <v>27</v>
      </c>
      <c r="E1118">
        <v>4</v>
      </c>
      <c r="F1118" s="2">
        <v>599.99</v>
      </c>
      <c r="G1118">
        <v>10</v>
      </c>
      <c r="H1118" s="2">
        <v>539.99</v>
      </c>
      <c r="I1118" s="2">
        <v>2159.96</v>
      </c>
      <c r="J1118" t="s">
        <v>51</v>
      </c>
      <c r="K1118" t="s">
        <v>44</v>
      </c>
      <c r="L1118" t="s">
        <v>28</v>
      </c>
      <c r="M1118" t="s">
        <v>123</v>
      </c>
      <c r="N1118" t="s">
        <v>124</v>
      </c>
      <c r="O1118" t="s">
        <v>24</v>
      </c>
      <c r="Q1118" s="2">
        <f>Ventas[[#This Row],[precio_base]]*Ventas[[#This Row],[cantidad]]</f>
        <v>2399.96</v>
      </c>
      <c r="R1118" s="2">
        <f>Ventas[[#This Row],[Total bruto (antes de descuento)]]-Ventas[[#This Row],[total_venta]]</f>
        <v>240</v>
      </c>
    </row>
    <row r="1119" spans="1:18" x14ac:dyDescent="0.25">
      <c r="A1119" t="s">
        <v>1212</v>
      </c>
      <c r="B1119" s="1">
        <v>44953</v>
      </c>
      <c r="C1119" t="s">
        <v>151</v>
      </c>
      <c r="D1119" t="s">
        <v>27</v>
      </c>
      <c r="E1119">
        <v>5</v>
      </c>
      <c r="F1119" s="2">
        <v>599.99</v>
      </c>
      <c r="G1119">
        <v>0</v>
      </c>
      <c r="H1119" s="2">
        <v>599.99</v>
      </c>
      <c r="I1119" s="2">
        <v>2999.95</v>
      </c>
      <c r="J1119" t="s">
        <v>19</v>
      </c>
      <c r="K1119" t="s">
        <v>20</v>
      </c>
      <c r="L1119" t="s">
        <v>45</v>
      </c>
      <c r="M1119" t="s">
        <v>95</v>
      </c>
      <c r="N1119" t="s">
        <v>96</v>
      </c>
      <c r="O1119" t="s">
        <v>48</v>
      </c>
      <c r="P1119">
        <v>1</v>
      </c>
      <c r="Q1119" s="2">
        <f>Ventas[[#This Row],[precio_base]]*Ventas[[#This Row],[cantidad]]</f>
        <v>2999.95</v>
      </c>
      <c r="R1119" s="2">
        <f>Ventas[[#This Row],[Total bruto (antes de descuento)]]-Ventas[[#This Row],[total_venta]]</f>
        <v>0</v>
      </c>
    </row>
    <row r="1120" spans="1:18" x14ac:dyDescent="0.25">
      <c r="A1120" t="s">
        <v>1213</v>
      </c>
      <c r="B1120" s="1">
        <v>45534</v>
      </c>
      <c r="C1120" t="s">
        <v>70</v>
      </c>
      <c r="D1120" t="s">
        <v>31</v>
      </c>
      <c r="E1120">
        <v>2</v>
      </c>
      <c r="F1120" s="2">
        <v>59.99</v>
      </c>
      <c r="G1120">
        <v>10</v>
      </c>
      <c r="H1120" s="2">
        <v>53.99</v>
      </c>
      <c r="I1120" s="2">
        <v>107.98</v>
      </c>
      <c r="J1120" t="s">
        <v>19</v>
      </c>
      <c r="K1120" t="s">
        <v>20</v>
      </c>
      <c r="L1120" t="s">
        <v>45</v>
      </c>
      <c r="M1120" t="s">
        <v>65</v>
      </c>
      <c r="N1120" t="s">
        <v>54</v>
      </c>
      <c r="O1120" t="s">
        <v>35</v>
      </c>
      <c r="P1120">
        <v>5</v>
      </c>
      <c r="Q1120" s="2">
        <f>Ventas[[#This Row],[precio_base]]*Ventas[[#This Row],[cantidad]]</f>
        <v>119.98</v>
      </c>
      <c r="R1120" s="2">
        <f>Ventas[[#This Row],[Total bruto (antes de descuento)]]-Ventas[[#This Row],[total_venta]]</f>
        <v>12</v>
      </c>
    </row>
    <row r="1121" spans="1:18" x14ac:dyDescent="0.25">
      <c r="A1121" t="s">
        <v>1214</v>
      </c>
      <c r="B1121" s="1">
        <v>45382</v>
      </c>
      <c r="C1121" t="s">
        <v>205</v>
      </c>
      <c r="D1121" t="s">
        <v>18</v>
      </c>
      <c r="E1121">
        <v>2</v>
      </c>
      <c r="F1121" s="2">
        <v>129.99</v>
      </c>
      <c r="G1121">
        <v>0</v>
      </c>
      <c r="H1121" s="2">
        <v>129.99</v>
      </c>
      <c r="I1121" s="2">
        <v>259.98</v>
      </c>
      <c r="J1121" t="s">
        <v>51</v>
      </c>
      <c r="K1121" t="s">
        <v>20</v>
      </c>
      <c r="L1121" t="s">
        <v>45</v>
      </c>
      <c r="M1121" t="s">
        <v>46</v>
      </c>
      <c r="N1121" t="s">
        <v>47</v>
      </c>
      <c r="O1121" t="s">
        <v>48</v>
      </c>
      <c r="Q1121" s="2">
        <f>Ventas[[#This Row],[precio_base]]*Ventas[[#This Row],[cantidad]]</f>
        <v>259.98</v>
      </c>
      <c r="R1121" s="2">
        <f>Ventas[[#This Row],[Total bruto (antes de descuento)]]-Ventas[[#This Row],[total_venta]]</f>
        <v>0</v>
      </c>
    </row>
    <row r="1122" spans="1:18" x14ac:dyDescent="0.25">
      <c r="A1122" t="s">
        <v>1215</v>
      </c>
      <c r="B1122" s="1">
        <v>45452</v>
      </c>
      <c r="C1122" t="s">
        <v>72</v>
      </c>
      <c r="D1122" t="s">
        <v>31</v>
      </c>
      <c r="E1122">
        <v>3</v>
      </c>
      <c r="F1122" s="2">
        <v>29.99</v>
      </c>
      <c r="G1122">
        <v>0</v>
      </c>
      <c r="H1122" s="2">
        <v>29.99</v>
      </c>
      <c r="I1122" s="2">
        <v>89.97</v>
      </c>
      <c r="J1122" t="s">
        <v>19</v>
      </c>
      <c r="K1122" t="s">
        <v>52</v>
      </c>
      <c r="L1122" t="s">
        <v>21</v>
      </c>
      <c r="M1122" t="s">
        <v>65</v>
      </c>
      <c r="N1122" t="s">
        <v>54</v>
      </c>
      <c r="O1122" t="s">
        <v>35</v>
      </c>
      <c r="P1122">
        <v>3</v>
      </c>
      <c r="Q1122" s="2">
        <f>Ventas[[#This Row],[precio_base]]*Ventas[[#This Row],[cantidad]]</f>
        <v>89.97</v>
      </c>
      <c r="R1122" s="2">
        <f>Ventas[[#This Row],[Total bruto (antes de descuento)]]-Ventas[[#This Row],[total_venta]]</f>
        <v>0</v>
      </c>
    </row>
    <row r="1123" spans="1:18" x14ac:dyDescent="0.25">
      <c r="A1123" t="s">
        <v>1216</v>
      </c>
      <c r="B1123" s="1">
        <v>45544</v>
      </c>
      <c r="C1123" t="s">
        <v>141</v>
      </c>
      <c r="D1123" t="s">
        <v>38</v>
      </c>
      <c r="E1123">
        <v>3</v>
      </c>
      <c r="F1123" s="2">
        <v>89.99</v>
      </c>
      <c r="G1123">
        <v>0</v>
      </c>
      <c r="H1123" s="2">
        <v>89.99</v>
      </c>
      <c r="I1123" s="2">
        <v>269.97000000000003</v>
      </c>
      <c r="J1123" t="s">
        <v>116</v>
      </c>
      <c r="K1123" t="s">
        <v>44</v>
      </c>
      <c r="L1123" t="s">
        <v>28</v>
      </c>
      <c r="M1123" t="s">
        <v>65</v>
      </c>
      <c r="N1123" t="s">
        <v>54</v>
      </c>
      <c r="O1123" t="s">
        <v>35</v>
      </c>
      <c r="Q1123" s="2">
        <f>Ventas[[#This Row],[precio_base]]*Ventas[[#This Row],[cantidad]]</f>
        <v>269.96999999999997</v>
      </c>
      <c r="R1123" s="2">
        <f>Ventas[[#This Row],[Total bruto (antes de descuento)]]-Ventas[[#This Row],[total_venta]]</f>
        <v>0</v>
      </c>
    </row>
    <row r="1124" spans="1:18" x14ac:dyDescent="0.25">
      <c r="A1124" t="s">
        <v>1217</v>
      </c>
      <c r="B1124" s="1">
        <v>44985</v>
      </c>
      <c r="C1124" t="s">
        <v>163</v>
      </c>
      <c r="D1124" t="s">
        <v>18</v>
      </c>
      <c r="E1124">
        <v>5</v>
      </c>
      <c r="F1124" s="2">
        <v>499.99</v>
      </c>
      <c r="G1124">
        <v>20</v>
      </c>
      <c r="H1124" s="2">
        <v>399.99</v>
      </c>
      <c r="I1124" s="2">
        <v>1999.95</v>
      </c>
      <c r="J1124" t="s">
        <v>62</v>
      </c>
      <c r="K1124" t="s">
        <v>20</v>
      </c>
      <c r="L1124" t="s">
        <v>21</v>
      </c>
      <c r="M1124" t="s">
        <v>67</v>
      </c>
      <c r="N1124" t="s">
        <v>68</v>
      </c>
      <c r="O1124" t="s">
        <v>35</v>
      </c>
      <c r="Q1124" s="2">
        <f>Ventas[[#This Row],[precio_base]]*Ventas[[#This Row],[cantidad]]</f>
        <v>2499.9499999999998</v>
      </c>
      <c r="R1124" s="2">
        <f>Ventas[[#This Row],[Total bruto (antes de descuento)]]-Ventas[[#This Row],[total_venta]]</f>
        <v>499.99999999999977</v>
      </c>
    </row>
    <row r="1125" spans="1:18" x14ac:dyDescent="0.25">
      <c r="A1125" t="s">
        <v>1218</v>
      </c>
      <c r="B1125" s="1">
        <v>45132</v>
      </c>
      <c r="C1125" t="s">
        <v>72</v>
      </c>
      <c r="D1125" t="s">
        <v>31</v>
      </c>
      <c r="E1125">
        <v>2</v>
      </c>
      <c r="F1125" s="2">
        <v>29.99</v>
      </c>
      <c r="G1125">
        <v>20</v>
      </c>
      <c r="H1125" s="2">
        <v>23.99</v>
      </c>
      <c r="I1125" s="2">
        <v>47.98</v>
      </c>
      <c r="J1125" t="s">
        <v>19</v>
      </c>
      <c r="K1125" t="s">
        <v>44</v>
      </c>
      <c r="L1125" t="s">
        <v>28</v>
      </c>
      <c r="M1125" t="s">
        <v>22</v>
      </c>
      <c r="N1125" t="s">
        <v>23</v>
      </c>
      <c r="O1125" t="s">
        <v>24</v>
      </c>
      <c r="P1125">
        <v>4</v>
      </c>
      <c r="Q1125" s="2">
        <f>Ventas[[#This Row],[precio_base]]*Ventas[[#This Row],[cantidad]]</f>
        <v>59.98</v>
      </c>
      <c r="R1125" s="2">
        <f>Ventas[[#This Row],[Total bruto (antes de descuento)]]-Ventas[[#This Row],[total_venta]]</f>
        <v>12</v>
      </c>
    </row>
    <row r="1126" spans="1:18" x14ac:dyDescent="0.25">
      <c r="A1126" t="s">
        <v>1219</v>
      </c>
      <c r="B1126" s="1">
        <v>45541</v>
      </c>
      <c r="C1126" t="s">
        <v>30</v>
      </c>
      <c r="D1126" t="s">
        <v>31</v>
      </c>
      <c r="E1126">
        <v>3</v>
      </c>
      <c r="F1126" s="2">
        <v>299.99</v>
      </c>
      <c r="G1126">
        <v>20</v>
      </c>
      <c r="H1126" s="2">
        <v>239.99</v>
      </c>
      <c r="I1126" s="2">
        <v>719.97</v>
      </c>
      <c r="J1126" t="s">
        <v>19</v>
      </c>
      <c r="K1126" t="s">
        <v>44</v>
      </c>
      <c r="L1126" t="s">
        <v>45</v>
      </c>
      <c r="M1126" t="s">
        <v>123</v>
      </c>
      <c r="N1126" t="s">
        <v>124</v>
      </c>
      <c r="O1126" t="s">
        <v>24</v>
      </c>
      <c r="P1126">
        <v>2</v>
      </c>
      <c r="Q1126" s="2">
        <f>Ventas[[#This Row],[precio_base]]*Ventas[[#This Row],[cantidad]]</f>
        <v>899.97</v>
      </c>
      <c r="R1126" s="2">
        <f>Ventas[[#This Row],[Total bruto (antes de descuento)]]-Ventas[[#This Row],[total_venta]]</f>
        <v>180</v>
      </c>
    </row>
    <row r="1127" spans="1:18" x14ac:dyDescent="0.25">
      <c r="A1127" t="s">
        <v>1220</v>
      </c>
      <c r="B1127" s="1">
        <v>45034</v>
      </c>
      <c r="C1127" t="s">
        <v>151</v>
      </c>
      <c r="D1127" t="s">
        <v>27</v>
      </c>
      <c r="E1127">
        <v>1</v>
      </c>
      <c r="F1127" s="2">
        <v>599.99</v>
      </c>
      <c r="G1127">
        <v>5</v>
      </c>
      <c r="H1127" s="2">
        <v>569.99</v>
      </c>
      <c r="I1127" s="2">
        <v>569.99</v>
      </c>
      <c r="J1127" t="s">
        <v>19</v>
      </c>
      <c r="K1127" t="s">
        <v>44</v>
      </c>
      <c r="L1127" t="s">
        <v>28</v>
      </c>
      <c r="M1127" t="s">
        <v>46</v>
      </c>
      <c r="N1127" t="s">
        <v>47</v>
      </c>
      <c r="O1127" t="s">
        <v>48</v>
      </c>
      <c r="P1127">
        <v>4</v>
      </c>
      <c r="Q1127" s="2">
        <f>Ventas[[#This Row],[precio_base]]*Ventas[[#This Row],[cantidad]]</f>
        <v>599.99</v>
      </c>
      <c r="R1127" s="2">
        <f>Ventas[[#This Row],[Total bruto (antes de descuento)]]-Ventas[[#This Row],[total_venta]]</f>
        <v>30</v>
      </c>
    </row>
    <row r="1128" spans="1:18" x14ac:dyDescent="0.25">
      <c r="A1128" t="s">
        <v>1221</v>
      </c>
      <c r="B1128" s="1">
        <v>45565</v>
      </c>
      <c r="C1128" t="s">
        <v>115</v>
      </c>
      <c r="D1128" t="s">
        <v>18</v>
      </c>
      <c r="E1128">
        <v>2</v>
      </c>
      <c r="F1128" s="2">
        <v>799.99</v>
      </c>
      <c r="G1128">
        <v>5</v>
      </c>
      <c r="H1128" s="2">
        <v>759.99</v>
      </c>
      <c r="I1128" s="2">
        <v>1519.98</v>
      </c>
      <c r="J1128" t="s">
        <v>51</v>
      </c>
      <c r="K1128" t="s">
        <v>20</v>
      </c>
      <c r="L1128" t="s">
        <v>28</v>
      </c>
      <c r="M1128" t="s">
        <v>67</v>
      </c>
      <c r="N1128" t="s">
        <v>68</v>
      </c>
      <c r="O1128" t="s">
        <v>35</v>
      </c>
      <c r="Q1128" s="2">
        <f>Ventas[[#This Row],[precio_base]]*Ventas[[#This Row],[cantidad]]</f>
        <v>1599.98</v>
      </c>
      <c r="R1128" s="2">
        <f>Ventas[[#This Row],[Total bruto (antes de descuento)]]-Ventas[[#This Row],[total_venta]]</f>
        <v>80</v>
      </c>
    </row>
    <row r="1129" spans="1:18" x14ac:dyDescent="0.25">
      <c r="A1129" t="s">
        <v>1222</v>
      </c>
      <c r="B1129" s="1">
        <v>45137</v>
      </c>
      <c r="C1129" t="s">
        <v>109</v>
      </c>
      <c r="D1129" t="s">
        <v>38</v>
      </c>
      <c r="E1129">
        <v>2</v>
      </c>
      <c r="F1129" s="2">
        <v>39.99</v>
      </c>
      <c r="G1129">
        <v>20</v>
      </c>
      <c r="H1129" s="2">
        <v>31.99</v>
      </c>
      <c r="I1129" s="2">
        <v>63.98</v>
      </c>
      <c r="J1129" t="s">
        <v>116</v>
      </c>
      <c r="K1129" t="s">
        <v>20</v>
      </c>
      <c r="L1129" t="s">
        <v>45</v>
      </c>
      <c r="M1129" t="s">
        <v>123</v>
      </c>
      <c r="N1129" t="s">
        <v>124</v>
      </c>
      <c r="O1129" t="s">
        <v>24</v>
      </c>
      <c r="Q1129" s="2">
        <f>Ventas[[#This Row],[precio_base]]*Ventas[[#This Row],[cantidad]]</f>
        <v>79.98</v>
      </c>
      <c r="R1129" s="2">
        <f>Ventas[[#This Row],[Total bruto (antes de descuento)]]-Ventas[[#This Row],[total_venta]]</f>
        <v>16.000000000000007</v>
      </c>
    </row>
    <row r="1130" spans="1:18" x14ac:dyDescent="0.25">
      <c r="A1130" t="s">
        <v>1223</v>
      </c>
      <c r="B1130" s="1">
        <v>45495</v>
      </c>
      <c r="C1130" t="s">
        <v>17</v>
      </c>
      <c r="D1130" t="s">
        <v>18</v>
      </c>
      <c r="E1130">
        <v>2</v>
      </c>
      <c r="F1130" s="2">
        <v>45.99</v>
      </c>
      <c r="G1130">
        <v>0</v>
      </c>
      <c r="H1130" s="2">
        <v>45.99</v>
      </c>
      <c r="I1130" s="2">
        <v>91.98</v>
      </c>
      <c r="J1130" t="s">
        <v>19</v>
      </c>
      <c r="K1130" t="s">
        <v>44</v>
      </c>
      <c r="L1130" t="s">
        <v>28</v>
      </c>
      <c r="M1130" t="s">
        <v>73</v>
      </c>
      <c r="N1130" t="s">
        <v>74</v>
      </c>
      <c r="O1130" t="s">
        <v>35</v>
      </c>
      <c r="P1130">
        <v>1</v>
      </c>
      <c r="Q1130" s="2">
        <f>Ventas[[#This Row],[precio_base]]*Ventas[[#This Row],[cantidad]]</f>
        <v>91.98</v>
      </c>
      <c r="R1130" s="2">
        <f>Ventas[[#This Row],[Total bruto (antes de descuento)]]-Ventas[[#This Row],[total_venta]]</f>
        <v>0</v>
      </c>
    </row>
    <row r="1131" spans="1:18" x14ac:dyDescent="0.25">
      <c r="A1131" t="s">
        <v>1224</v>
      </c>
      <c r="B1131" s="1">
        <v>44957</v>
      </c>
      <c r="C1131" t="s">
        <v>115</v>
      </c>
      <c r="D1131" t="s">
        <v>18</v>
      </c>
      <c r="E1131">
        <v>2</v>
      </c>
      <c r="F1131" s="2">
        <v>799.99</v>
      </c>
      <c r="G1131">
        <v>0</v>
      </c>
      <c r="H1131" s="2">
        <v>799.99</v>
      </c>
      <c r="I1131" s="2">
        <v>1599.98</v>
      </c>
      <c r="J1131" t="s">
        <v>19</v>
      </c>
      <c r="K1131" t="s">
        <v>20</v>
      </c>
      <c r="L1131" t="s">
        <v>21</v>
      </c>
      <c r="M1131" t="s">
        <v>53</v>
      </c>
      <c r="N1131" t="s">
        <v>54</v>
      </c>
      <c r="O1131" t="s">
        <v>35</v>
      </c>
      <c r="P1131">
        <v>5</v>
      </c>
      <c r="Q1131" s="2">
        <f>Ventas[[#This Row],[precio_base]]*Ventas[[#This Row],[cantidad]]</f>
        <v>1599.98</v>
      </c>
      <c r="R1131" s="2">
        <f>Ventas[[#This Row],[Total bruto (antes de descuento)]]-Ventas[[#This Row],[total_venta]]</f>
        <v>0</v>
      </c>
    </row>
    <row r="1132" spans="1:18" x14ac:dyDescent="0.25">
      <c r="A1132" t="s">
        <v>1225</v>
      </c>
      <c r="B1132" s="1">
        <v>45178</v>
      </c>
      <c r="C1132" t="s">
        <v>205</v>
      </c>
      <c r="D1132" t="s">
        <v>18</v>
      </c>
      <c r="E1132">
        <v>2</v>
      </c>
      <c r="F1132" s="2">
        <v>129.99</v>
      </c>
      <c r="G1132">
        <v>0</v>
      </c>
      <c r="H1132" s="2">
        <v>129.99</v>
      </c>
      <c r="I1132" s="2">
        <v>259.98</v>
      </c>
      <c r="J1132" t="s">
        <v>19</v>
      </c>
      <c r="K1132" t="s">
        <v>52</v>
      </c>
      <c r="L1132" t="s">
        <v>21</v>
      </c>
      <c r="M1132" t="s">
        <v>58</v>
      </c>
      <c r="N1132" t="s">
        <v>59</v>
      </c>
      <c r="O1132" t="s">
        <v>24</v>
      </c>
      <c r="P1132">
        <v>2</v>
      </c>
      <c r="Q1132" s="2">
        <f>Ventas[[#This Row],[precio_base]]*Ventas[[#This Row],[cantidad]]</f>
        <v>259.98</v>
      </c>
      <c r="R1132" s="2">
        <f>Ventas[[#This Row],[Total bruto (antes de descuento)]]-Ventas[[#This Row],[total_venta]]</f>
        <v>0</v>
      </c>
    </row>
    <row r="1133" spans="1:18" x14ac:dyDescent="0.25">
      <c r="A1133" t="s">
        <v>1226</v>
      </c>
      <c r="B1133" s="1">
        <v>45315</v>
      </c>
      <c r="C1133" t="s">
        <v>72</v>
      </c>
      <c r="D1133" t="s">
        <v>31</v>
      </c>
      <c r="E1133">
        <v>1</v>
      </c>
      <c r="F1133" s="2">
        <v>29.99</v>
      </c>
      <c r="G1133">
        <v>0</v>
      </c>
      <c r="H1133" s="2">
        <v>29.99</v>
      </c>
      <c r="I1133" s="2">
        <v>29.99</v>
      </c>
      <c r="J1133" t="s">
        <v>90</v>
      </c>
      <c r="K1133" t="s">
        <v>44</v>
      </c>
      <c r="L1133" t="s">
        <v>45</v>
      </c>
      <c r="M1133" t="s">
        <v>58</v>
      </c>
      <c r="N1133" t="s">
        <v>59</v>
      </c>
      <c r="O1133" t="s">
        <v>24</v>
      </c>
      <c r="Q1133" s="2">
        <f>Ventas[[#This Row],[precio_base]]*Ventas[[#This Row],[cantidad]]</f>
        <v>29.99</v>
      </c>
      <c r="R1133" s="2">
        <f>Ventas[[#This Row],[Total bruto (antes de descuento)]]-Ventas[[#This Row],[total_venta]]</f>
        <v>0</v>
      </c>
    </row>
    <row r="1134" spans="1:18" x14ac:dyDescent="0.25">
      <c r="A1134" t="s">
        <v>1227</v>
      </c>
      <c r="B1134" s="1">
        <v>45308</v>
      </c>
      <c r="C1134" t="s">
        <v>81</v>
      </c>
      <c r="D1134" t="s">
        <v>31</v>
      </c>
      <c r="E1134">
        <v>2</v>
      </c>
      <c r="F1134" s="2">
        <v>189.99</v>
      </c>
      <c r="G1134">
        <v>10</v>
      </c>
      <c r="H1134" s="2">
        <v>170.99</v>
      </c>
      <c r="I1134" s="2">
        <v>341.98</v>
      </c>
      <c r="J1134" t="s">
        <v>116</v>
      </c>
      <c r="K1134" t="s">
        <v>52</v>
      </c>
      <c r="L1134" t="s">
        <v>32</v>
      </c>
      <c r="M1134" t="s">
        <v>33</v>
      </c>
      <c r="N1134" t="s">
        <v>34</v>
      </c>
      <c r="O1134" t="s">
        <v>35</v>
      </c>
      <c r="Q1134" s="2">
        <f>Ventas[[#This Row],[precio_base]]*Ventas[[#This Row],[cantidad]]</f>
        <v>379.98</v>
      </c>
      <c r="R1134" s="2">
        <f>Ventas[[#This Row],[Total bruto (antes de descuento)]]-Ventas[[#This Row],[total_venta]]</f>
        <v>38</v>
      </c>
    </row>
    <row r="1135" spans="1:18" x14ac:dyDescent="0.25">
      <c r="A1135" t="s">
        <v>1228</v>
      </c>
      <c r="B1135" s="1">
        <v>44993</v>
      </c>
      <c r="C1135" t="s">
        <v>17</v>
      </c>
      <c r="D1135" t="s">
        <v>18</v>
      </c>
      <c r="E1135">
        <v>2</v>
      </c>
      <c r="F1135" s="2">
        <v>45.99</v>
      </c>
      <c r="G1135">
        <v>0</v>
      </c>
      <c r="H1135" s="2">
        <v>45.99</v>
      </c>
      <c r="I1135" s="2">
        <v>91.98</v>
      </c>
      <c r="J1135" t="s">
        <v>51</v>
      </c>
      <c r="K1135" t="s">
        <v>44</v>
      </c>
      <c r="L1135" t="s">
        <v>28</v>
      </c>
      <c r="M1135" t="s">
        <v>22</v>
      </c>
      <c r="N1135" t="s">
        <v>23</v>
      </c>
      <c r="O1135" t="s">
        <v>24</v>
      </c>
      <c r="Q1135" s="2">
        <f>Ventas[[#This Row],[precio_base]]*Ventas[[#This Row],[cantidad]]</f>
        <v>91.98</v>
      </c>
      <c r="R1135" s="2">
        <f>Ventas[[#This Row],[Total bruto (antes de descuento)]]-Ventas[[#This Row],[total_venta]]</f>
        <v>0</v>
      </c>
    </row>
    <row r="1136" spans="1:18" x14ac:dyDescent="0.25">
      <c r="A1136" t="s">
        <v>1229</v>
      </c>
      <c r="B1136" s="1">
        <v>45252</v>
      </c>
      <c r="C1136" t="s">
        <v>156</v>
      </c>
      <c r="D1136" t="s">
        <v>27</v>
      </c>
      <c r="E1136">
        <v>4</v>
      </c>
      <c r="F1136" s="2">
        <v>49.99</v>
      </c>
      <c r="G1136">
        <v>15</v>
      </c>
      <c r="H1136" s="2">
        <v>42.49</v>
      </c>
      <c r="I1136" s="2">
        <v>169.96</v>
      </c>
      <c r="J1136" t="s">
        <v>19</v>
      </c>
      <c r="K1136" t="s">
        <v>52</v>
      </c>
      <c r="L1136" t="s">
        <v>45</v>
      </c>
      <c r="M1136" t="s">
        <v>46</v>
      </c>
      <c r="N1136" t="s">
        <v>47</v>
      </c>
      <c r="O1136" t="s">
        <v>48</v>
      </c>
      <c r="P1136">
        <v>5</v>
      </c>
      <c r="Q1136" s="2">
        <f>Ventas[[#This Row],[precio_base]]*Ventas[[#This Row],[cantidad]]</f>
        <v>199.96</v>
      </c>
      <c r="R1136" s="2">
        <f>Ventas[[#This Row],[Total bruto (antes de descuento)]]-Ventas[[#This Row],[total_venta]]</f>
        <v>30</v>
      </c>
    </row>
    <row r="1137" spans="1:18" x14ac:dyDescent="0.25">
      <c r="A1137" t="s">
        <v>1230</v>
      </c>
      <c r="B1137" s="1">
        <v>45228</v>
      </c>
      <c r="C1137" t="s">
        <v>70</v>
      </c>
      <c r="D1137" t="s">
        <v>31</v>
      </c>
      <c r="E1137">
        <v>2</v>
      </c>
      <c r="F1137" s="2">
        <v>59.99</v>
      </c>
      <c r="G1137">
        <v>0</v>
      </c>
      <c r="H1137" s="2">
        <v>59.99</v>
      </c>
      <c r="I1137" s="2">
        <v>119.98</v>
      </c>
      <c r="J1137" t="s">
        <v>19</v>
      </c>
      <c r="K1137" t="s">
        <v>52</v>
      </c>
      <c r="L1137" t="s">
        <v>32</v>
      </c>
      <c r="M1137" t="s">
        <v>73</v>
      </c>
      <c r="N1137" t="s">
        <v>74</v>
      </c>
      <c r="O1137" t="s">
        <v>35</v>
      </c>
      <c r="P1137">
        <v>5</v>
      </c>
      <c r="Q1137" s="2">
        <f>Ventas[[#This Row],[precio_base]]*Ventas[[#This Row],[cantidad]]</f>
        <v>119.98</v>
      </c>
      <c r="R1137" s="2">
        <f>Ventas[[#This Row],[Total bruto (antes de descuento)]]-Ventas[[#This Row],[total_venta]]</f>
        <v>0</v>
      </c>
    </row>
    <row r="1138" spans="1:18" x14ac:dyDescent="0.25">
      <c r="A1138" t="s">
        <v>1231</v>
      </c>
      <c r="B1138" s="1">
        <v>45525</v>
      </c>
      <c r="C1138" t="s">
        <v>130</v>
      </c>
      <c r="D1138" t="s">
        <v>43</v>
      </c>
      <c r="E1138">
        <v>4</v>
      </c>
      <c r="F1138" s="2">
        <v>24.99</v>
      </c>
      <c r="G1138">
        <v>0</v>
      </c>
      <c r="H1138" s="2">
        <v>24.99</v>
      </c>
      <c r="I1138" s="2">
        <v>99.96</v>
      </c>
      <c r="J1138" t="s">
        <v>51</v>
      </c>
      <c r="K1138" t="s">
        <v>44</v>
      </c>
      <c r="L1138" t="s">
        <v>28</v>
      </c>
      <c r="M1138" t="s">
        <v>39</v>
      </c>
      <c r="N1138" t="s">
        <v>40</v>
      </c>
      <c r="O1138" t="s">
        <v>35</v>
      </c>
      <c r="Q1138" s="2">
        <f>Ventas[[#This Row],[precio_base]]*Ventas[[#This Row],[cantidad]]</f>
        <v>99.96</v>
      </c>
      <c r="R1138" s="2">
        <f>Ventas[[#This Row],[Total bruto (antes de descuento)]]-Ventas[[#This Row],[total_venta]]</f>
        <v>0</v>
      </c>
    </row>
    <row r="1139" spans="1:18" x14ac:dyDescent="0.25">
      <c r="A1139" t="s">
        <v>1232</v>
      </c>
      <c r="B1139" s="1">
        <v>44993</v>
      </c>
      <c r="C1139" t="s">
        <v>205</v>
      </c>
      <c r="D1139" t="s">
        <v>18</v>
      </c>
      <c r="E1139">
        <v>5</v>
      </c>
      <c r="F1139" s="2">
        <v>129.99</v>
      </c>
      <c r="G1139">
        <v>5</v>
      </c>
      <c r="H1139" s="2">
        <v>123.49</v>
      </c>
      <c r="I1139" s="2">
        <v>617.45000000000005</v>
      </c>
      <c r="J1139" t="s">
        <v>51</v>
      </c>
      <c r="K1139" t="s">
        <v>52</v>
      </c>
      <c r="L1139" t="s">
        <v>45</v>
      </c>
      <c r="M1139" t="s">
        <v>73</v>
      </c>
      <c r="N1139" t="s">
        <v>74</v>
      </c>
      <c r="O1139" t="s">
        <v>35</v>
      </c>
      <c r="Q1139" s="2">
        <f>Ventas[[#This Row],[precio_base]]*Ventas[[#This Row],[cantidad]]</f>
        <v>649.95000000000005</v>
      </c>
      <c r="R1139" s="2">
        <f>Ventas[[#This Row],[Total bruto (antes de descuento)]]-Ventas[[#This Row],[total_venta]]</f>
        <v>32.5</v>
      </c>
    </row>
    <row r="1140" spans="1:18" x14ac:dyDescent="0.25">
      <c r="A1140" t="s">
        <v>1233</v>
      </c>
      <c r="B1140" s="1">
        <v>45458</v>
      </c>
      <c r="C1140" t="s">
        <v>151</v>
      </c>
      <c r="D1140" t="s">
        <v>27</v>
      </c>
      <c r="E1140">
        <v>2</v>
      </c>
      <c r="F1140" s="2">
        <v>599.99</v>
      </c>
      <c r="G1140">
        <v>0</v>
      </c>
      <c r="H1140" s="2">
        <v>599.99</v>
      </c>
      <c r="I1140" s="2">
        <v>1199.98</v>
      </c>
      <c r="J1140" t="s">
        <v>51</v>
      </c>
      <c r="K1140" t="s">
        <v>44</v>
      </c>
      <c r="L1140" t="s">
        <v>28</v>
      </c>
      <c r="M1140" t="s">
        <v>65</v>
      </c>
      <c r="N1140" t="s">
        <v>54</v>
      </c>
      <c r="O1140" t="s">
        <v>35</v>
      </c>
      <c r="Q1140" s="2">
        <f>Ventas[[#This Row],[precio_base]]*Ventas[[#This Row],[cantidad]]</f>
        <v>1199.98</v>
      </c>
      <c r="R1140" s="2">
        <f>Ventas[[#This Row],[Total bruto (antes de descuento)]]-Ventas[[#This Row],[total_venta]]</f>
        <v>0</v>
      </c>
    </row>
    <row r="1141" spans="1:18" x14ac:dyDescent="0.25">
      <c r="A1141" t="s">
        <v>1234</v>
      </c>
      <c r="B1141" s="1">
        <v>45433</v>
      </c>
      <c r="C1141" t="s">
        <v>92</v>
      </c>
      <c r="D1141" t="s">
        <v>27</v>
      </c>
      <c r="E1141">
        <v>3</v>
      </c>
      <c r="F1141" s="2">
        <v>79.989999999999995</v>
      </c>
      <c r="G1141">
        <v>10</v>
      </c>
      <c r="H1141" s="2">
        <v>71.989999999999995</v>
      </c>
      <c r="I1141" s="2">
        <v>215.97</v>
      </c>
      <c r="J1141" t="s">
        <v>19</v>
      </c>
      <c r="K1141" t="s">
        <v>52</v>
      </c>
      <c r="L1141" t="s">
        <v>28</v>
      </c>
      <c r="M1141" t="s">
        <v>53</v>
      </c>
      <c r="N1141" t="s">
        <v>54</v>
      </c>
      <c r="O1141" t="s">
        <v>35</v>
      </c>
      <c r="P1141">
        <v>2</v>
      </c>
      <c r="Q1141" s="2">
        <f>Ventas[[#This Row],[precio_base]]*Ventas[[#This Row],[cantidad]]</f>
        <v>239.96999999999997</v>
      </c>
      <c r="R1141" s="2">
        <f>Ventas[[#This Row],[Total bruto (antes de descuento)]]-Ventas[[#This Row],[total_venta]]</f>
        <v>23.999999999999972</v>
      </c>
    </row>
    <row r="1142" spans="1:18" x14ac:dyDescent="0.25">
      <c r="A1142" t="s">
        <v>1235</v>
      </c>
      <c r="B1142" s="1">
        <v>45151</v>
      </c>
      <c r="C1142" t="s">
        <v>130</v>
      </c>
      <c r="D1142" t="s">
        <v>43</v>
      </c>
      <c r="E1142">
        <v>2</v>
      </c>
      <c r="F1142" s="2">
        <v>24.99</v>
      </c>
      <c r="G1142">
        <v>5</v>
      </c>
      <c r="H1142" s="2">
        <v>23.74</v>
      </c>
      <c r="I1142" s="2">
        <v>47.48</v>
      </c>
      <c r="J1142" t="s">
        <v>62</v>
      </c>
      <c r="K1142" t="s">
        <v>20</v>
      </c>
      <c r="L1142" t="s">
        <v>45</v>
      </c>
      <c r="M1142" t="s">
        <v>120</v>
      </c>
      <c r="N1142" t="s">
        <v>23</v>
      </c>
      <c r="O1142" t="s">
        <v>24</v>
      </c>
      <c r="Q1142" s="2">
        <f>Ventas[[#This Row],[precio_base]]*Ventas[[#This Row],[cantidad]]</f>
        <v>49.98</v>
      </c>
      <c r="R1142" s="2">
        <f>Ventas[[#This Row],[Total bruto (antes de descuento)]]-Ventas[[#This Row],[total_venta]]</f>
        <v>2.5</v>
      </c>
    </row>
    <row r="1143" spans="1:18" x14ac:dyDescent="0.25">
      <c r="A1143" t="s">
        <v>1236</v>
      </c>
      <c r="B1143" s="1">
        <v>45313</v>
      </c>
      <c r="C1143" t="s">
        <v>26</v>
      </c>
      <c r="D1143" t="s">
        <v>27</v>
      </c>
      <c r="E1143">
        <v>2</v>
      </c>
      <c r="F1143" s="2">
        <v>399.99</v>
      </c>
      <c r="G1143">
        <v>20</v>
      </c>
      <c r="H1143" s="2">
        <v>319.99</v>
      </c>
      <c r="I1143" s="2">
        <v>639.98</v>
      </c>
      <c r="J1143" t="s">
        <v>19</v>
      </c>
      <c r="K1143" t="s">
        <v>20</v>
      </c>
      <c r="L1143" t="s">
        <v>28</v>
      </c>
      <c r="M1143" t="s">
        <v>65</v>
      </c>
      <c r="N1143" t="s">
        <v>54</v>
      </c>
      <c r="O1143" t="s">
        <v>35</v>
      </c>
      <c r="P1143">
        <v>3</v>
      </c>
      <c r="Q1143" s="2">
        <f>Ventas[[#This Row],[precio_base]]*Ventas[[#This Row],[cantidad]]</f>
        <v>799.98</v>
      </c>
      <c r="R1143" s="2">
        <f>Ventas[[#This Row],[Total bruto (antes de descuento)]]-Ventas[[#This Row],[total_venta]]</f>
        <v>160</v>
      </c>
    </row>
    <row r="1144" spans="1:18" x14ac:dyDescent="0.25">
      <c r="A1144" t="s">
        <v>1237</v>
      </c>
      <c r="B1144" s="1">
        <v>45382</v>
      </c>
      <c r="C1144" t="s">
        <v>87</v>
      </c>
      <c r="D1144" t="s">
        <v>27</v>
      </c>
      <c r="E1144">
        <v>3</v>
      </c>
      <c r="F1144" s="2">
        <v>249.99</v>
      </c>
      <c r="G1144">
        <v>0</v>
      </c>
      <c r="H1144" s="2">
        <v>249.99</v>
      </c>
      <c r="I1144" s="2">
        <v>749.97</v>
      </c>
      <c r="J1144" t="s">
        <v>19</v>
      </c>
      <c r="K1144" t="s">
        <v>44</v>
      </c>
      <c r="L1144" t="s">
        <v>21</v>
      </c>
      <c r="M1144" t="s">
        <v>101</v>
      </c>
      <c r="N1144" t="s">
        <v>102</v>
      </c>
      <c r="O1144" t="s">
        <v>35</v>
      </c>
      <c r="P1144">
        <v>4</v>
      </c>
      <c r="Q1144" s="2">
        <f>Ventas[[#This Row],[precio_base]]*Ventas[[#This Row],[cantidad]]</f>
        <v>749.97</v>
      </c>
      <c r="R1144" s="2">
        <f>Ventas[[#This Row],[Total bruto (antes de descuento)]]-Ventas[[#This Row],[total_venta]]</f>
        <v>0</v>
      </c>
    </row>
    <row r="1145" spans="1:18" x14ac:dyDescent="0.25">
      <c r="A1145" t="s">
        <v>1238</v>
      </c>
      <c r="B1145" s="1">
        <v>45405</v>
      </c>
      <c r="C1145" t="s">
        <v>37</v>
      </c>
      <c r="D1145" t="s">
        <v>38</v>
      </c>
      <c r="E1145">
        <v>4</v>
      </c>
      <c r="F1145" s="2">
        <v>34.99</v>
      </c>
      <c r="G1145">
        <v>0</v>
      </c>
      <c r="H1145" s="2">
        <v>34.99</v>
      </c>
      <c r="I1145" s="2">
        <v>139.96</v>
      </c>
      <c r="J1145" t="s">
        <v>62</v>
      </c>
      <c r="K1145" t="s">
        <v>20</v>
      </c>
      <c r="L1145" t="s">
        <v>21</v>
      </c>
      <c r="M1145" t="s">
        <v>123</v>
      </c>
      <c r="N1145" t="s">
        <v>124</v>
      </c>
      <c r="O1145" t="s">
        <v>24</v>
      </c>
      <c r="Q1145" s="2">
        <f>Ventas[[#This Row],[precio_base]]*Ventas[[#This Row],[cantidad]]</f>
        <v>139.96</v>
      </c>
      <c r="R1145" s="2">
        <f>Ventas[[#This Row],[Total bruto (antes de descuento)]]-Ventas[[#This Row],[total_venta]]</f>
        <v>0</v>
      </c>
    </row>
    <row r="1146" spans="1:18" x14ac:dyDescent="0.25">
      <c r="A1146" t="s">
        <v>1239</v>
      </c>
      <c r="B1146" s="1">
        <v>45379</v>
      </c>
      <c r="C1146" t="s">
        <v>163</v>
      </c>
      <c r="D1146" t="s">
        <v>18</v>
      </c>
      <c r="E1146">
        <v>3</v>
      </c>
      <c r="F1146" s="2">
        <v>499.99</v>
      </c>
      <c r="G1146">
        <v>15</v>
      </c>
      <c r="H1146" s="2">
        <v>424.99</v>
      </c>
      <c r="I1146" s="2">
        <v>1274.97</v>
      </c>
      <c r="J1146" t="s">
        <v>19</v>
      </c>
      <c r="K1146" t="s">
        <v>20</v>
      </c>
      <c r="L1146" t="s">
        <v>32</v>
      </c>
      <c r="M1146" t="s">
        <v>53</v>
      </c>
      <c r="N1146" t="s">
        <v>54</v>
      </c>
      <c r="O1146" t="s">
        <v>35</v>
      </c>
      <c r="P1146">
        <v>5</v>
      </c>
      <c r="Q1146" s="2">
        <f>Ventas[[#This Row],[precio_base]]*Ventas[[#This Row],[cantidad]]</f>
        <v>1499.97</v>
      </c>
      <c r="R1146" s="2">
        <f>Ventas[[#This Row],[Total bruto (antes de descuento)]]-Ventas[[#This Row],[total_venta]]</f>
        <v>225</v>
      </c>
    </row>
    <row r="1147" spans="1:18" x14ac:dyDescent="0.25">
      <c r="A1147" t="s">
        <v>1240</v>
      </c>
      <c r="B1147" s="1">
        <v>45486</v>
      </c>
      <c r="C1147" t="s">
        <v>72</v>
      </c>
      <c r="D1147" t="s">
        <v>31</v>
      </c>
      <c r="E1147">
        <v>1</v>
      </c>
      <c r="F1147" s="2">
        <v>29.99</v>
      </c>
      <c r="G1147">
        <v>20</v>
      </c>
      <c r="H1147" s="2">
        <v>23.99</v>
      </c>
      <c r="I1147" s="2">
        <v>23.99</v>
      </c>
      <c r="J1147" t="s">
        <v>19</v>
      </c>
      <c r="K1147" t="s">
        <v>20</v>
      </c>
      <c r="L1147" t="s">
        <v>21</v>
      </c>
      <c r="M1147" t="s">
        <v>22</v>
      </c>
      <c r="N1147" t="s">
        <v>23</v>
      </c>
      <c r="O1147" t="s">
        <v>24</v>
      </c>
      <c r="P1147">
        <v>1</v>
      </c>
      <c r="Q1147" s="2">
        <f>Ventas[[#This Row],[precio_base]]*Ventas[[#This Row],[cantidad]]</f>
        <v>29.99</v>
      </c>
      <c r="R1147" s="2">
        <f>Ventas[[#This Row],[Total bruto (antes de descuento)]]-Ventas[[#This Row],[total_venta]]</f>
        <v>6</v>
      </c>
    </row>
    <row r="1148" spans="1:18" x14ac:dyDescent="0.25">
      <c r="A1148" t="s">
        <v>1241</v>
      </c>
      <c r="B1148" s="1">
        <v>45486</v>
      </c>
      <c r="C1148" t="s">
        <v>115</v>
      </c>
      <c r="D1148" t="s">
        <v>18</v>
      </c>
      <c r="E1148">
        <v>3</v>
      </c>
      <c r="F1148" s="2">
        <v>799.99</v>
      </c>
      <c r="G1148">
        <v>0</v>
      </c>
      <c r="H1148" s="2">
        <v>799.99</v>
      </c>
      <c r="I1148" s="2">
        <v>2399.9699999999998</v>
      </c>
      <c r="J1148" t="s">
        <v>51</v>
      </c>
      <c r="K1148" t="s">
        <v>20</v>
      </c>
      <c r="L1148" t="s">
        <v>32</v>
      </c>
      <c r="M1148" t="s">
        <v>58</v>
      </c>
      <c r="N1148" t="s">
        <v>59</v>
      </c>
      <c r="O1148" t="s">
        <v>24</v>
      </c>
      <c r="Q1148" s="2">
        <f>Ventas[[#This Row],[precio_base]]*Ventas[[#This Row],[cantidad]]</f>
        <v>2399.9700000000003</v>
      </c>
      <c r="R1148" s="2">
        <f>Ventas[[#This Row],[Total bruto (antes de descuento)]]-Ventas[[#This Row],[total_venta]]</f>
        <v>0</v>
      </c>
    </row>
    <row r="1149" spans="1:18" x14ac:dyDescent="0.25">
      <c r="A1149" t="s">
        <v>1242</v>
      </c>
      <c r="B1149" s="1">
        <v>45626</v>
      </c>
      <c r="C1149" t="s">
        <v>42</v>
      </c>
      <c r="D1149" t="s">
        <v>43</v>
      </c>
      <c r="E1149">
        <v>3</v>
      </c>
      <c r="F1149" s="2">
        <v>349.99</v>
      </c>
      <c r="G1149">
        <v>0</v>
      </c>
      <c r="H1149" s="2">
        <v>349.99</v>
      </c>
      <c r="I1149" s="2">
        <v>1049.97</v>
      </c>
      <c r="J1149" t="s">
        <v>51</v>
      </c>
      <c r="K1149" t="s">
        <v>57</v>
      </c>
      <c r="L1149" t="s">
        <v>28</v>
      </c>
      <c r="M1149" t="s">
        <v>63</v>
      </c>
      <c r="N1149" t="s">
        <v>34</v>
      </c>
      <c r="O1149" t="s">
        <v>24</v>
      </c>
      <c r="Q1149" s="2">
        <f>Ventas[[#This Row],[precio_base]]*Ventas[[#This Row],[cantidad]]</f>
        <v>1049.97</v>
      </c>
      <c r="R1149" s="2">
        <f>Ventas[[#This Row],[Total bruto (antes de descuento)]]-Ventas[[#This Row],[total_venta]]</f>
        <v>0</v>
      </c>
    </row>
    <row r="1150" spans="1:18" x14ac:dyDescent="0.25">
      <c r="A1150" t="s">
        <v>1243</v>
      </c>
      <c r="B1150" s="1">
        <v>45483</v>
      </c>
      <c r="C1150" t="s">
        <v>122</v>
      </c>
      <c r="D1150" t="s">
        <v>43</v>
      </c>
      <c r="E1150">
        <v>3</v>
      </c>
      <c r="F1150" s="2">
        <v>44.99</v>
      </c>
      <c r="G1150">
        <v>0</v>
      </c>
      <c r="H1150" s="2">
        <v>44.99</v>
      </c>
      <c r="I1150" s="2">
        <v>134.97</v>
      </c>
      <c r="J1150" t="s">
        <v>51</v>
      </c>
      <c r="K1150" t="s">
        <v>52</v>
      </c>
      <c r="L1150" t="s">
        <v>28</v>
      </c>
      <c r="M1150" t="s">
        <v>58</v>
      </c>
      <c r="N1150" t="s">
        <v>59</v>
      </c>
      <c r="O1150" t="s">
        <v>24</v>
      </c>
      <c r="Q1150" s="2">
        <f>Ventas[[#This Row],[precio_base]]*Ventas[[#This Row],[cantidad]]</f>
        <v>134.97</v>
      </c>
      <c r="R1150" s="2">
        <f>Ventas[[#This Row],[Total bruto (antes de descuento)]]-Ventas[[#This Row],[total_venta]]</f>
        <v>0</v>
      </c>
    </row>
    <row r="1151" spans="1:18" x14ac:dyDescent="0.25">
      <c r="A1151" t="s">
        <v>1244</v>
      </c>
      <c r="B1151" s="1">
        <v>45340</v>
      </c>
      <c r="C1151" t="s">
        <v>109</v>
      </c>
      <c r="D1151" t="s">
        <v>38</v>
      </c>
      <c r="E1151">
        <v>5</v>
      </c>
      <c r="F1151" s="2">
        <v>39.99</v>
      </c>
      <c r="G1151">
        <v>20</v>
      </c>
      <c r="H1151" s="2">
        <v>31.99</v>
      </c>
      <c r="I1151" s="2">
        <v>159.94999999999999</v>
      </c>
      <c r="J1151" t="s">
        <v>51</v>
      </c>
      <c r="K1151" t="s">
        <v>44</v>
      </c>
      <c r="L1151" t="s">
        <v>152</v>
      </c>
      <c r="M1151" t="s">
        <v>101</v>
      </c>
      <c r="N1151" t="s">
        <v>102</v>
      </c>
      <c r="O1151" t="s">
        <v>35</v>
      </c>
      <c r="Q1151" s="2">
        <f>Ventas[[#This Row],[precio_base]]*Ventas[[#This Row],[cantidad]]</f>
        <v>199.95000000000002</v>
      </c>
      <c r="R1151" s="2">
        <f>Ventas[[#This Row],[Total bruto (antes de descuento)]]-Ventas[[#This Row],[total_venta]]</f>
        <v>40.000000000000028</v>
      </c>
    </row>
    <row r="1152" spans="1:18" x14ac:dyDescent="0.25">
      <c r="A1152" t="s">
        <v>1245</v>
      </c>
      <c r="B1152" s="1">
        <v>45079</v>
      </c>
      <c r="C1152" t="s">
        <v>42</v>
      </c>
      <c r="D1152" t="s">
        <v>43</v>
      </c>
      <c r="E1152">
        <v>4</v>
      </c>
      <c r="F1152" s="2">
        <v>349.99</v>
      </c>
      <c r="G1152">
        <v>0</v>
      </c>
      <c r="H1152" s="2">
        <v>349.99</v>
      </c>
      <c r="I1152" s="2">
        <v>1399.96</v>
      </c>
      <c r="J1152" t="s">
        <v>19</v>
      </c>
      <c r="K1152" t="s">
        <v>20</v>
      </c>
      <c r="L1152" t="s">
        <v>21</v>
      </c>
      <c r="M1152" t="s">
        <v>84</v>
      </c>
      <c r="N1152" t="s">
        <v>85</v>
      </c>
      <c r="O1152" t="s">
        <v>35</v>
      </c>
      <c r="P1152">
        <v>5</v>
      </c>
      <c r="Q1152" s="2">
        <f>Ventas[[#This Row],[precio_base]]*Ventas[[#This Row],[cantidad]]</f>
        <v>1399.96</v>
      </c>
      <c r="R1152" s="2">
        <f>Ventas[[#This Row],[Total bruto (antes de descuento)]]-Ventas[[#This Row],[total_venta]]</f>
        <v>0</v>
      </c>
    </row>
    <row r="1153" spans="1:18" x14ac:dyDescent="0.25">
      <c r="A1153" t="s">
        <v>1246</v>
      </c>
      <c r="B1153" s="1">
        <v>45492</v>
      </c>
      <c r="C1153" t="s">
        <v>98</v>
      </c>
      <c r="D1153" t="s">
        <v>31</v>
      </c>
      <c r="E1153">
        <v>4</v>
      </c>
      <c r="F1153" s="2">
        <v>99.99</v>
      </c>
      <c r="G1153">
        <v>15</v>
      </c>
      <c r="H1153" s="2">
        <v>84.99</v>
      </c>
      <c r="I1153" s="2">
        <v>339.96</v>
      </c>
      <c r="J1153" t="s">
        <v>62</v>
      </c>
      <c r="K1153" t="s">
        <v>52</v>
      </c>
      <c r="L1153" t="s">
        <v>21</v>
      </c>
      <c r="M1153" t="s">
        <v>123</v>
      </c>
      <c r="N1153" t="s">
        <v>124</v>
      </c>
      <c r="O1153" t="s">
        <v>24</v>
      </c>
      <c r="Q1153" s="2">
        <f>Ventas[[#This Row],[precio_base]]*Ventas[[#This Row],[cantidad]]</f>
        <v>399.96</v>
      </c>
      <c r="R1153" s="2">
        <f>Ventas[[#This Row],[Total bruto (antes de descuento)]]-Ventas[[#This Row],[total_venta]]</f>
        <v>60</v>
      </c>
    </row>
    <row r="1154" spans="1:18" x14ac:dyDescent="0.25">
      <c r="A1154" t="s">
        <v>1247</v>
      </c>
      <c r="B1154" s="1">
        <v>45119</v>
      </c>
      <c r="C1154" t="s">
        <v>37</v>
      </c>
      <c r="D1154" t="s">
        <v>38</v>
      </c>
      <c r="E1154">
        <v>4</v>
      </c>
      <c r="F1154" s="2">
        <v>34.99</v>
      </c>
      <c r="G1154">
        <v>0</v>
      </c>
      <c r="H1154" s="2">
        <v>34.99</v>
      </c>
      <c r="I1154" s="2">
        <v>139.96</v>
      </c>
      <c r="J1154" t="s">
        <v>19</v>
      </c>
      <c r="K1154" t="s">
        <v>44</v>
      </c>
      <c r="L1154" t="s">
        <v>45</v>
      </c>
      <c r="M1154" t="s">
        <v>67</v>
      </c>
      <c r="N1154" t="s">
        <v>68</v>
      </c>
      <c r="O1154" t="s">
        <v>35</v>
      </c>
      <c r="P1154">
        <v>5</v>
      </c>
      <c r="Q1154" s="2">
        <f>Ventas[[#This Row],[precio_base]]*Ventas[[#This Row],[cantidad]]</f>
        <v>139.96</v>
      </c>
      <c r="R1154" s="2">
        <f>Ventas[[#This Row],[Total bruto (antes de descuento)]]-Ventas[[#This Row],[total_venta]]</f>
        <v>0</v>
      </c>
    </row>
    <row r="1155" spans="1:18" x14ac:dyDescent="0.25">
      <c r="A1155" t="s">
        <v>1248</v>
      </c>
      <c r="B1155" s="1">
        <v>45058</v>
      </c>
      <c r="C1155" t="s">
        <v>83</v>
      </c>
      <c r="D1155" t="s">
        <v>38</v>
      </c>
      <c r="E1155">
        <v>1</v>
      </c>
      <c r="F1155" s="2">
        <v>49.99</v>
      </c>
      <c r="G1155">
        <v>5</v>
      </c>
      <c r="H1155" s="2">
        <v>47.49</v>
      </c>
      <c r="I1155" s="2">
        <v>47.49</v>
      </c>
      <c r="J1155" t="s">
        <v>62</v>
      </c>
      <c r="K1155" t="s">
        <v>20</v>
      </c>
      <c r="L1155" t="s">
        <v>21</v>
      </c>
      <c r="M1155" t="s">
        <v>67</v>
      </c>
      <c r="N1155" t="s">
        <v>68</v>
      </c>
      <c r="O1155" t="s">
        <v>35</v>
      </c>
      <c r="Q1155" s="2">
        <f>Ventas[[#This Row],[precio_base]]*Ventas[[#This Row],[cantidad]]</f>
        <v>49.99</v>
      </c>
      <c r="R1155" s="2">
        <f>Ventas[[#This Row],[Total bruto (antes de descuento)]]-Ventas[[#This Row],[total_venta]]</f>
        <v>2.5</v>
      </c>
    </row>
    <row r="1156" spans="1:18" x14ac:dyDescent="0.25">
      <c r="A1156" t="s">
        <v>1249</v>
      </c>
      <c r="B1156" s="1">
        <v>45362</v>
      </c>
      <c r="C1156" t="s">
        <v>81</v>
      </c>
      <c r="D1156" t="s">
        <v>31</v>
      </c>
      <c r="E1156">
        <v>4</v>
      </c>
      <c r="F1156" s="2">
        <v>189.99</v>
      </c>
      <c r="G1156">
        <v>20</v>
      </c>
      <c r="H1156" s="2">
        <v>151.99</v>
      </c>
      <c r="I1156" s="2">
        <v>607.96</v>
      </c>
      <c r="J1156" t="s">
        <v>51</v>
      </c>
      <c r="K1156" t="s">
        <v>20</v>
      </c>
      <c r="L1156" t="s">
        <v>45</v>
      </c>
      <c r="M1156" t="s">
        <v>65</v>
      </c>
      <c r="N1156" t="s">
        <v>54</v>
      </c>
      <c r="O1156" t="s">
        <v>35</v>
      </c>
      <c r="Q1156" s="2">
        <f>Ventas[[#This Row],[precio_base]]*Ventas[[#This Row],[cantidad]]</f>
        <v>759.96</v>
      </c>
      <c r="R1156" s="2">
        <f>Ventas[[#This Row],[Total bruto (antes de descuento)]]-Ventas[[#This Row],[total_venta]]</f>
        <v>152</v>
      </c>
    </row>
    <row r="1157" spans="1:18" x14ac:dyDescent="0.25">
      <c r="A1157" t="s">
        <v>1250</v>
      </c>
      <c r="B1157" s="1">
        <v>45508</v>
      </c>
      <c r="C1157" t="s">
        <v>70</v>
      </c>
      <c r="D1157" t="s">
        <v>31</v>
      </c>
      <c r="E1157">
        <v>1</v>
      </c>
      <c r="F1157" s="2">
        <v>59.99</v>
      </c>
      <c r="G1157">
        <v>0</v>
      </c>
      <c r="H1157" s="2">
        <v>59.99</v>
      </c>
      <c r="I1157" s="2">
        <v>59.99</v>
      </c>
      <c r="J1157" t="s">
        <v>19</v>
      </c>
      <c r="K1157" t="s">
        <v>44</v>
      </c>
      <c r="L1157" t="s">
        <v>28</v>
      </c>
      <c r="M1157" t="s">
        <v>123</v>
      </c>
      <c r="N1157" t="s">
        <v>124</v>
      </c>
      <c r="O1157" t="s">
        <v>24</v>
      </c>
      <c r="P1157">
        <v>5</v>
      </c>
      <c r="Q1157" s="2">
        <f>Ventas[[#This Row],[precio_base]]*Ventas[[#This Row],[cantidad]]</f>
        <v>59.99</v>
      </c>
      <c r="R1157" s="2">
        <f>Ventas[[#This Row],[Total bruto (antes de descuento)]]-Ventas[[#This Row],[total_venta]]</f>
        <v>0</v>
      </c>
    </row>
    <row r="1158" spans="1:18" x14ac:dyDescent="0.25">
      <c r="A1158" t="s">
        <v>1251</v>
      </c>
      <c r="B1158" s="1">
        <v>45514</v>
      </c>
      <c r="C1158" t="s">
        <v>42</v>
      </c>
      <c r="D1158" t="s">
        <v>43</v>
      </c>
      <c r="E1158">
        <v>4</v>
      </c>
      <c r="F1158" s="2">
        <v>349.99</v>
      </c>
      <c r="G1158">
        <v>5</v>
      </c>
      <c r="H1158" s="2">
        <v>332.49</v>
      </c>
      <c r="I1158" s="2">
        <v>1329.96</v>
      </c>
      <c r="J1158" t="s">
        <v>19</v>
      </c>
      <c r="K1158" t="s">
        <v>20</v>
      </c>
      <c r="L1158" t="s">
        <v>45</v>
      </c>
      <c r="M1158" t="s">
        <v>120</v>
      </c>
      <c r="N1158" t="s">
        <v>23</v>
      </c>
      <c r="O1158" t="s">
        <v>24</v>
      </c>
      <c r="P1158">
        <v>4</v>
      </c>
      <c r="Q1158" s="2">
        <f>Ventas[[#This Row],[precio_base]]*Ventas[[#This Row],[cantidad]]</f>
        <v>1399.96</v>
      </c>
      <c r="R1158" s="2">
        <f>Ventas[[#This Row],[Total bruto (antes de descuento)]]-Ventas[[#This Row],[total_venta]]</f>
        <v>70</v>
      </c>
    </row>
    <row r="1159" spans="1:18" x14ac:dyDescent="0.25">
      <c r="A1159" t="s">
        <v>1252</v>
      </c>
      <c r="B1159" s="1">
        <v>45038</v>
      </c>
      <c r="C1159" t="s">
        <v>141</v>
      </c>
      <c r="D1159" t="s">
        <v>38</v>
      </c>
      <c r="E1159">
        <v>5</v>
      </c>
      <c r="F1159" s="2">
        <v>89.99</v>
      </c>
      <c r="G1159">
        <v>5</v>
      </c>
      <c r="H1159" s="2">
        <v>85.49</v>
      </c>
      <c r="I1159" s="2">
        <v>427.45</v>
      </c>
      <c r="J1159" t="s">
        <v>51</v>
      </c>
      <c r="K1159" t="s">
        <v>20</v>
      </c>
      <c r="L1159" t="s">
        <v>21</v>
      </c>
      <c r="M1159" t="s">
        <v>58</v>
      </c>
      <c r="N1159" t="s">
        <v>59</v>
      </c>
      <c r="O1159" t="s">
        <v>24</v>
      </c>
      <c r="Q1159" s="2">
        <f>Ventas[[#This Row],[precio_base]]*Ventas[[#This Row],[cantidad]]</f>
        <v>449.95</v>
      </c>
      <c r="R1159" s="2">
        <f>Ventas[[#This Row],[Total bruto (antes de descuento)]]-Ventas[[#This Row],[total_venta]]</f>
        <v>22.5</v>
      </c>
    </row>
    <row r="1160" spans="1:18" x14ac:dyDescent="0.25">
      <c r="A1160" t="s">
        <v>1253</v>
      </c>
      <c r="B1160" s="1">
        <v>45493</v>
      </c>
      <c r="C1160" t="s">
        <v>205</v>
      </c>
      <c r="D1160" t="s">
        <v>18</v>
      </c>
      <c r="E1160">
        <v>1</v>
      </c>
      <c r="F1160" s="2">
        <v>129.99</v>
      </c>
      <c r="G1160">
        <v>20</v>
      </c>
      <c r="H1160" s="2">
        <v>103.99</v>
      </c>
      <c r="I1160" s="2">
        <v>103.99</v>
      </c>
      <c r="J1160" t="s">
        <v>51</v>
      </c>
      <c r="K1160" t="s">
        <v>20</v>
      </c>
      <c r="L1160" t="s">
        <v>21</v>
      </c>
      <c r="M1160" t="s">
        <v>101</v>
      </c>
      <c r="N1160" t="s">
        <v>102</v>
      </c>
      <c r="O1160" t="s">
        <v>35</v>
      </c>
      <c r="Q1160" s="2">
        <f>Ventas[[#This Row],[precio_base]]*Ventas[[#This Row],[cantidad]]</f>
        <v>129.99</v>
      </c>
      <c r="R1160" s="2">
        <f>Ventas[[#This Row],[Total bruto (antes de descuento)]]-Ventas[[#This Row],[total_venta]]</f>
        <v>26.000000000000014</v>
      </c>
    </row>
    <row r="1161" spans="1:18" x14ac:dyDescent="0.25">
      <c r="A1161" t="s">
        <v>1254</v>
      </c>
      <c r="B1161" s="1">
        <v>45322</v>
      </c>
      <c r="C1161" t="s">
        <v>83</v>
      </c>
      <c r="D1161" t="s">
        <v>38</v>
      </c>
      <c r="E1161">
        <v>2</v>
      </c>
      <c r="F1161" s="2">
        <v>49.99</v>
      </c>
      <c r="G1161">
        <v>0</v>
      </c>
      <c r="H1161" s="2">
        <v>49.99</v>
      </c>
      <c r="I1161" s="2">
        <v>99.98</v>
      </c>
      <c r="J1161" t="s">
        <v>19</v>
      </c>
      <c r="K1161" t="s">
        <v>20</v>
      </c>
      <c r="L1161" t="s">
        <v>21</v>
      </c>
      <c r="M1161" t="s">
        <v>65</v>
      </c>
      <c r="N1161" t="s">
        <v>54</v>
      </c>
      <c r="O1161" t="s">
        <v>35</v>
      </c>
      <c r="P1161">
        <v>5</v>
      </c>
      <c r="Q1161" s="2">
        <f>Ventas[[#This Row],[precio_base]]*Ventas[[#This Row],[cantidad]]</f>
        <v>99.98</v>
      </c>
      <c r="R1161" s="2">
        <f>Ventas[[#This Row],[Total bruto (antes de descuento)]]-Ventas[[#This Row],[total_venta]]</f>
        <v>0</v>
      </c>
    </row>
    <row r="1162" spans="1:18" x14ac:dyDescent="0.25">
      <c r="A1162" t="s">
        <v>1255</v>
      </c>
      <c r="B1162" s="1">
        <v>44938</v>
      </c>
      <c r="C1162" t="s">
        <v>205</v>
      </c>
      <c r="D1162" t="s">
        <v>18</v>
      </c>
      <c r="E1162">
        <v>3</v>
      </c>
      <c r="F1162" s="2">
        <v>129.99</v>
      </c>
      <c r="G1162">
        <v>20</v>
      </c>
      <c r="H1162" s="2">
        <v>103.99</v>
      </c>
      <c r="I1162" s="2">
        <v>311.97000000000003</v>
      </c>
      <c r="J1162" t="s">
        <v>90</v>
      </c>
      <c r="K1162" t="s">
        <v>20</v>
      </c>
      <c r="L1162" t="s">
        <v>21</v>
      </c>
      <c r="M1162" t="s">
        <v>120</v>
      </c>
      <c r="N1162" t="s">
        <v>23</v>
      </c>
      <c r="O1162" t="s">
        <v>24</v>
      </c>
      <c r="Q1162" s="2">
        <f>Ventas[[#This Row],[precio_base]]*Ventas[[#This Row],[cantidad]]</f>
        <v>389.97</v>
      </c>
      <c r="R1162" s="2">
        <f>Ventas[[#This Row],[Total bruto (antes de descuento)]]-Ventas[[#This Row],[total_venta]]</f>
        <v>78</v>
      </c>
    </row>
    <row r="1163" spans="1:18" x14ac:dyDescent="0.25">
      <c r="A1163" t="s">
        <v>1256</v>
      </c>
      <c r="B1163" s="1">
        <v>45476</v>
      </c>
      <c r="C1163" t="s">
        <v>37</v>
      </c>
      <c r="D1163" t="s">
        <v>38</v>
      </c>
      <c r="E1163">
        <v>4</v>
      </c>
      <c r="F1163" s="2">
        <v>34.99</v>
      </c>
      <c r="G1163">
        <v>15</v>
      </c>
      <c r="H1163" s="2">
        <v>29.74</v>
      </c>
      <c r="I1163" s="2">
        <v>118.96</v>
      </c>
      <c r="J1163" t="s">
        <v>19</v>
      </c>
      <c r="K1163" t="s">
        <v>52</v>
      </c>
      <c r="L1163" t="s">
        <v>21</v>
      </c>
      <c r="M1163" t="s">
        <v>53</v>
      </c>
      <c r="N1163" t="s">
        <v>54</v>
      </c>
      <c r="O1163" t="s">
        <v>35</v>
      </c>
      <c r="P1163">
        <v>2</v>
      </c>
      <c r="Q1163" s="2">
        <f>Ventas[[#This Row],[precio_base]]*Ventas[[#This Row],[cantidad]]</f>
        <v>139.96</v>
      </c>
      <c r="R1163" s="2">
        <f>Ventas[[#This Row],[Total bruto (antes de descuento)]]-Ventas[[#This Row],[total_venta]]</f>
        <v>21.000000000000014</v>
      </c>
    </row>
    <row r="1164" spans="1:18" x14ac:dyDescent="0.25">
      <c r="A1164" t="s">
        <v>1257</v>
      </c>
      <c r="B1164" s="1">
        <v>45244</v>
      </c>
      <c r="C1164" t="s">
        <v>37</v>
      </c>
      <c r="D1164" t="s">
        <v>38</v>
      </c>
      <c r="E1164">
        <v>4</v>
      </c>
      <c r="F1164" s="2">
        <v>34.99</v>
      </c>
      <c r="G1164">
        <v>0</v>
      </c>
      <c r="H1164" s="2">
        <v>34.99</v>
      </c>
      <c r="I1164" s="2">
        <v>139.96</v>
      </c>
      <c r="J1164" t="s">
        <v>51</v>
      </c>
      <c r="K1164" t="s">
        <v>44</v>
      </c>
      <c r="L1164" t="s">
        <v>45</v>
      </c>
      <c r="M1164" t="s">
        <v>58</v>
      </c>
      <c r="N1164" t="s">
        <v>59</v>
      </c>
      <c r="O1164" t="s">
        <v>24</v>
      </c>
      <c r="Q1164" s="2">
        <f>Ventas[[#This Row],[precio_base]]*Ventas[[#This Row],[cantidad]]</f>
        <v>139.96</v>
      </c>
      <c r="R1164" s="2">
        <f>Ventas[[#This Row],[Total bruto (antes de descuento)]]-Ventas[[#This Row],[total_venta]]</f>
        <v>0</v>
      </c>
    </row>
    <row r="1165" spans="1:18" x14ac:dyDescent="0.25">
      <c r="A1165" t="s">
        <v>1258</v>
      </c>
      <c r="B1165" s="1">
        <v>45628</v>
      </c>
      <c r="C1165" t="s">
        <v>151</v>
      </c>
      <c r="D1165" t="s">
        <v>27</v>
      </c>
      <c r="E1165">
        <v>3</v>
      </c>
      <c r="F1165" s="2">
        <v>599.99</v>
      </c>
      <c r="G1165">
        <v>0</v>
      </c>
      <c r="H1165" s="2">
        <v>599.99</v>
      </c>
      <c r="I1165" s="2">
        <v>1799.97</v>
      </c>
      <c r="J1165" t="s">
        <v>19</v>
      </c>
      <c r="K1165" t="s">
        <v>20</v>
      </c>
      <c r="L1165" t="s">
        <v>32</v>
      </c>
      <c r="M1165" t="s">
        <v>63</v>
      </c>
      <c r="N1165" t="s">
        <v>34</v>
      </c>
      <c r="O1165" t="s">
        <v>24</v>
      </c>
      <c r="P1165">
        <v>5</v>
      </c>
      <c r="Q1165" s="2">
        <f>Ventas[[#This Row],[precio_base]]*Ventas[[#This Row],[cantidad]]</f>
        <v>1799.97</v>
      </c>
      <c r="R1165" s="2">
        <f>Ventas[[#This Row],[Total bruto (antes de descuento)]]-Ventas[[#This Row],[total_venta]]</f>
        <v>0</v>
      </c>
    </row>
    <row r="1166" spans="1:18" x14ac:dyDescent="0.25">
      <c r="A1166" t="s">
        <v>1259</v>
      </c>
      <c r="B1166" s="1">
        <v>45179</v>
      </c>
      <c r="C1166" t="s">
        <v>87</v>
      </c>
      <c r="D1166" t="s">
        <v>27</v>
      </c>
      <c r="E1166">
        <v>3</v>
      </c>
      <c r="F1166" s="2">
        <v>249.99</v>
      </c>
      <c r="G1166">
        <v>10</v>
      </c>
      <c r="H1166" s="2">
        <v>224.99</v>
      </c>
      <c r="I1166" s="2">
        <v>674.97</v>
      </c>
      <c r="J1166" t="s">
        <v>62</v>
      </c>
      <c r="K1166" t="s">
        <v>44</v>
      </c>
      <c r="L1166" t="s">
        <v>21</v>
      </c>
      <c r="M1166" t="s">
        <v>101</v>
      </c>
      <c r="N1166" t="s">
        <v>102</v>
      </c>
      <c r="O1166" t="s">
        <v>35</v>
      </c>
      <c r="Q1166" s="2">
        <f>Ventas[[#This Row],[precio_base]]*Ventas[[#This Row],[cantidad]]</f>
        <v>749.97</v>
      </c>
      <c r="R1166" s="2">
        <f>Ventas[[#This Row],[Total bruto (antes de descuento)]]-Ventas[[#This Row],[total_venta]]</f>
        <v>75</v>
      </c>
    </row>
    <row r="1167" spans="1:18" x14ac:dyDescent="0.25">
      <c r="A1167" t="s">
        <v>1260</v>
      </c>
      <c r="B1167" s="1">
        <v>45020</v>
      </c>
      <c r="C1167" t="s">
        <v>83</v>
      </c>
      <c r="D1167" t="s">
        <v>38</v>
      </c>
      <c r="E1167">
        <v>4</v>
      </c>
      <c r="F1167" s="2">
        <v>49.99</v>
      </c>
      <c r="G1167">
        <v>0</v>
      </c>
      <c r="H1167" s="2">
        <v>49.99</v>
      </c>
      <c r="I1167" s="2">
        <v>199.96</v>
      </c>
      <c r="J1167" t="s">
        <v>51</v>
      </c>
      <c r="K1167" t="s">
        <v>52</v>
      </c>
      <c r="L1167" t="s">
        <v>45</v>
      </c>
      <c r="M1167" t="s">
        <v>84</v>
      </c>
      <c r="N1167" t="s">
        <v>85</v>
      </c>
      <c r="O1167" t="s">
        <v>35</v>
      </c>
      <c r="Q1167" s="2">
        <f>Ventas[[#This Row],[precio_base]]*Ventas[[#This Row],[cantidad]]</f>
        <v>199.96</v>
      </c>
      <c r="R1167" s="2">
        <f>Ventas[[#This Row],[Total bruto (antes de descuento)]]-Ventas[[#This Row],[total_venta]]</f>
        <v>0</v>
      </c>
    </row>
    <row r="1168" spans="1:18" x14ac:dyDescent="0.25">
      <c r="A1168" t="s">
        <v>1261</v>
      </c>
      <c r="B1168" s="1">
        <v>45106</v>
      </c>
      <c r="C1168" t="s">
        <v>37</v>
      </c>
      <c r="D1168" t="s">
        <v>38</v>
      </c>
      <c r="E1168">
        <v>2</v>
      </c>
      <c r="F1168" s="2">
        <v>34.99</v>
      </c>
      <c r="G1168">
        <v>0</v>
      </c>
      <c r="H1168" s="2">
        <v>34.99</v>
      </c>
      <c r="I1168" s="2">
        <v>69.98</v>
      </c>
      <c r="J1168" t="s">
        <v>62</v>
      </c>
      <c r="K1168" t="s">
        <v>20</v>
      </c>
      <c r="L1168" t="s">
        <v>45</v>
      </c>
      <c r="M1168" t="s">
        <v>84</v>
      </c>
      <c r="N1168" t="s">
        <v>85</v>
      </c>
      <c r="O1168" t="s">
        <v>35</v>
      </c>
      <c r="Q1168" s="2">
        <f>Ventas[[#This Row],[precio_base]]*Ventas[[#This Row],[cantidad]]</f>
        <v>69.98</v>
      </c>
      <c r="R1168" s="2">
        <f>Ventas[[#This Row],[Total bruto (antes de descuento)]]-Ventas[[#This Row],[total_venta]]</f>
        <v>0</v>
      </c>
    </row>
    <row r="1169" spans="1:18" x14ac:dyDescent="0.25">
      <c r="A1169" t="s">
        <v>1262</v>
      </c>
      <c r="B1169" s="1">
        <v>45601</v>
      </c>
      <c r="C1169" t="s">
        <v>205</v>
      </c>
      <c r="D1169" t="s">
        <v>18</v>
      </c>
      <c r="E1169">
        <v>5</v>
      </c>
      <c r="F1169" s="2">
        <v>129.99</v>
      </c>
      <c r="G1169">
        <v>0</v>
      </c>
      <c r="H1169" s="2">
        <v>129.99</v>
      </c>
      <c r="I1169" s="2">
        <v>649.95000000000005</v>
      </c>
      <c r="J1169" t="s">
        <v>19</v>
      </c>
      <c r="K1169" t="s">
        <v>20</v>
      </c>
      <c r="L1169" t="s">
        <v>32</v>
      </c>
      <c r="M1169" t="s">
        <v>46</v>
      </c>
      <c r="N1169" t="s">
        <v>47</v>
      </c>
      <c r="O1169" t="s">
        <v>48</v>
      </c>
      <c r="P1169">
        <v>3</v>
      </c>
      <c r="Q1169" s="2">
        <f>Ventas[[#This Row],[precio_base]]*Ventas[[#This Row],[cantidad]]</f>
        <v>649.95000000000005</v>
      </c>
      <c r="R1169" s="2">
        <f>Ventas[[#This Row],[Total bruto (antes de descuento)]]-Ventas[[#This Row],[total_venta]]</f>
        <v>0</v>
      </c>
    </row>
    <row r="1170" spans="1:18" x14ac:dyDescent="0.25">
      <c r="A1170" t="s">
        <v>1263</v>
      </c>
      <c r="B1170" s="1">
        <v>45570</v>
      </c>
      <c r="C1170" t="s">
        <v>50</v>
      </c>
      <c r="D1170" t="s">
        <v>27</v>
      </c>
      <c r="E1170">
        <v>3</v>
      </c>
      <c r="F1170" s="2">
        <v>149.99</v>
      </c>
      <c r="G1170">
        <v>15</v>
      </c>
      <c r="H1170" s="2">
        <v>127.49</v>
      </c>
      <c r="I1170" s="2">
        <v>382.47</v>
      </c>
      <c r="J1170" t="s">
        <v>90</v>
      </c>
      <c r="K1170" t="s">
        <v>44</v>
      </c>
      <c r="L1170" t="s">
        <v>152</v>
      </c>
      <c r="M1170" t="s">
        <v>84</v>
      </c>
      <c r="N1170" t="s">
        <v>85</v>
      </c>
      <c r="O1170" t="s">
        <v>35</v>
      </c>
      <c r="Q1170" s="2">
        <f>Ventas[[#This Row],[precio_base]]*Ventas[[#This Row],[cantidad]]</f>
        <v>449.97</v>
      </c>
      <c r="R1170" s="2">
        <f>Ventas[[#This Row],[Total bruto (antes de descuento)]]-Ventas[[#This Row],[total_venta]]</f>
        <v>67.5</v>
      </c>
    </row>
    <row r="1171" spans="1:18" x14ac:dyDescent="0.25">
      <c r="A1171" t="s">
        <v>1264</v>
      </c>
      <c r="B1171" s="1">
        <v>45432</v>
      </c>
      <c r="C1171" t="s">
        <v>37</v>
      </c>
      <c r="D1171" t="s">
        <v>38</v>
      </c>
      <c r="E1171">
        <v>5</v>
      </c>
      <c r="F1171" s="2">
        <v>34.99</v>
      </c>
      <c r="G1171">
        <v>0</v>
      </c>
      <c r="H1171" s="2">
        <v>34.99</v>
      </c>
      <c r="I1171" s="2">
        <v>174.95</v>
      </c>
      <c r="J1171" t="s">
        <v>116</v>
      </c>
      <c r="K1171" t="s">
        <v>52</v>
      </c>
      <c r="L1171" t="s">
        <v>45</v>
      </c>
      <c r="M1171" t="s">
        <v>95</v>
      </c>
      <c r="N1171" t="s">
        <v>96</v>
      </c>
      <c r="O1171" t="s">
        <v>48</v>
      </c>
      <c r="Q1171" s="2">
        <f>Ventas[[#This Row],[precio_base]]*Ventas[[#This Row],[cantidad]]</f>
        <v>174.95000000000002</v>
      </c>
      <c r="R1171" s="2">
        <f>Ventas[[#This Row],[Total bruto (antes de descuento)]]-Ventas[[#This Row],[total_venta]]</f>
        <v>0</v>
      </c>
    </row>
    <row r="1172" spans="1:18" x14ac:dyDescent="0.25">
      <c r="A1172" t="s">
        <v>1265</v>
      </c>
      <c r="B1172" s="1">
        <v>45260</v>
      </c>
      <c r="C1172" t="s">
        <v>37</v>
      </c>
      <c r="D1172" t="s">
        <v>38</v>
      </c>
      <c r="E1172">
        <v>4</v>
      </c>
      <c r="F1172" s="2">
        <v>34.99</v>
      </c>
      <c r="G1172">
        <v>0</v>
      </c>
      <c r="H1172" s="2">
        <v>34.99</v>
      </c>
      <c r="I1172" s="2">
        <v>139.96</v>
      </c>
      <c r="J1172" t="s">
        <v>19</v>
      </c>
      <c r="K1172" t="s">
        <v>20</v>
      </c>
      <c r="L1172" t="s">
        <v>21</v>
      </c>
      <c r="M1172" t="s">
        <v>65</v>
      </c>
      <c r="N1172" t="s">
        <v>54</v>
      </c>
      <c r="O1172" t="s">
        <v>35</v>
      </c>
      <c r="P1172">
        <v>4</v>
      </c>
      <c r="Q1172" s="2">
        <f>Ventas[[#This Row],[precio_base]]*Ventas[[#This Row],[cantidad]]</f>
        <v>139.96</v>
      </c>
      <c r="R1172" s="2">
        <f>Ventas[[#This Row],[Total bruto (antes de descuento)]]-Ventas[[#This Row],[total_venta]]</f>
        <v>0</v>
      </c>
    </row>
    <row r="1173" spans="1:18" x14ac:dyDescent="0.25">
      <c r="A1173" t="s">
        <v>1266</v>
      </c>
      <c r="B1173" s="1">
        <v>45317</v>
      </c>
      <c r="C1173" t="s">
        <v>141</v>
      </c>
      <c r="D1173" t="s">
        <v>38</v>
      </c>
      <c r="E1173">
        <v>4</v>
      </c>
      <c r="F1173" s="2">
        <v>89.99</v>
      </c>
      <c r="G1173">
        <v>20</v>
      </c>
      <c r="H1173" s="2">
        <v>71.989999999999995</v>
      </c>
      <c r="I1173" s="2">
        <v>287.95999999999998</v>
      </c>
      <c r="J1173" t="s">
        <v>19</v>
      </c>
      <c r="K1173" t="s">
        <v>20</v>
      </c>
      <c r="L1173" t="s">
        <v>21</v>
      </c>
      <c r="M1173" t="s">
        <v>46</v>
      </c>
      <c r="N1173" t="s">
        <v>47</v>
      </c>
      <c r="O1173" t="s">
        <v>48</v>
      </c>
      <c r="P1173">
        <v>2</v>
      </c>
      <c r="Q1173" s="2">
        <f>Ventas[[#This Row],[precio_base]]*Ventas[[#This Row],[cantidad]]</f>
        <v>359.96</v>
      </c>
      <c r="R1173" s="2">
        <f>Ventas[[#This Row],[Total bruto (antes de descuento)]]-Ventas[[#This Row],[total_venta]]</f>
        <v>72</v>
      </c>
    </row>
    <row r="1174" spans="1:18" x14ac:dyDescent="0.25">
      <c r="A1174" t="s">
        <v>1267</v>
      </c>
      <c r="B1174" s="1">
        <v>45261</v>
      </c>
      <c r="C1174" t="s">
        <v>81</v>
      </c>
      <c r="D1174" t="s">
        <v>31</v>
      </c>
      <c r="E1174">
        <v>4</v>
      </c>
      <c r="F1174" s="2">
        <v>189.99</v>
      </c>
      <c r="G1174">
        <v>5</v>
      </c>
      <c r="H1174" s="2">
        <v>180.49</v>
      </c>
      <c r="I1174" s="2">
        <v>721.96</v>
      </c>
      <c r="J1174" t="s">
        <v>19</v>
      </c>
      <c r="K1174" t="s">
        <v>44</v>
      </c>
      <c r="L1174" t="s">
        <v>21</v>
      </c>
      <c r="M1174" t="s">
        <v>95</v>
      </c>
      <c r="N1174" t="s">
        <v>96</v>
      </c>
      <c r="O1174" t="s">
        <v>48</v>
      </c>
      <c r="P1174">
        <v>4</v>
      </c>
      <c r="Q1174" s="2">
        <f>Ventas[[#This Row],[precio_base]]*Ventas[[#This Row],[cantidad]]</f>
        <v>759.96</v>
      </c>
      <c r="R1174" s="2">
        <f>Ventas[[#This Row],[Total bruto (antes de descuento)]]-Ventas[[#This Row],[total_venta]]</f>
        <v>38</v>
      </c>
    </row>
    <row r="1175" spans="1:18" x14ac:dyDescent="0.25">
      <c r="A1175" t="s">
        <v>1268</v>
      </c>
      <c r="B1175" s="1">
        <v>45070</v>
      </c>
      <c r="C1175" t="s">
        <v>92</v>
      </c>
      <c r="D1175" t="s">
        <v>27</v>
      </c>
      <c r="E1175">
        <v>3</v>
      </c>
      <c r="F1175" s="2">
        <v>79.989999999999995</v>
      </c>
      <c r="G1175">
        <v>20</v>
      </c>
      <c r="H1175" s="2">
        <v>63.99</v>
      </c>
      <c r="I1175" s="2">
        <v>191.97</v>
      </c>
      <c r="J1175" t="s">
        <v>19</v>
      </c>
      <c r="K1175" t="s">
        <v>20</v>
      </c>
      <c r="L1175" t="s">
        <v>21</v>
      </c>
      <c r="M1175" t="s">
        <v>67</v>
      </c>
      <c r="N1175" t="s">
        <v>68</v>
      </c>
      <c r="O1175" t="s">
        <v>35</v>
      </c>
      <c r="P1175">
        <v>3</v>
      </c>
      <c r="Q1175" s="2">
        <f>Ventas[[#This Row],[precio_base]]*Ventas[[#This Row],[cantidad]]</f>
        <v>239.96999999999997</v>
      </c>
      <c r="R1175" s="2">
        <f>Ventas[[#This Row],[Total bruto (antes de descuento)]]-Ventas[[#This Row],[total_venta]]</f>
        <v>47.999999999999972</v>
      </c>
    </row>
    <row r="1176" spans="1:18" x14ac:dyDescent="0.25">
      <c r="A1176" t="s">
        <v>1269</v>
      </c>
      <c r="B1176" s="1">
        <v>45054</v>
      </c>
      <c r="C1176" t="s">
        <v>50</v>
      </c>
      <c r="D1176" t="s">
        <v>27</v>
      </c>
      <c r="E1176">
        <v>4</v>
      </c>
      <c r="F1176" s="2">
        <v>149.99</v>
      </c>
      <c r="G1176">
        <v>0</v>
      </c>
      <c r="H1176" s="2">
        <v>149.99</v>
      </c>
      <c r="I1176" s="2">
        <v>599.96</v>
      </c>
      <c r="J1176" t="s">
        <v>19</v>
      </c>
      <c r="K1176" t="s">
        <v>20</v>
      </c>
      <c r="L1176" t="s">
        <v>21</v>
      </c>
      <c r="M1176" t="s">
        <v>39</v>
      </c>
      <c r="N1176" t="s">
        <v>40</v>
      </c>
      <c r="O1176" t="s">
        <v>35</v>
      </c>
      <c r="P1176">
        <v>4</v>
      </c>
      <c r="Q1176" s="2">
        <f>Ventas[[#This Row],[precio_base]]*Ventas[[#This Row],[cantidad]]</f>
        <v>599.96</v>
      </c>
      <c r="R1176" s="2">
        <f>Ventas[[#This Row],[Total bruto (antes de descuento)]]-Ventas[[#This Row],[total_venta]]</f>
        <v>0</v>
      </c>
    </row>
    <row r="1177" spans="1:18" x14ac:dyDescent="0.25">
      <c r="A1177" t="s">
        <v>1270</v>
      </c>
      <c r="B1177" s="1">
        <v>45293</v>
      </c>
      <c r="C1177" t="s">
        <v>205</v>
      </c>
      <c r="D1177" t="s">
        <v>18</v>
      </c>
      <c r="E1177">
        <v>2</v>
      </c>
      <c r="F1177" s="2">
        <v>129.99</v>
      </c>
      <c r="G1177">
        <v>15</v>
      </c>
      <c r="H1177" s="2">
        <v>110.49</v>
      </c>
      <c r="I1177" s="2">
        <v>220.98</v>
      </c>
      <c r="J1177" t="s">
        <v>19</v>
      </c>
      <c r="K1177" t="s">
        <v>44</v>
      </c>
      <c r="L1177" t="s">
        <v>45</v>
      </c>
      <c r="M1177" t="s">
        <v>73</v>
      </c>
      <c r="N1177" t="s">
        <v>74</v>
      </c>
      <c r="O1177" t="s">
        <v>35</v>
      </c>
      <c r="P1177">
        <v>1</v>
      </c>
      <c r="Q1177" s="2">
        <f>Ventas[[#This Row],[precio_base]]*Ventas[[#This Row],[cantidad]]</f>
        <v>259.98</v>
      </c>
      <c r="R1177" s="2">
        <f>Ventas[[#This Row],[Total bruto (antes de descuento)]]-Ventas[[#This Row],[total_venta]]</f>
        <v>39.000000000000028</v>
      </c>
    </row>
    <row r="1178" spans="1:18" x14ac:dyDescent="0.25">
      <c r="A1178" t="s">
        <v>1271</v>
      </c>
      <c r="B1178" s="1">
        <v>45577</v>
      </c>
      <c r="C1178" t="s">
        <v>70</v>
      </c>
      <c r="D1178" t="s">
        <v>31</v>
      </c>
      <c r="E1178">
        <v>5</v>
      </c>
      <c r="F1178" s="2">
        <v>59.99</v>
      </c>
      <c r="G1178">
        <v>15</v>
      </c>
      <c r="H1178" s="2">
        <v>50.99</v>
      </c>
      <c r="I1178" s="2">
        <v>254.95</v>
      </c>
      <c r="J1178" t="s">
        <v>51</v>
      </c>
      <c r="K1178" t="s">
        <v>52</v>
      </c>
      <c r="L1178" t="s">
        <v>45</v>
      </c>
      <c r="M1178" t="s">
        <v>73</v>
      </c>
      <c r="N1178" t="s">
        <v>74</v>
      </c>
      <c r="O1178" t="s">
        <v>35</v>
      </c>
      <c r="Q1178" s="2">
        <f>Ventas[[#This Row],[precio_base]]*Ventas[[#This Row],[cantidad]]</f>
        <v>299.95</v>
      </c>
      <c r="R1178" s="2">
        <f>Ventas[[#This Row],[Total bruto (antes de descuento)]]-Ventas[[#This Row],[total_venta]]</f>
        <v>45</v>
      </c>
    </row>
    <row r="1179" spans="1:18" x14ac:dyDescent="0.25">
      <c r="A1179" t="s">
        <v>1272</v>
      </c>
      <c r="B1179" s="1">
        <v>45242</v>
      </c>
      <c r="C1179" t="s">
        <v>151</v>
      </c>
      <c r="D1179" t="s">
        <v>27</v>
      </c>
      <c r="E1179">
        <v>1</v>
      </c>
      <c r="F1179" s="2">
        <v>599.99</v>
      </c>
      <c r="G1179">
        <v>10</v>
      </c>
      <c r="H1179" s="2">
        <v>539.99</v>
      </c>
      <c r="I1179" s="2">
        <v>539.99</v>
      </c>
      <c r="J1179" t="s">
        <v>19</v>
      </c>
      <c r="K1179" t="s">
        <v>20</v>
      </c>
      <c r="L1179" t="s">
        <v>21</v>
      </c>
      <c r="M1179" t="s">
        <v>39</v>
      </c>
      <c r="N1179" t="s">
        <v>40</v>
      </c>
      <c r="O1179" t="s">
        <v>35</v>
      </c>
      <c r="P1179">
        <v>2</v>
      </c>
      <c r="Q1179" s="2">
        <f>Ventas[[#This Row],[precio_base]]*Ventas[[#This Row],[cantidad]]</f>
        <v>599.99</v>
      </c>
      <c r="R1179" s="2">
        <f>Ventas[[#This Row],[Total bruto (antes de descuento)]]-Ventas[[#This Row],[total_venta]]</f>
        <v>60</v>
      </c>
    </row>
    <row r="1180" spans="1:18" x14ac:dyDescent="0.25">
      <c r="A1180" t="s">
        <v>1273</v>
      </c>
      <c r="B1180" s="1">
        <v>45310</v>
      </c>
      <c r="C1180" t="s">
        <v>122</v>
      </c>
      <c r="D1180" t="s">
        <v>43</v>
      </c>
      <c r="E1180">
        <v>2</v>
      </c>
      <c r="F1180" s="2">
        <v>44.99</v>
      </c>
      <c r="G1180">
        <v>0</v>
      </c>
      <c r="H1180" s="2">
        <v>44.99</v>
      </c>
      <c r="I1180" s="2">
        <v>89.98</v>
      </c>
      <c r="J1180" t="s">
        <v>19</v>
      </c>
      <c r="K1180" t="s">
        <v>20</v>
      </c>
      <c r="L1180" t="s">
        <v>21</v>
      </c>
      <c r="M1180" t="s">
        <v>120</v>
      </c>
      <c r="N1180" t="s">
        <v>23</v>
      </c>
      <c r="O1180" t="s">
        <v>24</v>
      </c>
      <c r="P1180">
        <v>2</v>
      </c>
      <c r="Q1180" s="2">
        <f>Ventas[[#This Row],[precio_base]]*Ventas[[#This Row],[cantidad]]</f>
        <v>89.98</v>
      </c>
      <c r="R1180" s="2">
        <f>Ventas[[#This Row],[Total bruto (antes de descuento)]]-Ventas[[#This Row],[total_venta]]</f>
        <v>0</v>
      </c>
    </row>
    <row r="1181" spans="1:18" x14ac:dyDescent="0.25">
      <c r="A1181" t="s">
        <v>1274</v>
      </c>
      <c r="B1181" s="1">
        <v>45623</v>
      </c>
      <c r="C1181" t="s">
        <v>81</v>
      </c>
      <c r="D1181" t="s">
        <v>31</v>
      </c>
      <c r="E1181">
        <v>1</v>
      </c>
      <c r="F1181" s="2">
        <v>189.99</v>
      </c>
      <c r="G1181">
        <v>0</v>
      </c>
      <c r="H1181" s="2">
        <v>189.99</v>
      </c>
      <c r="I1181" s="2">
        <v>189.99</v>
      </c>
      <c r="J1181" t="s">
        <v>90</v>
      </c>
      <c r="K1181" t="s">
        <v>52</v>
      </c>
      <c r="L1181" t="s">
        <v>32</v>
      </c>
      <c r="M1181" t="s">
        <v>95</v>
      </c>
      <c r="N1181" t="s">
        <v>96</v>
      </c>
      <c r="O1181" t="s">
        <v>48</v>
      </c>
      <c r="Q1181" s="2">
        <f>Ventas[[#This Row],[precio_base]]*Ventas[[#This Row],[cantidad]]</f>
        <v>189.99</v>
      </c>
      <c r="R1181" s="2">
        <f>Ventas[[#This Row],[Total bruto (antes de descuento)]]-Ventas[[#This Row],[total_venta]]</f>
        <v>0</v>
      </c>
    </row>
    <row r="1182" spans="1:18" x14ac:dyDescent="0.25">
      <c r="A1182" t="s">
        <v>1275</v>
      </c>
      <c r="B1182" s="1">
        <v>45098</v>
      </c>
      <c r="C1182" t="s">
        <v>76</v>
      </c>
      <c r="D1182" t="s">
        <v>31</v>
      </c>
      <c r="E1182">
        <v>2</v>
      </c>
      <c r="F1182" s="2">
        <v>69.989999999999995</v>
      </c>
      <c r="G1182">
        <v>0</v>
      </c>
      <c r="H1182" s="2">
        <v>69.989999999999995</v>
      </c>
      <c r="I1182" s="2">
        <v>139.97999999999999</v>
      </c>
      <c r="J1182" t="s">
        <v>19</v>
      </c>
      <c r="K1182" t="s">
        <v>52</v>
      </c>
      <c r="L1182" t="s">
        <v>21</v>
      </c>
      <c r="M1182" t="s">
        <v>95</v>
      </c>
      <c r="N1182" t="s">
        <v>96</v>
      </c>
      <c r="O1182" t="s">
        <v>48</v>
      </c>
      <c r="P1182">
        <v>2</v>
      </c>
      <c r="Q1182" s="2">
        <f>Ventas[[#This Row],[precio_base]]*Ventas[[#This Row],[cantidad]]</f>
        <v>139.97999999999999</v>
      </c>
      <c r="R1182" s="2">
        <f>Ventas[[#This Row],[Total bruto (antes de descuento)]]-Ventas[[#This Row],[total_venta]]</f>
        <v>0</v>
      </c>
    </row>
    <row r="1183" spans="1:18" x14ac:dyDescent="0.25">
      <c r="A1183" t="s">
        <v>1276</v>
      </c>
      <c r="B1183" s="1">
        <v>45566</v>
      </c>
      <c r="C1183" t="s">
        <v>115</v>
      </c>
      <c r="D1183" t="s">
        <v>18</v>
      </c>
      <c r="E1183">
        <v>5</v>
      </c>
      <c r="F1183" s="2">
        <v>799.99</v>
      </c>
      <c r="G1183">
        <v>5</v>
      </c>
      <c r="H1183" s="2">
        <v>759.99</v>
      </c>
      <c r="I1183" s="2">
        <v>3799.95</v>
      </c>
      <c r="J1183" t="s">
        <v>90</v>
      </c>
      <c r="K1183" t="s">
        <v>20</v>
      </c>
      <c r="L1183" t="s">
        <v>21</v>
      </c>
      <c r="M1183" t="s">
        <v>95</v>
      </c>
      <c r="N1183" t="s">
        <v>96</v>
      </c>
      <c r="O1183" t="s">
        <v>48</v>
      </c>
      <c r="Q1183" s="2">
        <f>Ventas[[#This Row],[precio_base]]*Ventas[[#This Row],[cantidad]]</f>
        <v>3999.95</v>
      </c>
      <c r="R1183" s="2">
        <f>Ventas[[#This Row],[Total bruto (antes de descuento)]]-Ventas[[#This Row],[total_venta]]</f>
        <v>200</v>
      </c>
    </row>
    <row r="1184" spans="1:18" x14ac:dyDescent="0.25">
      <c r="A1184" t="s">
        <v>1277</v>
      </c>
      <c r="B1184" s="1">
        <v>45258</v>
      </c>
      <c r="C1184" t="s">
        <v>205</v>
      </c>
      <c r="D1184" t="s">
        <v>18</v>
      </c>
      <c r="E1184">
        <v>1</v>
      </c>
      <c r="F1184" s="2">
        <v>129.99</v>
      </c>
      <c r="G1184">
        <v>5</v>
      </c>
      <c r="H1184" s="2">
        <v>123.49</v>
      </c>
      <c r="I1184" s="2">
        <v>123.49</v>
      </c>
      <c r="J1184" t="s">
        <v>51</v>
      </c>
      <c r="K1184" t="s">
        <v>20</v>
      </c>
      <c r="L1184" t="s">
        <v>45</v>
      </c>
      <c r="M1184" t="s">
        <v>46</v>
      </c>
      <c r="N1184" t="s">
        <v>47</v>
      </c>
      <c r="O1184" t="s">
        <v>48</v>
      </c>
      <c r="Q1184" s="2">
        <f>Ventas[[#This Row],[precio_base]]*Ventas[[#This Row],[cantidad]]</f>
        <v>129.99</v>
      </c>
      <c r="R1184" s="2">
        <f>Ventas[[#This Row],[Total bruto (antes de descuento)]]-Ventas[[#This Row],[total_venta]]</f>
        <v>6.5000000000000142</v>
      </c>
    </row>
    <row r="1185" spans="1:18" x14ac:dyDescent="0.25">
      <c r="A1185" t="s">
        <v>1278</v>
      </c>
      <c r="B1185" s="1">
        <v>44994</v>
      </c>
      <c r="C1185" t="s">
        <v>81</v>
      </c>
      <c r="D1185" t="s">
        <v>31</v>
      </c>
      <c r="E1185">
        <v>3</v>
      </c>
      <c r="F1185" s="2">
        <v>189.99</v>
      </c>
      <c r="G1185">
        <v>15</v>
      </c>
      <c r="H1185" s="2">
        <v>161.49</v>
      </c>
      <c r="I1185" s="2">
        <v>484.47</v>
      </c>
      <c r="J1185" t="s">
        <v>51</v>
      </c>
      <c r="K1185" t="s">
        <v>20</v>
      </c>
      <c r="L1185" t="s">
        <v>21</v>
      </c>
      <c r="M1185" t="s">
        <v>46</v>
      </c>
      <c r="N1185" t="s">
        <v>47</v>
      </c>
      <c r="O1185" t="s">
        <v>48</v>
      </c>
      <c r="Q1185" s="2">
        <f>Ventas[[#This Row],[precio_base]]*Ventas[[#This Row],[cantidad]]</f>
        <v>569.97</v>
      </c>
      <c r="R1185" s="2">
        <f>Ventas[[#This Row],[Total bruto (antes de descuento)]]-Ventas[[#This Row],[total_venta]]</f>
        <v>85.5</v>
      </c>
    </row>
    <row r="1186" spans="1:18" x14ac:dyDescent="0.25">
      <c r="A1186" t="s">
        <v>1279</v>
      </c>
      <c r="B1186" s="1">
        <v>45235</v>
      </c>
      <c r="C1186" t="s">
        <v>98</v>
      </c>
      <c r="D1186" t="s">
        <v>31</v>
      </c>
      <c r="E1186">
        <v>5</v>
      </c>
      <c r="F1186" s="2">
        <v>99.99</v>
      </c>
      <c r="G1186">
        <v>5</v>
      </c>
      <c r="H1186" s="2">
        <v>94.99</v>
      </c>
      <c r="I1186" s="2">
        <v>474.95</v>
      </c>
      <c r="J1186" t="s">
        <v>116</v>
      </c>
      <c r="K1186" t="s">
        <v>44</v>
      </c>
      <c r="L1186" t="s">
        <v>28</v>
      </c>
      <c r="M1186" t="s">
        <v>95</v>
      </c>
      <c r="N1186" t="s">
        <v>96</v>
      </c>
      <c r="O1186" t="s">
        <v>48</v>
      </c>
      <c r="Q1186" s="2">
        <f>Ventas[[#This Row],[precio_base]]*Ventas[[#This Row],[cantidad]]</f>
        <v>499.95</v>
      </c>
      <c r="R1186" s="2">
        <f>Ventas[[#This Row],[Total bruto (antes de descuento)]]-Ventas[[#This Row],[total_venta]]</f>
        <v>25</v>
      </c>
    </row>
    <row r="1187" spans="1:18" x14ac:dyDescent="0.25">
      <c r="A1187" t="s">
        <v>1280</v>
      </c>
      <c r="B1187" s="1">
        <v>45509</v>
      </c>
      <c r="C1187" t="s">
        <v>205</v>
      </c>
      <c r="D1187" t="s">
        <v>18</v>
      </c>
      <c r="E1187">
        <v>3</v>
      </c>
      <c r="F1187" s="2">
        <v>129.99</v>
      </c>
      <c r="G1187">
        <v>0</v>
      </c>
      <c r="H1187" s="2">
        <v>129.99</v>
      </c>
      <c r="I1187" s="2">
        <v>389.97</v>
      </c>
      <c r="J1187" t="s">
        <v>19</v>
      </c>
      <c r="K1187" t="s">
        <v>44</v>
      </c>
      <c r="L1187" t="s">
        <v>28</v>
      </c>
      <c r="M1187" t="s">
        <v>73</v>
      </c>
      <c r="N1187" t="s">
        <v>74</v>
      </c>
      <c r="O1187" t="s">
        <v>35</v>
      </c>
      <c r="P1187">
        <v>2</v>
      </c>
      <c r="Q1187" s="2">
        <f>Ventas[[#This Row],[precio_base]]*Ventas[[#This Row],[cantidad]]</f>
        <v>389.97</v>
      </c>
      <c r="R1187" s="2">
        <f>Ventas[[#This Row],[Total bruto (antes de descuento)]]-Ventas[[#This Row],[total_venta]]</f>
        <v>0</v>
      </c>
    </row>
    <row r="1188" spans="1:18" x14ac:dyDescent="0.25">
      <c r="A1188" t="s">
        <v>1281</v>
      </c>
      <c r="B1188" s="1">
        <v>45267</v>
      </c>
      <c r="C1188" t="s">
        <v>205</v>
      </c>
      <c r="D1188" t="s">
        <v>18</v>
      </c>
      <c r="E1188">
        <v>3</v>
      </c>
      <c r="F1188" s="2">
        <v>129.99</v>
      </c>
      <c r="G1188">
        <v>20</v>
      </c>
      <c r="H1188" s="2">
        <v>103.99</v>
      </c>
      <c r="I1188" s="2">
        <v>311.97000000000003</v>
      </c>
      <c r="J1188" t="s">
        <v>51</v>
      </c>
      <c r="K1188" t="s">
        <v>20</v>
      </c>
      <c r="L1188" t="s">
        <v>28</v>
      </c>
      <c r="M1188" t="s">
        <v>95</v>
      </c>
      <c r="N1188" t="s">
        <v>96</v>
      </c>
      <c r="O1188" t="s">
        <v>48</v>
      </c>
      <c r="Q1188" s="2">
        <f>Ventas[[#This Row],[precio_base]]*Ventas[[#This Row],[cantidad]]</f>
        <v>389.97</v>
      </c>
      <c r="R1188" s="2">
        <f>Ventas[[#This Row],[Total bruto (antes de descuento)]]-Ventas[[#This Row],[total_venta]]</f>
        <v>78</v>
      </c>
    </row>
    <row r="1189" spans="1:18" x14ac:dyDescent="0.25">
      <c r="A1189" t="s">
        <v>1282</v>
      </c>
      <c r="B1189" s="1">
        <v>45526</v>
      </c>
      <c r="C1189" t="s">
        <v>151</v>
      </c>
      <c r="D1189" t="s">
        <v>27</v>
      </c>
      <c r="E1189">
        <v>4</v>
      </c>
      <c r="F1189" s="2">
        <v>599.99</v>
      </c>
      <c r="G1189">
        <v>10</v>
      </c>
      <c r="H1189" s="2">
        <v>539.99</v>
      </c>
      <c r="I1189" s="2">
        <v>2159.96</v>
      </c>
      <c r="J1189" t="s">
        <v>51</v>
      </c>
      <c r="K1189" t="s">
        <v>44</v>
      </c>
      <c r="L1189" t="s">
        <v>28</v>
      </c>
      <c r="M1189" t="s">
        <v>22</v>
      </c>
      <c r="N1189" t="s">
        <v>23</v>
      </c>
      <c r="O1189" t="s">
        <v>24</v>
      </c>
      <c r="Q1189" s="2">
        <f>Ventas[[#This Row],[precio_base]]*Ventas[[#This Row],[cantidad]]</f>
        <v>2399.96</v>
      </c>
      <c r="R1189" s="2">
        <f>Ventas[[#This Row],[Total bruto (antes de descuento)]]-Ventas[[#This Row],[total_venta]]</f>
        <v>240</v>
      </c>
    </row>
    <row r="1190" spans="1:18" x14ac:dyDescent="0.25">
      <c r="A1190" t="s">
        <v>1283</v>
      </c>
      <c r="B1190" s="1">
        <v>44940</v>
      </c>
      <c r="C1190" t="s">
        <v>163</v>
      </c>
      <c r="D1190" t="s">
        <v>18</v>
      </c>
      <c r="E1190">
        <v>1</v>
      </c>
      <c r="F1190" s="2">
        <v>499.99</v>
      </c>
      <c r="G1190">
        <v>10</v>
      </c>
      <c r="H1190" s="2">
        <v>449.99</v>
      </c>
      <c r="I1190" s="2">
        <v>449.99</v>
      </c>
      <c r="J1190" t="s">
        <v>51</v>
      </c>
      <c r="K1190" t="s">
        <v>20</v>
      </c>
      <c r="L1190" t="s">
        <v>28</v>
      </c>
      <c r="M1190" t="s">
        <v>95</v>
      </c>
      <c r="N1190" t="s">
        <v>96</v>
      </c>
      <c r="O1190" t="s">
        <v>48</v>
      </c>
      <c r="Q1190" s="2">
        <f>Ventas[[#This Row],[precio_base]]*Ventas[[#This Row],[cantidad]]</f>
        <v>499.99</v>
      </c>
      <c r="R1190" s="2">
        <f>Ventas[[#This Row],[Total bruto (antes de descuento)]]-Ventas[[#This Row],[total_venta]]</f>
        <v>50</v>
      </c>
    </row>
    <row r="1191" spans="1:18" x14ac:dyDescent="0.25">
      <c r="A1191" t="s">
        <v>1284</v>
      </c>
      <c r="B1191" s="1">
        <v>45176</v>
      </c>
      <c r="C1191" t="s">
        <v>156</v>
      </c>
      <c r="D1191" t="s">
        <v>27</v>
      </c>
      <c r="E1191">
        <v>1</v>
      </c>
      <c r="F1191" s="2">
        <v>49.99</v>
      </c>
      <c r="G1191">
        <v>0</v>
      </c>
      <c r="H1191" s="2">
        <v>49.99</v>
      </c>
      <c r="I1191" s="2">
        <v>49.99</v>
      </c>
      <c r="J1191" t="s">
        <v>19</v>
      </c>
      <c r="K1191" t="s">
        <v>20</v>
      </c>
      <c r="L1191" t="s">
        <v>21</v>
      </c>
      <c r="M1191" t="s">
        <v>101</v>
      </c>
      <c r="N1191" t="s">
        <v>102</v>
      </c>
      <c r="O1191" t="s">
        <v>35</v>
      </c>
      <c r="P1191">
        <v>2</v>
      </c>
      <c r="Q1191" s="2">
        <f>Ventas[[#This Row],[precio_base]]*Ventas[[#This Row],[cantidad]]</f>
        <v>49.99</v>
      </c>
      <c r="R1191" s="2">
        <f>Ventas[[#This Row],[Total bruto (antes de descuento)]]-Ventas[[#This Row],[total_venta]]</f>
        <v>0</v>
      </c>
    </row>
    <row r="1192" spans="1:18" x14ac:dyDescent="0.25">
      <c r="A1192" t="s">
        <v>1285</v>
      </c>
      <c r="B1192" s="1">
        <v>45584</v>
      </c>
      <c r="C1192" t="s">
        <v>94</v>
      </c>
      <c r="D1192" t="s">
        <v>18</v>
      </c>
      <c r="E1192">
        <v>2</v>
      </c>
      <c r="F1192" s="2">
        <v>899.99</v>
      </c>
      <c r="G1192">
        <v>15</v>
      </c>
      <c r="H1192" s="2">
        <v>764.99</v>
      </c>
      <c r="I1192" s="2">
        <v>1529.98</v>
      </c>
      <c r="J1192" t="s">
        <v>19</v>
      </c>
      <c r="K1192" t="s">
        <v>44</v>
      </c>
      <c r="L1192" t="s">
        <v>21</v>
      </c>
      <c r="M1192" t="s">
        <v>101</v>
      </c>
      <c r="N1192" t="s">
        <v>102</v>
      </c>
      <c r="O1192" t="s">
        <v>35</v>
      </c>
      <c r="P1192">
        <v>3</v>
      </c>
      <c r="Q1192" s="2">
        <f>Ventas[[#This Row],[precio_base]]*Ventas[[#This Row],[cantidad]]</f>
        <v>1799.98</v>
      </c>
      <c r="R1192" s="2">
        <f>Ventas[[#This Row],[Total bruto (antes de descuento)]]-Ventas[[#This Row],[total_venta]]</f>
        <v>270</v>
      </c>
    </row>
    <row r="1193" spans="1:18" x14ac:dyDescent="0.25">
      <c r="A1193" t="s">
        <v>1286</v>
      </c>
      <c r="B1193" s="1">
        <v>45252</v>
      </c>
      <c r="C1193" t="s">
        <v>72</v>
      </c>
      <c r="D1193" t="s">
        <v>31</v>
      </c>
      <c r="E1193">
        <v>1</v>
      </c>
      <c r="F1193" s="2">
        <v>29.99</v>
      </c>
      <c r="G1193">
        <v>10</v>
      </c>
      <c r="H1193" s="2">
        <v>26.99</v>
      </c>
      <c r="I1193" s="2">
        <v>26.99</v>
      </c>
      <c r="J1193" t="s">
        <v>51</v>
      </c>
      <c r="K1193" t="s">
        <v>44</v>
      </c>
      <c r="L1193" t="s">
        <v>21</v>
      </c>
      <c r="M1193" t="s">
        <v>120</v>
      </c>
      <c r="N1193" t="s">
        <v>23</v>
      </c>
      <c r="O1193" t="s">
        <v>24</v>
      </c>
      <c r="Q1193" s="2">
        <f>Ventas[[#This Row],[precio_base]]*Ventas[[#This Row],[cantidad]]</f>
        <v>29.99</v>
      </c>
      <c r="R1193" s="2">
        <f>Ventas[[#This Row],[Total bruto (antes de descuento)]]-Ventas[[#This Row],[total_venta]]</f>
        <v>3</v>
      </c>
    </row>
    <row r="1194" spans="1:18" x14ac:dyDescent="0.25">
      <c r="A1194" t="s">
        <v>1287</v>
      </c>
      <c r="B1194" s="1">
        <v>44951</v>
      </c>
      <c r="C1194" t="s">
        <v>163</v>
      </c>
      <c r="D1194" t="s">
        <v>18</v>
      </c>
      <c r="E1194">
        <v>3</v>
      </c>
      <c r="F1194" s="2">
        <v>499.99</v>
      </c>
      <c r="G1194">
        <v>0</v>
      </c>
      <c r="H1194" s="2">
        <v>499.99</v>
      </c>
      <c r="I1194" s="2">
        <v>1499.97</v>
      </c>
      <c r="J1194" t="s">
        <v>19</v>
      </c>
      <c r="K1194" t="s">
        <v>20</v>
      </c>
      <c r="L1194" t="s">
        <v>152</v>
      </c>
      <c r="M1194" t="s">
        <v>65</v>
      </c>
      <c r="N1194" t="s">
        <v>54</v>
      </c>
      <c r="O1194" t="s">
        <v>35</v>
      </c>
      <c r="P1194">
        <v>2</v>
      </c>
      <c r="Q1194" s="2">
        <f>Ventas[[#This Row],[precio_base]]*Ventas[[#This Row],[cantidad]]</f>
        <v>1499.97</v>
      </c>
      <c r="R1194" s="2">
        <f>Ventas[[#This Row],[Total bruto (antes de descuento)]]-Ventas[[#This Row],[total_venta]]</f>
        <v>0</v>
      </c>
    </row>
    <row r="1195" spans="1:18" x14ac:dyDescent="0.25">
      <c r="A1195" t="s">
        <v>1288</v>
      </c>
      <c r="B1195" s="1">
        <v>45630</v>
      </c>
      <c r="C1195" t="s">
        <v>30</v>
      </c>
      <c r="D1195" t="s">
        <v>31</v>
      </c>
      <c r="E1195">
        <v>2</v>
      </c>
      <c r="F1195" s="2">
        <v>299.99</v>
      </c>
      <c r="G1195">
        <v>10</v>
      </c>
      <c r="H1195" s="2">
        <v>269.99</v>
      </c>
      <c r="I1195" s="2">
        <v>539.98</v>
      </c>
      <c r="J1195" t="s">
        <v>62</v>
      </c>
      <c r="K1195" t="s">
        <v>20</v>
      </c>
      <c r="L1195" t="s">
        <v>45</v>
      </c>
      <c r="M1195" t="s">
        <v>65</v>
      </c>
      <c r="N1195" t="s">
        <v>54</v>
      </c>
      <c r="O1195" t="s">
        <v>35</v>
      </c>
      <c r="Q1195" s="2">
        <f>Ventas[[#This Row],[precio_base]]*Ventas[[#This Row],[cantidad]]</f>
        <v>599.98</v>
      </c>
      <c r="R1195" s="2">
        <f>Ventas[[#This Row],[Total bruto (antes de descuento)]]-Ventas[[#This Row],[total_venta]]</f>
        <v>60</v>
      </c>
    </row>
    <row r="1196" spans="1:18" x14ac:dyDescent="0.25">
      <c r="A1196" t="s">
        <v>1289</v>
      </c>
      <c r="B1196" s="1">
        <v>44933</v>
      </c>
      <c r="C1196" t="s">
        <v>56</v>
      </c>
      <c r="D1196" t="s">
        <v>18</v>
      </c>
      <c r="E1196">
        <v>4</v>
      </c>
      <c r="F1196" s="2">
        <v>89.99</v>
      </c>
      <c r="G1196">
        <v>0</v>
      </c>
      <c r="H1196" s="2">
        <v>89.99</v>
      </c>
      <c r="I1196" s="2">
        <v>359.96</v>
      </c>
      <c r="J1196" t="s">
        <v>90</v>
      </c>
      <c r="K1196" t="s">
        <v>44</v>
      </c>
      <c r="L1196" t="s">
        <v>21</v>
      </c>
      <c r="M1196" t="s">
        <v>46</v>
      </c>
      <c r="N1196" t="s">
        <v>47</v>
      </c>
      <c r="O1196" t="s">
        <v>48</v>
      </c>
      <c r="Q1196" s="2">
        <f>Ventas[[#This Row],[precio_base]]*Ventas[[#This Row],[cantidad]]</f>
        <v>359.96</v>
      </c>
      <c r="R1196" s="2">
        <f>Ventas[[#This Row],[Total bruto (antes de descuento)]]-Ventas[[#This Row],[total_venta]]</f>
        <v>0</v>
      </c>
    </row>
    <row r="1197" spans="1:18" x14ac:dyDescent="0.25">
      <c r="A1197" t="s">
        <v>1290</v>
      </c>
      <c r="B1197" s="1">
        <v>45136</v>
      </c>
      <c r="C1197" t="s">
        <v>78</v>
      </c>
      <c r="D1197" t="s">
        <v>18</v>
      </c>
      <c r="E1197">
        <v>1</v>
      </c>
      <c r="F1197" s="2">
        <v>349.99</v>
      </c>
      <c r="G1197">
        <v>0</v>
      </c>
      <c r="H1197" s="2">
        <v>349.99</v>
      </c>
      <c r="I1197" s="2">
        <v>349.99</v>
      </c>
      <c r="J1197" t="s">
        <v>19</v>
      </c>
      <c r="K1197" t="s">
        <v>52</v>
      </c>
      <c r="L1197" t="s">
        <v>21</v>
      </c>
      <c r="M1197" t="s">
        <v>67</v>
      </c>
      <c r="N1197" t="s">
        <v>68</v>
      </c>
      <c r="O1197" t="s">
        <v>35</v>
      </c>
      <c r="P1197">
        <v>5</v>
      </c>
      <c r="Q1197" s="2">
        <f>Ventas[[#This Row],[precio_base]]*Ventas[[#This Row],[cantidad]]</f>
        <v>349.99</v>
      </c>
      <c r="R1197" s="2">
        <f>Ventas[[#This Row],[Total bruto (antes de descuento)]]-Ventas[[#This Row],[total_venta]]</f>
        <v>0</v>
      </c>
    </row>
    <row r="1198" spans="1:18" x14ac:dyDescent="0.25">
      <c r="A1198" t="s">
        <v>1291</v>
      </c>
      <c r="B1198" s="1">
        <v>45007</v>
      </c>
      <c r="C1198" t="s">
        <v>37</v>
      </c>
      <c r="D1198" t="s">
        <v>38</v>
      </c>
      <c r="E1198">
        <v>4</v>
      </c>
      <c r="F1198" s="2">
        <v>34.99</v>
      </c>
      <c r="G1198">
        <v>0</v>
      </c>
      <c r="H1198" s="2">
        <v>34.99</v>
      </c>
      <c r="I1198" s="2">
        <v>139.96</v>
      </c>
      <c r="J1198" t="s">
        <v>19</v>
      </c>
      <c r="K1198" t="s">
        <v>20</v>
      </c>
      <c r="L1198" t="s">
        <v>21</v>
      </c>
      <c r="M1198" t="s">
        <v>22</v>
      </c>
      <c r="N1198" t="s">
        <v>23</v>
      </c>
      <c r="O1198" t="s">
        <v>24</v>
      </c>
      <c r="P1198">
        <v>2</v>
      </c>
      <c r="Q1198" s="2">
        <f>Ventas[[#This Row],[precio_base]]*Ventas[[#This Row],[cantidad]]</f>
        <v>139.96</v>
      </c>
      <c r="R1198" s="2">
        <f>Ventas[[#This Row],[Total bruto (antes de descuento)]]-Ventas[[#This Row],[total_venta]]</f>
        <v>0</v>
      </c>
    </row>
    <row r="1199" spans="1:18" x14ac:dyDescent="0.25">
      <c r="A1199" t="s">
        <v>1292</v>
      </c>
      <c r="B1199" s="1">
        <v>45237</v>
      </c>
      <c r="C1199" t="s">
        <v>83</v>
      </c>
      <c r="D1199" t="s">
        <v>38</v>
      </c>
      <c r="E1199">
        <v>5</v>
      </c>
      <c r="F1199" s="2">
        <v>49.99</v>
      </c>
      <c r="G1199">
        <v>5</v>
      </c>
      <c r="H1199" s="2">
        <v>47.49</v>
      </c>
      <c r="I1199" s="2">
        <v>237.45</v>
      </c>
      <c r="J1199" t="s">
        <v>116</v>
      </c>
      <c r="K1199" t="s">
        <v>20</v>
      </c>
      <c r="L1199" t="s">
        <v>28</v>
      </c>
      <c r="M1199" t="s">
        <v>22</v>
      </c>
      <c r="N1199" t="s">
        <v>23</v>
      </c>
      <c r="O1199" t="s">
        <v>24</v>
      </c>
      <c r="Q1199" s="2">
        <f>Ventas[[#This Row],[precio_base]]*Ventas[[#This Row],[cantidad]]</f>
        <v>249.95000000000002</v>
      </c>
      <c r="R1199" s="2">
        <f>Ventas[[#This Row],[Total bruto (antes de descuento)]]-Ventas[[#This Row],[total_venta]]</f>
        <v>12.500000000000028</v>
      </c>
    </row>
    <row r="1200" spans="1:18" x14ac:dyDescent="0.25">
      <c r="A1200" t="s">
        <v>1293</v>
      </c>
      <c r="B1200" s="1">
        <v>45008</v>
      </c>
      <c r="C1200" t="s">
        <v>89</v>
      </c>
      <c r="D1200" t="s">
        <v>38</v>
      </c>
      <c r="E1200">
        <v>4</v>
      </c>
      <c r="F1200" s="2">
        <v>69.989999999999995</v>
      </c>
      <c r="G1200">
        <v>5</v>
      </c>
      <c r="H1200" s="2">
        <v>66.489999999999995</v>
      </c>
      <c r="I1200" s="2">
        <v>265.95999999999998</v>
      </c>
      <c r="J1200" t="s">
        <v>19</v>
      </c>
      <c r="K1200" t="s">
        <v>20</v>
      </c>
      <c r="L1200" t="s">
        <v>28</v>
      </c>
      <c r="M1200" t="s">
        <v>101</v>
      </c>
      <c r="N1200" t="s">
        <v>102</v>
      </c>
      <c r="O1200" t="s">
        <v>35</v>
      </c>
      <c r="P1200">
        <v>4</v>
      </c>
      <c r="Q1200" s="2">
        <f>Ventas[[#This Row],[precio_base]]*Ventas[[#This Row],[cantidad]]</f>
        <v>279.95999999999998</v>
      </c>
      <c r="R1200" s="2">
        <f>Ventas[[#This Row],[Total bruto (antes de descuento)]]-Ventas[[#This Row],[total_venta]]</f>
        <v>14</v>
      </c>
    </row>
    <row r="1201" spans="1:18" x14ac:dyDescent="0.25">
      <c r="A1201" t="s">
        <v>1294</v>
      </c>
      <c r="B1201" s="1">
        <v>45086</v>
      </c>
      <c r="C1201" t="s">
        <v>143</v>
      </c>
      <c r="D1201" t="s">
        <v>43</v>
      </c>
      <c r="E1201">
        <v>4</v>
      </c>
      <c r="F1201" s="2">
        <v>34.99</v>
      </c>
      <c r="G1201">
        <v>0</v>
      </c>
      <c r="H1201" s="2">
        <v>34.99</v>
      </c>
      <c r="I1201" s="2">
        <v>139.96</v>
      </c>
      <c r="J1201" t="s">
        <v>51</v>
      </c>
      <c r="K1201" t="s">
        <v>52</v>
      </c>
      <c r="L1201" t="s">
        <v>28</v>
      </c>
      <c r="M1201" t="s">
        <v>120</v>
      </c>
      <c r="N1201" t="s">
        <v>23</v>
      </c>
      <c r="O1201" t="s">
        <v>24</v>
      </c>
      <c r="Q1201" s="2">
        <f>Ventas[[#This Row],[precio_base]]*Ventas[[#This Row],[cantidad]]</f>
        <v>139.96</v>
      </c>
      <c r="R1201" s="2">
        <f>Ventas[[#This Row],[Total bruto (antes de descuento)]]-Ventas[[#This Row],[total_venta]]</f>
        <v>0</v>
      </c>
    </row>
    <row r="1202" spans="1:18" x14ac:dyDescent="0.25">
      <c r="A1202" t="s">
        <v>1295</v>
      </c>
      <c r="B1202" s="1">
        <v>45234</v>
      </c>
      <c r="C1202" t="s">
        <v>156</v>
      </c>
      <c r="D1202" t="s">
        <v>27</v>
      </c>
      <c r="E1202">
        <v>5</v>
      </c>
      <c r="F1202" s="2">
        <v>49.99</v>
      </c>
      <c r="G1202">
        <v>0</v>
      </c>
      <c r="H1202" s="2">
        <v>49.99</v>
      </c>
      <c r="I1202" s="2">
        <v>249.95</v>
      </c>
      <c r="J1202" t="s">
        <v>19</v>
      </c>
      <c r="K1202" t="s">
        <v>20</v>
      </c>
      <c r="L1202" t="s">
        <v>45</v>
      </c>
      <c r="M1202" t="s">
        <v>63</v>
      </c>
      <c r="N1202" t="s">
        <v>34</v>
      </c>
      <c r="O1202" t="s">
        <v>24</v>
      </c>
      <c r="P1202">
        <v>4</v>
      </c>
      <c r="Q1202" s="2">
        <f>Ventas[[#This Row],[precio_base]]*Ventas[[#This Row],[cantidad]]</f>
        <v>249.95000000000002</v>
      </c>
      <c r="R1202" s="2">
        <f>Ventas[[#This Row],[Total bruto (antes de descuento)]]-Ventas[[#This Row],[total_venta]]</f>
        <v>0</v>
      </c>
    </row>
    <row r="1203" spans="1:18" x14ac:dyDescent="0.25">
      <c r="A1203" t="s">
        <v>1296</v>
      </c>
      <c r="B1203" s="1">
        <v>45217</v>
      </c>
      <c r="C1203" t="s">
        <v>109</v>
      </c>
      <c r="D1203" t="s">
        <v>38</v>
      </c>
      <c r="E1203">
        <v>5</v>
      </c>
      <c r="F1203" s="2">
        <v>39.99</v>
      </c>
      <c r="G1203">
        <v>10</v>
      </c>
      <c r="H1203" s="2">
        <v>35.99</v>
      </c>
      <c r="I1203" s="2">
        <v>179.95</v>
      </c>
      <c r="J1203" t="s">
        <v>19</v>
      </c>
      <c r="K1203" t="s">
        <v>20</v>
      </c>
      <c r="L1203" t="s">
        <v>45</v>
      </c>
      <c r="M1203" t="s">
        <v>123</v>
      </c>
      <c r="N1203" t="s">
        <v>124</v>
      </c>
      <c r="O1203" t="s">
        <v>24</v>
      </c>
      <c r="P1203">
        <v>2</v>
      </c>
      <c r="Q1203" s="2">
        <f>Ventas[[#This Row],[precio_base]]*Ventas[[#This Row],[cantidad]]</f>
        <v>199.95000000000002</v>
      </c>
      <c r="R1203" s="2">
        <f>Ventas[[#This Row],[Total bruto (antes de descuento)]]-Ventas[[#This Row],[total_venta]]</f>
        <v>20.000000000000028</v>
      </c>
    </row>
    <row r="1204" spans="1:18" x14ac:dyDescent="0.25">
      <c r="A1204" t="s">
        <v>1297</v>
      </c>
      <c r="B1204" s="1">
        <v>45121</v>
      </c>
      <c r="C1204" t="s">
        <v>104</v>
      </c>
      <c r="D1204" t="s">
        <v>18</v>
      </c>
      <c r="E1204">
        <v>1</v>
      </c>
      <c r="F1204" s="2">
        <v>1199.99</v>
      </c>
      <c r="G1204">
        <v>20</v>
      </c>
      <c r="H1204" s="2">
        <v>959.99</v>
      </c>
      <c r="I1204" s="2">
        <v>959.99</v>
      </c>
      <c r="J1204" t="s">
        <v>19</v>
      </c>
      <c r="K1204" t="s">
        <v>20</v>
      </c>
      <c r="L1204" t="s">
        <v>45</v>
      </c>
      <c r="M1204" t="s">
        <v>84</v>
      </c>
      <c r="N1204" t="s">
        <v>85</v>
      </c>
      <c r="O1204" t="s">
        <v>35</v>
      </c>
      <c r="P1204">
        <v>4</v>
      </c>
      <c r="Q1204" s="2">
        <f>Ventas[[#This Row],[precio_base]]*Ventas[[#This Row],[cantidad]]</f>
        <v>1199.99</v>
      </c>
      <c r="R1204" s="2">
        <f>Ventas[[#This Row],[Total bruto (antes de descuento)]]-Ventas[[#This Row],[total_venta]]</f>
        <v>240</v>
      </c>
    </row>
    <row r="1205" spans="1:18" x14ac:dyDescent="0.25">
      <c r="A1205" t="s">
        <v>1298</v>
      </c>
      <c r="B1205" s="1">
        <v>45331</v>
      </c>
      <c r="C1205" t="s">
        <v>76</v>
      </c>
      <c r="D1205" t="s">
        <v>31</v>
      </c>
      <c r="E1205">
        <v>3</v>
      </c>
      <c r="F1205" s="2">
        <v>69.989999999999995</v>
      </c>
      <c r="G1205">
        <v>5</v>
      </c>
      <c r="H1205" s="2">
        <v>66.489999999999995</v>
      </c>
      <c r="I1205" s="2">
        <v>199.47</v>
      </c>
      <c r="J1205" t="s">
        <v>19</v>
      </c>
      <c r="K1205" t="s">
        <v>57</v>
      </c>
      <c r="L1205" t="s">
        <v>21</v>
      </c>
      <c r="M1205" t="s">
        <v>73</v>
      </c>
      <c r="N1205" t="s">
        <v>74</v>
      </c>
      <c r="O1205" t="s">
        <v>35</v>
      </c>
      <c r="P1205">
        <v>1</v>
      </c>
      <c r="Q1205" s="2">
        <f>Ventas[[#This Row],[precio_base]]*Ventas[[#This Row],[cantidad]]</f>
        <v>209.96999999999997</v>
      </c>
      <c r="R1205" s="2">
        <f>Ventas[[#This Row],[Total bruto (antes de descuento)]]-Ventas[[#This Row],[total_venta]]</f>
        <v>10.499999999999972</v>
      </c>
    </row>
    <row r="1206" spans="1:18" x14ac:dyDescent="0.25">
      <c r="A1206" t="s">
        <v>1299</v>
      </c>
      <c r="B1206" s="1">
        <v>45054</v>
      </c>
      <c r="C1206" t="s">
        <v>109</v>
      </c>
      <c r="D1206" t="s">
        <v>38</v>
      </c>
      <c r="E1206">
        <v>5</v>
      </c>
      <c r="F1206" s="2">
        <v>39.99</v>
      </c>
      <c r="G1206">
        <v>0</v>
      </c>
      <c r="H1206" s="2">
        <v>39.99</v>
      </c>
      <c r="I1206" s="2">
        <v>199.95</v>
      </c>
      <c r="J1206" t="s">
        <v>19</v>
      </c>
      <c r="K1206" t="s">
        <v>57</v>
      </c>
      <c r="L1206" t="s">
        <v>28</v>
      </c>
      <c r="M1206" t="s">
        <v>120</v>
      </c>
      <c r="N1206" t="s">
        <v>23</v>
      </c>
      <c r="O1206" t="s">
        <v>24</v>
      </c>
      <c r="P1206">
        <v>3</v>
      </c>
      <c r="Q1206" s="2">
        <f>Ventas[[#This Row],[precio_base]]*Ventas[[#This Row],[cantidad]]</f>
        <v>199.95000000000002</v>
      </c>
      <c r="R1206" s="2">
        <f>Ventas[[#This Row],[Total bruto (antes de descuento)]]-Ventas[[#This Row],[total_venta]]</f>
        <v>0</v>
      </c>
    </row>
    <row r="1207" spans="1:18" x14ac:dyDescent="0.25">
      <c r="A1207" t="s">
        <v>1300</v>
      </c>
      <c r="B1207" s="1">
        <v>45448</v>
      </c>
      <c r="C1207" t="s">
        <v>30</v>
      </c>
      <c r="D1207" t="s">
        <v>31</v>
      </c>
      <c r="E1207">
        <v>4</v>
      </c>
      <c r="F1207" s="2">
        <v>299.99</v>
      </c>
      <c r="G1207">
        <v>15</v>
      </c>
      <c r="H1207" s="2">
        <v>254.99</v>
      </c>
      <c r="I1207" s="2">
        <v>1019.96</v>
      </c>
      <c r="J1207" t="s">
        <v>51</v>
      </c>
      <c r="K1207" t="s">
        <v>20</v>
      </c>
      <c r="L1207" t="s">
        <v>45</v>
      </c>
      <c r="M1207" t="s">
        <v>84</v>
      </c>
      <c r="N1207" t="s">
        <v>85</v>
      </c>
      <c r="O1207" t="s">
        <v>35</v>
      </c>
      <c r="Q1207" s="2">
        <f>Ventas[[#This Row],[precio_base]]*Ventas[[#This Row],[cantidad]]</f>
        <v>1199.96</v>
      </c>
      <c r="R1207" s="2">
        <f>Ventas[[#This Row],[Total bruto (antes de descuento)]]-Ventas[[#This Row],[total_venta]]</f>
        <v>180</v>
      </c>
    </row>
    <row r="1208" spans="1:18" x14ac:dyDescent="0.25">
      <c r="A1208" t="s">
        <v>1301</v>
      </c>
      <c r="B1208" s="1">
        <v>45361</v>
      </c>
      <c r="C1208" t="s">
        <v>76</v>
      </c>
      <c r="D1208" t="s">
        <v>31</v>
      </c>
      <c r="E1208">
        <v>2</v>
      </c>
      <c r="F1208" s="2">
        <v>69.989999999999995</v>
      </c>
      <c r="G1208">
        <v>0</v>
      </c>
      <c r="H1208" s="2">
        <v>69.989999999999995</v>
      </c>
      <c r="I1208" s="2">
        <v>139.97999999999999</v>
      </c>
      <c r="J1208" t="s">
        <v>19</v>
      </c>
      <c r="K1208" t="s">
        <v>52</v>
      </c>
      <c r="L1208" t="s">
        <v>28</v>
      </c>
      <c r="M1208" t="s">
        <v>53</v>
      </c>
      <c r="N1208" t="s">
        <v>54</v>
      </c>
      <c r="O1208" t="s">
        <v>35</v>
      </c>
      <c r="P1208">
        <v>1</v>
      </c>
      <c r="Q1208" s="2">
        <f>Ventas[[#This Row],[precio_base]]*Ventas[[#This Row],[cantidad]]</f>
        <v>139.97999999999999</v>
      </c>
      <c r="R1208" s="2">
        <f>Ventas[[#This Row],[Total bruto (antes de descuento)]]-Ventas[[#This Row],[total_venta]]</f>
        <v>0</v>
      </c>
    </row>
    <row r="1209" spans="1:18" x14ac:dyDescent="0.25">
      <c r="A1209" t="s">
        <v>1302</v>
      </c>
      <c r="B1209" s="1">
        <v>45641</v>
      </c>
      <c r="C1209" t="s">
        <v>81</v>
      </c>
      <c r="D1209" t="s">
        <v>31</v>
      </c>
      <c r="E1209">
        <v>2</v>
      </c>
      <c r="F1209" s="2">
        <v>189.99</v>
      </c>
      <c r="G1209">
        <v>0</v>
      </c>
      <c r="H1209" s="2">
        <v>189.99</v>
      </c>
      <c r="I1209" s="2">
        <v>379.98</v>
      </c>
      <c r="J1209" t="s">
        <v>51</v>
      </c>
      <c r="K1209" t="s">
        <v>20</v>
      </c>
      <c r="L1209" t="s">
        <v>21</v>
      </c>
      <c r="M1209" t="s">
        <v>73</v>
      </c>
      <c r="N1209" t="s">
        <v>74</v>
      </c>
      <c r="O1209" t="s">
        <v>35</v>
      </c>
      <c r="Q1209" s="2">
        <f>Ventas[[#This Row],[precio_base]]*Ventas[[#This Row],[cantidad]]</f>
        <v>379.98</v>
      </c>
      <c r="R1209" s="2">
        <f>Ventas[[#This Row],[Total bruto (antes de descuento)]]-Ventas[[#This Row],[total_venta]]</f>
        <v>0</v>
      </c>
    </row>
    <row r="1210" spans="1:18" x14ac:dyDescent="0.25">
      <c r="A1210" t="s">
        <v>1303</v>
      </c>
      <c r="B1210" s="1">
        <v>45519</v>
      </c>
      <c r="C1210" t="s">
        <v>81</v>
      </c>
      <c r="D1210" t="s">
        <v>31</v>
      </c>
      <c r="E1210">
        <v>2</v>
      </c>
      <c r="F1210" s="2">
        <v>189.99</v>
      </c>
      <c r="G1210">
        <v>0</v>
      </c>
      <c r="H1210" s="2">
        <v>189.99</v>
      </c>
      <c r="I1210" s="2">
        <v>379.98</v>
      </c>
      <c r="J1210" t="s">
        <v>19</v>
      </c>
      <c r="K1210" t="s">
        <v>44</v>
      </c>
      <c r="L1210" t="s">
        <v>152</v>
      </c>
      <c r="M1210" t="s">
        <v>95</v>
      </c>
      <c r="N1210" t="s">
        <v>96</v>
      </c>
      <c r="O1210" t="s">
        <v>48</v>
      </c>
      <c r="P1210">
        <v>4</v>
      </c>
      <c r="Q1210" s="2">
        <f>Ventas[[#This Row],[precio_base]]*Ventas[[#This Row],[cantidad]]</f>
        <v>379.98</v>
      </c>
      <c r="R1210" s="2">
        <f>Ventas[[#This Row],[Total bruto (antes de descuento)]]-Ventas[[#This Row],[total_venta]]</f>
        <v>0</v>
      </c>
    </row>
    <row r="1211" spans="1:18" x14ac:dyDescent="0.25">
      <c r="A1211" t="s">
        <v>1304</v>
      </c>
      <c r="B1211" s="1">
        <v>45650</v>
      </c>
      <c r="C1211" t="s">
        <v>26</v>
      </c>
      <c r="D1211" t="s">
        <v>27</v>
      </c>
      <c r="E1211">
        <v>1</v>
      </c>
      <c r="F1211" s="2">
        <v>399.99</v>
      </c>
      <c r="G1211">
        <v>10</v>
      </c>
      <c r="H1211" s="2">
        <v>359.99</v>
      </c>
      <c r="I1211" s="2">
        <v>359.99</v>
      </c>
      <c r="J1211" t="s">
        <v>90</v>
      </c>
      <c r="K1211" t="s">
        <v>20</v>
      </c>
      <c r="L1211" t="s">
        <v>32</v>
      </c>
      <c r="M1211" t="s">
        <v>53</v>
      </c>
      <c r="N1211" t="s">
        <v>54</v>
      </c>
      <c r="O1211" t="s">
        <v>35</v>
      </c>
      <c r="Q1211" s="2">
        <f>Ventas[[#This Row],[precio_base]]*Ventas[[#This Row],[cantidad]]</f>
        <v>399.99</v>
      </c>
      <c r="R1211" s="2">
        <f>Ventas[[#This Row],[Total bruto (antes de descuento)]]-Ventas[[#This Row],[total_venta]]</f>
        <v>40</v>
      </c>
    </row>
    <row r="1212" spans="1:18" x14ac:dyDescent="0.25">
      <c r="A1212" t="s">
        <v>1305</v>
      </c>
      <c r="B1212" s="1">
        <v>45185</v>
      </c>
      <c r="C1212" t="s">
        <v>30</v>
      </c>
      <c r="D1212" t="s">
        <v>31</v>
      </c>
      <c r="E1212">
        <v>3</v>
      </c>
      <c r="F1212" s="2">
        <v>299.99</v>
      </c>
      <c r="G1212">
        <v>10</v>
      </c>
      <c r="H1212" s="2">
        <v>269.99</v>
      </c>
      <c r="I1212" s="2">
        <v>809.97</v>
      </c>
      <c r="J1212" t="s">
        <v>116</v>
      </c>
      <c r="K1212" t="s">
        <v>52</v>
      </c>
      <c r="L1212" t="s">
        <v>45</v>
      </c>
      <c r="M1212" t="s">
        <v>73</v>
      </c>
      <c r="N1212" t="s">
        <v>74</v>
      </c>
      <c r="O1212" t="s">
        <v>35</v>
      </c>
      <c r="Q1212" s="2">
        <f>Ventas[[#This Row],[precio_base]]*Ventas[[#This Row],[cantidad]]</f>
        <v>899.97</v>
      </c>
      <c r="R1212" s="2">
        <f>Ventas[[#This Row],[Total bruto (antes de descuento)]]-Ventas[[#This Row],[total_venta]]</f>
        <v>90</v>
      </c>
    </row>
    <row r="1213" spans="1:18" x14ac:dyDescent="0.25">
      <c r="A1213" t="s">
        <v>1306</v>
      </c>
      <c r="B1213" s="1">
        <v>45348</v>
      </c>
      <c r="C1213" t="s">
        <v>98</v>
      </c>
      <c r="D1213" t="s">
        <v>31</v>
      </c>
      <c r="E1213">
        <v>1</v>
      </c>
      <c r="F1213" s="2">
        <v>99.99</v>
      </c>
      <c r="G1213">
        <v>0</v>
      </c>
      <c r="H1213" s="2">
        <v>99.99</v>
      </c>
      <c r="I1213" s="2">
        <v>99.99</v>
      </c>
      <c r="J1213" t="s">
        <v>51</v>
      </c>
      <c r="K1213" t="s">
        <v>52</v>
      </c>
      <c r="L1213" t="s">
        <v>32</v>
      </c>
      <c r="M1213" t="s">
        <v>39</v>
      </c>
      <c r="N1213" t="s">
        <v>40</v>
      </c>
      <c r="O1213" t="s">
        <v>35</v>
      </c>
      <c r="Q1213" s="2">
        <f>Ventas[[#This Row],[precio_base]]*Ventas[[#This Row],[cantidad]]</f>
        <v>99.99</v>
      </c>
      <c r="R1213" s="2">
        <f>Ventas[[#This Row],[Total bruto (antes de descuento)]]-Ventas[[#This Row],[total_venta]]</f>
        <v>0</v>
      </c>
    </row>
    <row r="1214" spans="1:18" x14ac:dyDescent="0.25">
      <c r="A1214" t="s">
        <v>1307</v>
      </c>
      <c r="B1214" s="1">
        <v>45202</v>
      </c>
      <c r="C1214" t="s">
        <v>76</v>
      </c>
      <c r="D1214" t="s">
        <v>31</v>
      </c>
      <c r="E1214">
        <v>2</v>
      </c>
      <c r="F1214" s="2">
        <v>69.989999999999995</v>
      </c>
      <c r="G1214">
        <v>15</v>
      </c>
      <c r="H1214" s="2">
        <v>59.49</v>
      </c>
      <c r="I1214" s="2">
        <v>118.98</v>
      </c>
      <c r="J1214" t="s">
        <v>19</v>
      </c>
      <c r="K1214" t="s">
        <v>20</v>
      </c>
      <c r="L1214" t="s">
        <v>21</v>
      </c>
      <c r="M1214" t="s">
        <v>58</v>
      </c>
      <c r="N1214" t="s">
        <v>59</v>
      </c>
      <c r="O1214" t="s">
        <v>24</v>
      </c>
      <c r="P1214">
        <v>4</v>
      </c>
      <c r="Q1214" s="2">
        <f>Ventas[[#This Row],[precio_base]]*Ventas[[#This Row],[cantidad]]</f>
        <v>139.97999999999999</v>
      </c>
      <c r="R1214" s="2">
        <f>Ventas[[#This Row],[Total bruto (antes de descuento)]]-Ventas[[#This Row],[total_venta]]</f>
        <v>20.999999999999986</v>
      </c>
    </row>
    <row r="1215" spans="1:18" x14ac:dyDescent="0.25">
      <c r="A1215" t="s">
        <v>1308</v>
      </c>
      <c r="B1215" s="1">
        <v>44928</v>
      </c>
      <c r="C1215" t="s">
        <v>17</v>
      </c>
      <c r="D1215" t="s">
        <v>18</v>
      </c>
      <c r="E1215">
        <v>1</v>
      </c>
      <c r="F1215" s="2">
        <v>45.99</v>
      </c>
      <c r="G1215">
        <v>20</v>
      </c>
      <c r="H1215" s="2">
        <v>36.79</v>
      </c>
      <c r="I1215" s="2">
        <v>36.79</v>
      </c>
      <c r="J1215" t="s">
        <v>51</v>
      </c>
      <c r="K1215" t="s">
        <v>20</v>
      </c>
      <c r="L1215" t="s">
        <v>21</v>
      </c>
      <c r="M1215" t="s">
        <v>65</v>
      </c>
      <c r="N1215" t="s">
        <v>54</v>
      </c>
      <c r="O1215" t="s">
        <v>35</v>
      </c>
      <c r="Q1215" s="2">
        <f>Ventas[[#This Row],[precio_base]]*Ventas[[#This Row],[cantidad]]</f>
        <v>45.99</v>
      </c>
      <c r="R1215" s="2">
        <f>Ventas[[#This Row],[Total bruto (antes de descuento)]]-Ventas[[#This Row],[total_venta]]</f>
        <v>9.2000000000000028</v>
      </c>
    </row>
    <row r="1216" spans="1:18" x14ac:dyDescent="0.25">
      <c r="A1216" t="s">
        <v>1309</v>
      </c>
      <c r="B1216" s="1">
        <v>45368</v>
      </c>
      <c r="C1216" t="s">
        <v>205</v>
      </c>
      <c r="D1216" t="s">
        <v>18</v>
      </c>
      <c r="E1216">
        <v>2</v>
      </c>
      <c r="F1216" s="2">
        <v>129.99</v>
      </c>
      <c r="G1216">
        <v>0</v>
      </c>
      <c r="H1216" s="2">
        <v>129.99</v>
      </c>
      <c r="I1216" s="2">
        <v>259.98</v>
      </c>
      <c r="J1216" t="s">
        <v>19</v>
      </c>
      <c r="K1216" t="s">
        <v>20</v>
      </c>
      <c r="L1216" t="s">
        <v>21</v>
      </c>
      <c r="M1216" t="s">
        <v>63</v>
      </c>
      <c r="N1216" t="s">
        <v>34</v>
      </c>
      <c r="O1216" t="s">
        <v>24</v>
      </c>
      <c r="P1216">
        <v>1</v>
      </c>
      <c r="Q1216" s="2">
        <f>Ventas[[#This Row],[precio_base]]*Ventas[[#This Row],[cantidad]]</f>
        <v>259.98</v>
      </c>
      <c r="R1216" s="2">
        <f>Ventas[[#This Row],[Total bruto (antes de descuento)]]-Ventas[[#This Row],[total_venta]]</f>
        <v>0</v>
      </c>
    </row>
    <row r="1217" spans="1:18" x14ac:dyDescent="0.25">
      <c r="A1217" t="s">
        <v>1310</v>
      </c>
      <c r="B1217" s="1">
        <v>45388</v>
      </c>
      <c r="C1217" t="s">
        <v>26</v>
      </c>
      <c r="D1217" t="s">
        <v>27</v>
      </c>
      <c r="E1217">
        <v>2</v>
      </c>
      <c r="F1217" s="2">
        <v>399.99</v>
      </c>
      <c r="G1217">
        <v>0</v>
      </c>
      <c r="H1217" s="2">
        <v>399.99</v>
      </c>
      <c r="I1217" s="2">
        <v>799.98</v>
      </c>
      <c r="J1217" t="s">
        <v>19</v>
      </c>
      <c r="K1217" t="s">
        <v>20</v>
      </c>
      <c r="L1217" t="s">
        <v>28</v>
      </c>
      <c r="M1217" t="s">
        <v>84</v>
      </c>
      <c r="N1217" t="s">
        <v>85</v>
      </c>
      <c r="O1217" t="s">
        <v>35</v>
      </c>
      <c r="P1217">
        <v>3</v>
      </c>
      <c r="Q1217" s="2">
        <f>Ventas[[#This Row],[precio_base]]*Ventas[[#This Row],[cantidad]]</f>
        <v>799.98</v>
      </c>
      <c r="R1217" s="2">
        <f>Ventas[[#This Row],[Total bruto (antes de descuento)]]-Ventas[[#This Row],[total_venta]]</f>
        <v>0</v>
      </c>
    </row>
    <row r="1218" spans="1:18" x14ac:dyDescent="0.25">
      <c r="A1218" t="s">
        <v>1311</v>
      </c>
      <c r="B1218" s="1">
        <v>45345</v>
      </c>
      <c r="C1218" t="s">
        <v>151</v>
      </c>
      <c r="D1218" t="s">
        <v>27</v>
      </c>
      <c r="E1218">
        <v>5</v>
      </c>
      <c r="F1218" s="2">
        <v>599.99</v>
      </c>
      <c r="G1218">
        <v>0</v>
      </c>
      <c r="H1218" s="2">
        <v>599.99</v>
      </c>
      <c r="I1218" s="2">
        <v>2999.95</v>
      </c>
      <c r="J1218" t="s">
        <v>62</v>
      </c>
      <c r="K1218" t="s">
        <v>20</v>
      </c>
      <c r="L1218" t="s">
        <v>21</v>
      </c>
      <c r="M1218" t="s">
        <v>63</v>
      </c>
      <c r="N1218" t="s">
        <v>34</v>
      </c>
      <c r="O1218" t="s">
        <v>24</v>
      </c>
      <c r="Q1218" s="2">
        <f>Ventas[[#This Row],[precio_base]]*Ventas[[#This Row],[cantidad]]</f>
        <v>2999.95</v>
      </c>
      <c r="R1218" s="2">
        <f>Ventas[[#This Row],[Total bruto (antes de descuento)]]-Ventas[[#This Row],[total_venta]]</f>
        <v>0</v>
      </c>
    </row>
    <row r="1219" spans="1:18" x14ac:dyDescent="0.25">
      <c r="A1219" t="s">
        <v>1312</v>
      </c>
      <c r="B1219" s="1">
        <v>45054</v>
      </c>
      <c r="C1219" t="s">
        <v>61</v>
      </c>
      <c r="D1219" t="s">
        <v>38</v>
      </c>
      <c r="E1219">
        <v>1</v>
      </c>
      <c r="F1219" s="2">
        <v>19.989999999999998</v>
      </c>
      <c r="G1219">
        <v>0</v>
      </c>
      <c r="H1219" s="2">
        <v>19.989999999999998</v>
      </c>
      <c r="I1219" s="2">
        <v>19.989999999999998</v>
      </c>
      <c r="J1219" t="s">
        <v>19</v>
      </c>
      <c r="K1219" t="s">
        <v>44</v>
      </c>
      <c r="L1219" t="s">
        <v>28</v>
      </c>
      <c r="M1219" t="s">
        <v>22</v>
      </c>
      <c r="N1219" t="s">
        <v>23</v>
      </c>
      <c r="O1219" t="s">
        <v>24</v>
      </c>
      <c r="P1219">
        <v>1</v>
      </c>
      <c r="Q1219" s="2">
        <f>Ventas[[#This Row],[precio_base]]*Ventas[[#This Row],[cantidad]]</f>
        <v>19.989999999999998</v>
      </c>
      <c r="R1219" s="2">
        <f>Ventas[[#This Row],[Total bruto (antes de descuento)]]-Ventas[[#This Row],[total_venta]]</f>
        <v>0</v>
      </c>
    </row>
    <row r="1220" spans="1:18" x14ac:dyDescent="0.25">
      <c r="A1220" t="s">
        <v>1313</v>
      </c>
      <c r="B1220" s="1">
        <v>44936</v>
      </c>
      <c r="C1220" t="s">
        <v>94</v>
      </c>
      <c r="D1220" t="s">
        <v>18</v>
      </c>
      <c r="E1220">
        <v>3</v>
      </c>
      <c r="F1220" s="2">
        <v>899.99</v>
      </c>
      <c r="G1220">
        <v>20</v>
      </c>
      <c r="H1220" s="2">
        <v>719.99</v>
      </c>
      <c r="I1220" s="2">
        <v>2159.9699999999998</v>
      </c>
      <c r="J1220" t="s">
        <v>90</v>
      </c>
      <c r="K1220" t="s">
        <v>44</v>
      </c>
      <c r="L1220" t="s">
        <v>152</v>
      </c>
      <c r="M1220" t="s">
        <v>73</v>
      </c>
      <c r="N1220" t="s">
        <v>74</v>
      </c>
      <c r="O1220" t="s">
        <v>35</v>
      </c>
      <c r="Q1220" s="2">
        <f>Ventas[[#This Row],[precio_base]]*Ventas[[#This Row],[cantidad]]</f>
        <v>2699.9700000000003</v>
      </c>
      <c r="R1220" s="2">
        <f>Ventas[[#This Row],[Total bruto (antes de descuento)]]-Ventas[[#This Row],[total_venta]]</f>
        <v>540.00000000000045</v>
      </c>
    </row>
    <row r="1221" spans="1:18" x14ac:dyDescent="0.25">
      <c r="A1221" t="s">
        <v>1314</v>
      </c>
      <c r="B1221" s="1">
        <v>45026</v>
      </c>
      <c r="C1221" t="s">
        <v>115</v>
      </c>
      <c r="D1221" t="s">
        <v>18</v>
      </c>
      <c r="E1221">
        <v>5</v>
      </c>
      <c r="F1221" s="2">
        <v>799.99</v>
      </c>
      <c r="G1221">
        <v>20</v>
      </c>
      <c r="H1221" s="2">
        <v>639.99</v>
      </c>
      <c r="I1221" s="2">
        <v>3199.95</v>
      </c>
      <c r="J1221" t="s">
        <v>19</v>
      </c>
      <c r="K1221" t="s">
        <v>44</v>
      </c>
      <c r="L1221" t="s">
        <v>152</v>
      </c>
      <c r="M1221" t="s">
        <v>33</v>
      </c>
      <c r="N1221" t="s">
        <v>34</v>
      </c>
      <c r="O1221" t="s">
        <v>35</v>
      </c>
      <c r="P1221">
        <v>3</v>
      </c>
      <c r="Q1221" s="2">
        <f>Ventas[[#This Row],[precio_base]]*Ventas[[#This Row],[cantidad]]</f>
        <v>3999.95</v>
      </c>
      <c r="R1221" s="2">
        <f>Ventas[[#This Row],[Total bruto (antes de descuento)]]-Ventas[[#This Row],[total_venta]]</f>
        <v>800</v>
      </c>
    </row>
    <row r="1222" spans="1:18" x14ac:dyDescent="0.25">
      <c r="A1222" t="s">
        <v>1315</v>
      </c>
      <c r="B1222" s="1">
        <v>45424</v>
      </c>
      <c r="C1222" t="s">
        <v>92</v>
      </c>
      <c r="D1222" t="s">
        <v>27</v>
      </c>
      <c r="E1222">
        <v>3</v>
      </c>
      <c r="F1222" s="2">
        <v>79.989999999999995</v>
      </c>
      <c r="G1222">
        <v>10</v>
      </c>
      <c r="H1222" s="2">
        <v>71.989999999999995</v>
      </c>
      <c r="I1222" s="2">
        <v>215.97</v>
      </c>
      <c r="J1222" t="s">
        <v>19</v>
      </c>
      <c r="K1222" t="s">
        <v>44</v>
      </c>
      <c r="L1222" t="s">
        <v>21</v>
      </c>
      <c r="M1222" t="s">
        <v>123</v>
      </c>
      <c r="N1222" t="s">
        <v>124</v>
      </c>
      <c r="O1222" t="s">
        <v>24</v>
      </c>
      <c r="P1222">
        <v>3</v>
      </c>
      <c r="Q1222" s="2">
        <f>Ventas[[#This Row],[precio_base]]*Ventas[[#This Row],[cantidad]]</f>
        <v>239.96999999999997</v>
      </c>
      <c r="R1222" s="2">
        <f>Ventas[[#This Row],[Total bruto (antes de descuento)]]-Ventas[[#This Row],[total_venta]]</f>
        <v>23.999999999999972</v>
      </c>
    </row>
    <row r="1223" spans="1:18" x14ac:dyDescent="0.25">
      <c r="A1223" t="s">
        <v>1316</v>
      </c>
      <c r="B1223" s="1">
        <v>45172</v>
      </c>
      <c r="C1223" t="s">
        <v>89</v>
      </c>
      <c r="D1223" t="s">
        <v>38</v>
      </c>
      <c r="E1223">
        <v>4</v>
      </c>
      <c r="F1223" s="2">
        <v>69.989999999999995</v>
      </c>
      <c r="G1223">
        <v>5</v>
      </c>
      <c r="H1223" s="2">
        <v>66.489999999999995</v>
      </c>
      <c r="I1223" s="2">
        <v>265.95999999999998</v>
      </c>
      <c r="J1223" t="s">
        <v>51</v>
      </c>
      <c r="K1223" t="s">
        <v>52</v>
      </c>
      <c r="L1223" t="s">
        <v>32</v>
      </c>
      <c r="M1223" t="s">
        <v>123</v>
      </c>
      <c r="N1223" t="s">
        <v>124</v>
      </c>
      <c r="O1223" t="s">
        <v>24</v>
      </c>
      <c r="Q1223" s="2">
        <f>Ventas[[#This Row],[precio_base]]*Ventas[[#This Row],[cantidad]]</f>
        <v>279.95999999999998</v>
      </c>
      <c r="R1223" s="2">
        <f>Ventas[[#This Row],[Total bruto (antes de descuento)]]-Ventas[[#This Row],[total_venta]]</f>
        <v>14</v>
      </c>
    </row>
    <row r="1224" spans="1:18" x14ac:dyDescent="0.25">
      <c r="A1224" t="s">
        <v>1317</v>
      </c>
      <c r="B1224" s="1">
        <v>44930</v>
      </c>
      <c r="C1224" t="s">
        <v>151</v>
      </c>
      <c r="D1224" t="s">
        <v>27</v>
      </c>
      <c r="E1224">
        <v>4</v>
      </c>
      <c r="F1224" s="2">
        <v>599.99</v>
      </c>
      <c r="G1224">
        <v>15</v>
      </c>
      <c r="H1224" s="2">
        <v>509.99</v>
      </c>
      <c r="I1224" s="2">
        <v>2039.96</v>
      </c>
      <c r="J1224" t="s">
        <v>62</v>
      </c>
      <c r="K1224" t="s">
        <v>20</v>
      </c>
      <c r="L1224" t="s">
        <v>28</v>
      </c>
      <c r="M1224" t="s">
        <v>53</v>
      </c>
      <c r="N1224" t="s">
        <v>54</v>
      </c>
      <c r="O1224" t="s">
        <v>35</v>
      </c>
      <c r="Q1224" s="2">
        <f>Ventas[[#This Row],[precio_base]]*Ventas[[#This Row],[cantidad]]</f>
        <v>2399.96</v>
      </c>
      <c r="R1224" s="2">
        <f>Ventas[[#This Row],[Total bruto (antes de descuento)]]-Ventas[[#This Row],[total_venta]]</f>
        <v>360</v>
      </c>
    </row>
    <row r="1225" spans="1:18" x14ac:dyDescent="0.25">
      <c r="A1225" t="s">
        <v>1318</v>
      </c>
      <c r="B1225" s="1">
        <v>45470</v>
      </c>
      <c r="C1225" t="s">
        <v>61</v>
      </c>
      <c r="D1225" t="s">
        <v>38</v>
      </c>
      <c r="E1225">
        <v>2</v>
      </c>
      <c r="F1225" s="2">
        <v>19.989999999999998</v>
      </c>
      <c r="G1225">
        <v>0</v>
      </c>
      <c r="H1225" s="2">
        <v>19.989999999999998</v>
      </c>
      <c r="I1225" s="2">
        <v>39.979999999999997</v>
      </c>
      <c r="J1225" t="s">
        <v>19</v>
      </c>
      <c r="K1225" t="s">
        <v>44</v>
      </c>
      <c r="L1225" t="s">
        <v>45</v>
      </c>
      <c r="M1225" t="s">
        <v>73</v>
      </c>
      <c r="N1225" t="s">
        <v>74</v>
      </c>
      <c r="O1225" t="s">
        <v>35</v>
      </c>
      <c r="P1225">
        <v>4</v>
      </c>
      <c r="Q1225" s="2">
        <f>Ventas[[#This Row],[precio_base]]*Ventas[[#This Row],[cantidad]]</f>
        <v>39.979999999999997</v>
      </c>
      <c r="R1225" s="2">
        <f>Ventas[[#This Row],[Total bruto (antes de descuento)]]-Ventas[[#This Row],[total_venta]]</f>
        <v>0</v>
      </c>
    </row>
    <row r="1226" spans="1:18" x14ac:dyDescent="0.25">
      <c r="A1226" t="s">
        <v>1319</v>
      </c>
      <c r="B1226" s="1">
        <v>45603</v>
      </c>
      <c r="C1226" t="s">
        <v>115</v>
      </c>
      <c r="D1226" t="s">
        <v>18</v>
      </c>
      <c r="E1226">
        <v>1</v>
      </c>
      <c r="F1226" s="2">
        <v>799.99</v>
      </c>
      <c r="G1226">
        <v>15</v>
      </c>
      <c r="H1226" s="2">
        <v>679.99</v>
      </c>
      <c r="I1226" s="2">
        <v>679.99</v>
      </c>
      <c r="J1226" t="s">
        <v>90</v>
      </c>
      <c r="K1226" t="s">
        <v>20</v>
      </c>
      <c r="L1226" t="s">
        <v>28</v>
      </c>
      <c r="M1226" t="s">
        <v>67</v>
      </c>
      <c r="N1226" t="s">
        <v>68</v>
      </c>
      <c r="O1226" t="s">
        <v>35</v>
      </c>
      <c r="Q1226" s="2">
        <f>Ventas[[#This Row],[precio_base]]*Ventas[[#This Row],[cantidad]]</f>
        <v>799.99</v>
      </c>
      <c r="R1226" s="2">
        <f>Ventas[[#This Row],[Total bruto (antes de descuento)]]-Ventas[[#This Row],[total_venta]]</f>
        <v>120</v>
      </c>
    </row>
    <row r="1227" spans="1:18" x14ac:dyDescent="0.25">
      <c r="A1227" t="s">
        <v>1320</v>
      </c>
      <c r="B1227" s="1">
        <v>44973</v>
      </c>
      <c r="C1227" t="s">
        <v>70</v>
      </c>
      <c r="D1227" t="s">
        <v>31</v>
      </c>
      <c r="E1227">
        <v>3</v>
      </c>
      <c r="F1227" s="2">
        <v>59.99</v>
      </c>
      <c r="G1227">
        <v>15</v>
      </c>
      <c r="H1227" s="2">
        <v>50.99</v>
      </c>
      <c r="I1227" s="2">
        <v>152.97</v>
      </c>
      <c r="J1227" t="s">
        <v>19</v>
      </c>
      <c r="K1227" t="s">
        <v>44</v>
      </c>
      <c r="L1227" t="s">
        <v>28</v>
      </c>
      <c r="M1227" t="s">
        <v>33</v>
      </c>
      <c r="N1227" t="s">
        <v>34</v>
      </c>
      <c r="O1227" t="s">
        <v>35</v>
      </c>
      <c r="P1227">
        <v>1</v>
      </c>
      <c r="Q1227" s="2">
        <f>Ventas[[#This Row],[precio_base]]*Ventas[[#This Row],[cantidad]]</f>
        <v>179.97</v>
      </c>
      <c r="R1227" s="2">
        <f>Ventas[[#This Row],[Total bruto (antes de descuento)]]-Ventas[[#This Row],[total_venta]]</f>
        <v>27</v>
      </c>
    </row>
    <row r="1228" spans="1:18" x14ac:dyDescent="0.25">
      <c r="A1228" t="s">
        <v>1321</v>
      </c>
      <c r="B1228" s="1">
        <v>45283</v>
      </c>
      <c r="C1228" t="s">
        <v>37</v>
      </c>
      <c r="D1228" t="s">
        <v>38</v>
      </c>
      <c r="E1228">
        <v>4</v>
      </c>
      <c r="F1228" s="2">
        <v>34.99</v>
      </c>
      <c r="G1228">
        <v>15</v>
      </c>
      <c r="H1228" s="2">
        <v>29.74</v>
      </c>
      <c r="I1228" s="2">
        <v>118.96</v>
      </c>
      <c r="J1228" t="s">
        <v>62</v>
      </c>
      <c r="K1228" t="s">
        <v>20</v>
      </c>
      <c r="L1228" t="s">
        <v>45</v>
      </c>
      <c r="M1228" t="s">
        <v>53</v>
      </c>
      <c r="N1228" t="s">
        <v>54</v>
      </c>
      <c r="O1228" t="s">
        <v>35</v>
      </c>
      <c r="Q1228" s="2">
        <f>Ventas[[#This Row],[precio_base]]*Ventas[[#This Row],[cantidad]]</f>
        <v>139.96</v>
      </c>
      <c r="R1228" s="2">
        <f>Ventas[[#This Row],[Total bruto (antes de descuento)]]-Ventas[[#This Row],[total_venta]]</f>
        <v>21.000000000000014</v>
      </c>
    </row>
    <row r="1229" spans="1:18" x14ac:dyDescent="0.25">
      <c r="A1229" t="s">
        <v>1322</v>
      </c>
      <c r="B1229" s="1">
        <v>45548</v>
      </c>
      <c r="C1229" t="s">
        <v>115</v>
      </c>
      <c r="D1229" t="s">
        <v>18</v>
      </c>
      <c r="E1229">
        <v>2</v>
      </c>
      <c r="F1229" s="2">
        <v>799.99</v>
      </c>
      <c r="G1229">
        <v>20</v>
      </c>
      <c r="H1229" s="2">
        <v>639.99</v>
      </c>
      <c r="I1229" s="2">
        <v>1279.98</v>
      </c>
      <c r="J1229" t="s">
        <v>19</v>
      </c>
      <c r="K1229" t="s">
        <v>52</v>
      </c>
      <c r="L1229" t="s">
        <v>28</v>
      </c>
      <c r="M1229" t="s">
        <v>33</v>
      </c>
      <c r="N1229" t="s">
        <v>34</v>
      </c>
      <c r="O1229" t="s">
        <v>35</v>
      </c>
      <c r="P1229">
        <v>1</v>
      </c>
      <c r="Q1229" s="2">
        <f>Ventas[[#This Row],[precio_base]]*Ventas[[#This Row],[cantidad]]</f>
        <v>1599.98</v>
      </c>
      <c r="R1229" s="2">
        <f>Ventas[[#This Row],[Total bruto (antes de descuento)]]-Ventas[[#This Row],[total_venta]]</f>
        <v>320</v>
      </c>
    </row>
    <row r="1230" spans="1:18" x14ac:dyDescent="0.25">
      <c r="A1230" t="s">
        <v>1323</v>
      </c>
      <c r="B1230" s="1">
        <v>45057</v>
      </c>
      <c r="C1230" t="s">
        <v>92</v>
      </c>
      <c r="D1230" t="s">
        <v>27</v>
      </c>
      <c r="E1230">
        <v>1</v>
      </c>
      <c r="F1230" s="2">
        <v>79.989999999999995</v>
      </c>
      <c r="G1230">
        <v>0</v>
      </c>
      <c r="H1230" s="2">
        <v>79.989999999999995</v>
      </c>
      <c r="I1230" s="2">
        <v>79.989999999999995</v>
      </c>
      <c r="J1230" t="s">
        <v>62</v>
      </c>
      <c r="K1230" t="s">
        <v>57</v>
      </c>
      <c r="L1230" t="s">
        <v>45</v>
      </c>
      <c r="M1230" t="s">
        <v>65</v>
      </c>
      <c r="N1230" t="s">
        <v>54</v>
      </c>
      <c r="O1230" t="s">
        <v>35</v>
      </c>
      <c r="Q1230" s="2">
        <f>Ventas[[#This Row],[precio_base]]*Ventas[[#This Row],[cantidad]]</f>
        <v>79.989999999999995</v>
      </c>
      <c r="R1230" s="2">
        <f>Ventas[[#This Row],[Total bruto (antes de descuento)]]-Ventas[[#This Row],[total_venta]]</f>
        <v>0</v>
      </c>
    </row>
    <row r="1231" spans="1:18" x14ac:dyDescent="0.25">
      <c r="A1231" t="s">
        <v>1324</v>
      </c>
      <c r="B1231" s="1">
        <v>45383</v>
      </c>
      <c r="C1231" t="s">
        <v>17</v>
      </c>
      <c r="D1231" t="s">
        <v>18</v>
      </c>
      <c r="E1231">
        <v>4</v>
      </c>
      <c r="F1231" s="2">
        <v>45.99</v>
      </c>
      <c r="G1231">
        <v>15</v>
      </c>
      <c r="H1231" s="2">
        <v>39.090000000000003</v>
      </c>
      <c r="I1231" s="2">
        <v>156.36000000000001</v>
      </c>
      <c r="J1231" t="s">
        <v>19</v>
      </c>
      <c r="K1231" t="s">
        <v>20</v>
      </c>
      <c r="L1231" t="s">
        <v>28</v>
      </c>
      <c r="M1231" t="s">
        <v>22</v>
      </c>
      <c r="N1231" t="s">
        <v>23</v>
      </c>
      <c r="O1231" t="s">
        <v>24</v>
      </c>
      <c r="P1231">
        <v>1</v>
      </c>
      <c r="Q1231" s="2">
        <f>Ventas[[#This Row],[precio_base]]*Ventas[[#This Row],[cantidad]]</f>
        <v>183.96</v>
      </c>
      <c r="R1231" s="2">
        <f>Ventas[[#This Row],[Total bruto (antes de descuento)]]-Ventas[[#This Row],[total_venta]]</f>
        <v>27.599999999999994</v>
      </c>
    </row>
    <row r="1232" spans="1:18" x14ac:dyDescent="0.25">
      <c r="A1232" t="s">
        <v>1325</v>
      </c>
      <c r="B1232" s="1">
        <v>45035</v>
      </c>
      <c r="C1232" t="s">
        <v>37</v>
      </c>
      <c r="D1232" t="s">
        <v>38</v>
      </c>
      <c r="E1232">
        <v>1</v>
      </c>
      <c r="F1232" s="2">
        <v>34.99</v>
      </c>
      <c r="G1232">
        <v>0</v>
      </c>
      <c r="H1232" s="2">
        <v>34.99</v>
      </c>
      <c r="I1232" s="2">
        <v>34.99</v>
      </c>
      <c r="J1232" t="s">
        <v>90</v>
      </c>
      <c r="K1232" t="s">
        <v>52</v>
      </c>
      <c r="L1232" t="s">
        <v>28</v>
      </c>
      <c r="M1232" t="s">
        <v>123</v>
      </c>
      <c r="N1232" t="s">
        <v>124</v>
      </c>
      <c r="O1232" t="s">
        <v>24</v>
      </c>
      <c r="Q1232" s="2">
        <f>Ventas[[#This Row],[precio_base]]*Ventas[[#This Row],[cantidad]]</f>
        <v>34.99</v>
      </c>
      <c r="R1232" s="2">
        <f>Ventas[[#This Row],[Total bruto (antes de descuento)]]-Ventas[[#This Row],[total_venta]]</f>
        <v>0</v>
      </c>
    </row>
    <row r="1233" spans="1:18" x14ac:dyDescent="0.25">
      <c r="A1233" t="s">
        <v>1326</v>
      </c>
      <c r="B1233" s="1">
        <v>45152</v>
      </c>
      <c r="C1233" t="s">
        <v>76</v>
      </c>
      <c r="D1233" t="s">
        <v>31</v>
      </c>
      <c r="E1233">
        <v>3</v>
      </c>
      <c r="F1233" s="2">
        <v>69.989999999999995</v>
      </c>
      <c r="G1233">
        <v>15</v>
      </c>
      <c r="H1233" s="2">
        <v>59.49</v>
      </c>
      <c r="I1233" s="2">
        <v>178.47</v>
      </c>
      <c r="J1233" t="s">
        <v>19</v>
      </c>
      <c r="K1233" t="s">
        <v>44</v>
      </c>
      <c r="L1233" t="s">
        <v>28</v>
      </c>
      <c r="M1233" t="s">
        <v>53</v>
      </c>
      <c r="N1233" t="s">
        <v>54</v>
      </c>
      <c r="O1233" t="s">
        <v>35</v>
      </c>
      <c r="P1233">
        <v>5</v>
      </c>
      <c r="Q1233" s="2">
        <f>Ventas[[#This Row],[precio_base]]*Ventas[[#This Row],[cantidad]]</f>
        <v>209.96999999999997</v>
      </c>
      <c r="R1233" s="2">
        <f>Ventas[[#This Row],[Total bruto (antes de descuento)]]-Ventas[[#This Row],[total_venta]]</f>
        <v>31.499999999999972</v>
      </c>
    </row>
    <row r="1234" spans="1:18" x14ac:dyDescent="0.25">
      <c r="A1234" t="s">
        <v>1327</v>
      </c>
      <c r="B1234" s="1">
        <v>45575</v>
      </c>
      <c r="C1234" t="s">
        <v>76</v>
      </c>
      <c r="D1234" t="s">
        <v>31</v>
      </c>
      <c r="E1234">
        <v>4</v>
      </c>
      <c r="F1234" s="2">
        <v>69.989999999999995</v>
      </c>
      <c r="G1234">
        <v>0</v>
      </c>
      <c r="H1234" s="2">
        <v>69.989999999999995</v>
      </c>
      <c r="I1234" s="2">
        <v>279.95999999999998</v>
      </c>
      <c r="J1234" t="s">
        <v>51</v>
      </c>
      <c r="K1234" t="s">
        <v>52</v>
      </c>
      <c r="L1234" t="s">
        <v>152</v>
      </c>
      <c r="M1234" t="s">
        <v>123</v>
      </c>
      <c r="N1234" t="s">
        <v>124</v>
      </c>
      <c r="O1234" t="s">
        <v>24</v>
      </c>
      <c r="Q1234" s="2">
        <f>Ventas[[#This Row],[precio_base]]*Ventas[[#This Row],[cantidad]]</f>
        <v>279.95999999999998</v>
      </c>
      <c r="R1234" s="2">
        <f>Ventas[[#This Row],[Total bruto (antes de descuento)]]-Ventas[[#This Row],[total_venta]]</f>
        <v>0</v>
      </c>
    </row>
    <row r="1235" spans="1:18" x14ac:dyDescent="0.25">
      <c r="A1235" t="s">
        <v>1328</v>
      </c>
      <c r="B1235" s="1">
        <v>45542</v>
      </c>
      <c r="C1235" t="s">
        <v>56</v>
      </c>
      <c r="D1235" t="s">
        <v>18</v>
      </c>
      <c r="E1235">
        <v>3</v>
      </c>
      <c r="F1235" s="2">
        <v>89.99</v>
      </c>
      <c r="G1235">
        <v>5</v>
      </c>
      <c r="H1235" s="2">
        <v>85.49</v>
      </c>
      <c r="I1235" s="2">
        <v>256.47000000000003</v>
      </c>
      <c r="J1235" t="s">
        <v>90</v>
      </c>
      <c r="K1235" t="s">
        <v>44</v>
      </c>
      <c r="L1235" t="s">
        <v>45</v>
      </c>
      <c r="M1235" t="s">
        <v>84</v>
      </c>
      <c r="N1235" t="s">
        <v>85</v>
      </c>
      <c r="O1235" t="s">
        <v>35</v>
      </c>
      <c r="Q1235" s="2">
        <f>Ventas[[#This Row],[precio_base]]*Ventas[[#This Row],[cantidad]]</f>
        <v>269.96999999999997</v>
      </c>
      <c r="R1235" s="2">
        <f>Ventas[[#This Row],[Total bruto (antes de descuento)]]-Ventas[[#This Row],[total_venta]]</f>
        <v>13.499999999999943</v>
      </c>
    </row>
    <row r="1236" spans="1:18" x14ac:dyDescent="0.25">
      <c r="A1236" t="s">
        <v>1329</v>
      </c>
      <c r="B1236" s="1">
        <v>45584</v>
      </c>
      <c r="C1236" t="s">
        <v>70</v>
      </c>
      <c r="D1236" t="s">
        <v>31</v>
      </c>
      <c r="E1236">
        <v>5</v>
      </c>
      <c r="F1236" s="2">
        <v>59.99</v>
      </c>
      <c r="G1236">
        <v>20</v>
      </c>
      <c r="H1236" s="2">
        <v>47.99</v>
      </c>
      <c r="I1236" s="2">
        <v>239.95</v>
      </c>
      <c r="J1236" t="s">
        <v>19</v>
      </c>
      <c r="K1236" t="s">
        <v>20</v>
      </c>
      <c r="L1236" t="s">
        <v>21</v>
      </c>
      <c r="M1236" t="s">
        <v>22</v>
      </c>
      <c r="N1236" t="s">
        <v>23</v>
      </c>
      <c r="O1236" t="s">
        <v>24</v>
      </c>
      <c r="P1236">
        <v>1</v>
      </c>
      <c r="Q1236" s="2">
        <f>Ventas[[#This Row],[precio_base]]*Ventas[[#This Row],[cantidad]]</f>
        <v>299.95</v>
      </c>
      <c r="R1236" s="2">
        <f>Ventas[[#This Row],[Total bruto (antes de descuento)]]-Ventas[[#This Row],[total_venta]]</f>
        <v>60</v>
      </c>
    </row>
    <row r="1237" spans="1:18" x14ac:dyDescent="0.25">
      <c r="A1237" t="s">
        <v>1330</v>
      </c>
      <c r="B1237" s="1">
        <v>45041</v>
      </c>
      <c r="C1237" t="s">
        <v>56</v>
      </c>
      <c r="D1237" t="s">
        <v>18</v>
      </c>
      <c r="E1237">
        <v>3</v>
      </c>
      <c r="F1237" s="2">
        <v>89.99</v>
      </c>
      <c r="G1237">
        <v>15</v>
      </c>
      <c r="H1237" s="2">
        <v>76.489999999999995</v>
      </c>
      <c r="I1237" s="2">
        <v>229.47</v>
      </c>
      <c r="J1237" t="s">
        <v>19</v>
      </c>
      <c r="K1237" t="s">
        <v>44</v>
      </c>
      <c r="L1237" t="s">
        <v>21</v>
      </c>
      <c r="M1237" t="s">
        <v>22</v>
      </c>
      <c r="N1237" t="s">
        <v>23</v>
      </c>
      <c r="O1237" t="s">
        <v>24</v>
      </c>
      <c r="P1237">
        <v>3</v>
      </c>
      <c r="Q1237" s="2">
        <f>Ventas[[#This Row],[precio_base]]*Ventas[[#This Row],[cantidad]]</f>
        <v>269.96999999999997</v>
      </c>
      <c r="R1237" s="2">
        <f>Ventas[[#This Row],[Total bruto (antes de descuento)]]-Ventas[[#This Row],[total_venta]]</f>
        <v>40.499999999999972</v>
      </c>
    </row>
    <row r="1238" spans="1:18" x14ac:dyDescent="0.25">
      <c r="A1238" t="s">
        <v>1331</v>
      </c>
      <c r="B1238" s="1">
        <v>45057</v>
      </c>
      <c r="C1238" t="s">
        <v>42</v>
      </c>
      <c r="D1238" t="s">
        <v>43</v>
      </c>
      <c r="E1238">
        <v>3</v>
      </c>
      <c r="F1238" s="2">
        <v>349.99</v>
      </c>
      <c r="G1238">
        <v>5</v>
      </c>
      <c r="H1238" s="2">
        <v>332.49</v>
      </c>
      <c r="I1238" s="2">
        <v>997.47</v>
      </c>
      <c r="J1238" t="s">
        <v>19</v>
      </c>
      <c r="K1238" t="s">
        <v>20</v>
      </c>
      <c r="L1238" t="s">
        <v>45</v>
      </c>
      <c r="M1238" t="s">
        <v>46</v>
      </c>
      <c r="N1238" t="s">
        <v>47</v>
      </c>
      <c r="O1238" t="s">
        <v>48</v>
      </c>
      <c r="P1238">
        <v>2</v>
      </c>
      <c r="Q1238" s="2">
        <f>Ventas[[#This Row],[precio_base]]*Ventas[[#This Row],[cantidad]]</f>
        <v>1049.97</v>
      </c>
      <c r="R1238" s="2">
        <f>Ventas[[#This Row],[Total bruto (antes de descuento)]]-Ventas[[#This Row],[total_venta]]</f>
        <v>52.5</v>
      </c>
    </row>
    <row r="1239" spans="1:18" x14ac:dyDescent="0.25">
      <c r="A1239" t="s">
        <v>1332</v>
      </c>
      <c r="B1239" s="1">
        <v>45324</v>
      </c>
      <c r="C1239" t="s">
        <v>37</v>
      </c>
      <c r="D1239" t="s">
        <v>38</v>
      </c>
      <c r="E1239">
        <v>3</v>
      </c>
      <c r="F1239" s="2">
        <v>34.99</v>
      </c>
      <c r="G1239">
        <v>20</v>
      </c>
      <c r="H1239" s="2">
        <v>27.99</v>
      </c>
      <c r="I1239" s="2">
        <v>83.97</v>
      </c>
      <c r="J1239" t="s">
        <v>19</v>
      </c>
      <c r="K1239" t="s">
        <v>52</v>
      </c>
      <c r="L1239" t="s">
        <v>21</v>
      </c>
      <c r="M1239" t="s">
        <v>73</v>
      </c>
      <c r="N1239" t="s">
        <v>74</v>
      </c>
      <c r="O1239" t="s">
        <v>35</v>
      </c>
      <c r="P1239">
        <v>5</v>
      </c>
      <c r="Q1239" s="2">
        <f>Ventas[[#This Row],[precio_base]]*Ventas[[#This Row],[cantidad]]</f>
        <v>104.97</v>
      </c>
      <c r="R1239" s="2">
        <f>Ventas[[#This Row],[Total bruto (antes de descuento)]]-Ventas[[#This Row],[total_venta]]</f>
        <v>21</v>
      </c>
    </row>
    <row r="1240" spans="1:18" x14ac:dyDescent="0.25">
      <c r="A1240" t="s">
        <v>1333</v>
      </c>
      <c r="B1240" s="1">
        <v>45531</v>
      </c>
      <c r="C1240" t="s">
        <v>163</v>
      </c>
      <c r="D1240" t="s">
        <v>18</v>
      </c>
      <c r="E1240">
        <v>1</v>
      </c>
      <c r="F1240" s="2">
        <v>499.99</v>
      </c>
      <c r="G1240">
        <v>5</v>
      </c>
      <c r="H1240" s="2">
        <v>474.99</v>
      </c>
      <c r="I1240" s="2">
        <v>474.99</v>
      </c>
      <c r="J1240" t="s">
        <v>19</v>
      </c>
      <c r="K1240" t="s">
        <v>44</v>
      </c>
      <c r="L1240" t="s">
        <v>21</v>
      </c>
      <c r="M1240" t="s">
        <v>67</v>
      </c>
      <c r="N1240" t="s">
        <v>68</v>
      </c>
      <c r="O1240" t="s">
        <v>35</v>
      </c>
      <c r="P1240">
        <v>3</v>
      </c>
      <c r="Q1240" s="2">
        <f>Ventas[[#This Row],[precio_base]]*Ventas[[#This Row],[cantidad]]</f>
        <v>499.99</v>
      </c>
      <c r="R1240" s="2">
        <f>Ventas[[#This Row],[Total bruto (antes de descuento)]]-Ventas[[#This Row],[total_venta]]</f>
        <v>25</v>
      </c>
    </row>
    <row r="1241" spans="1:18" x14ac:dyDescent="0.25">
      <c r="A1241" t="s">
        <v>1334</v>
      </c>
      <c r="B1241" s="1">
        <v>45151</v>
      </c>
      <c r="C1241" t="s">
        <v>92</v>
      </c>
      <c r="D1241" t="s">
        <v>27</v>
      </c>
      <c r="E1241">
        <v>4</v>
      </c>
      <c r="F1241" s="2">
        <v>79.989999999999995</v>
      </c>
      <c r="G1241">
        <v>0</v>
      </c>
      <c r="H1241" s="2">
        <v>79.989999999999995</v>
      </c>
      <c r="I1241" s="2">
        <v>319.95999999999998</v>
      </c>
      <c r="J1241" t="s">
        <v>51</v>
      </c>
      <c r="K1241" t="s">
        <v>44</v>
      </c>
      <c r="L1241" t="s">
        <v>32</v>
      </c>
      <c r="M1241" t="s">
        <v>63</v>
      </c>
      <c r="N1241" t="s">
        <v>34</v>
      </c>
      <c r="O1241" t="s">
        <v>24</v>
      </c>
      <c r="Q1241" s="2">
        <f>Ventas[[#This Row],[precio_base]]*Ventas[[#This Row],[cantidad]]</f>
        <v>319.95999999999998</v>
      </c>
      <c r="R1241" s="2">
        <f>Ventas[[#This Row],[Total bruto (antes de descuento)]]-Ventas[[#This Row],[total_venta]]</f>
        <v>0</v>
      </c>
    </row>
    <row r="1242" spans="1:18" x14ac:dyDescent="0.25">
      <c r="A1242" t="s">
        <v>1335</v>
      </c>
      <c r="B1242" s="1">
        <v>45646</v>
      </c>
      <c r="C1242" t="s">
        <v>94</v>
      </c>
      <c r="D1242" t="s">
        <v>18</v>
      </c>
      <c r="E1242">
        <v>5</v>
      </c>
      <c r="F1242" s="2">
        <v>899.99</v>
      </c>
      <c r="G1242">
        <v>0</v>
      </c>
      <c r="H1242" s="2">
        <v>899.99</v>
      </c>
      <c r="I1242" s="2">
        <v>4499.95</v>
      </c>
      <c r="J1242" t="s">
        <v>19</v>
      </c>
      <c r="K1242" t="s">
        <v>20</v>
      </c>
      <c r="L1242" t="s">
        <v>152</v>
      </c>
      <c r="M1242" t="s">
        <v>84</v>
      </c>
      <c r="N1242" t="s">
        <v>85</v>
      </c>
      <c r="O1242" t="s">
        <v>35</v>
      </c>
      <c r="P1242">
        <v>5</v>
      </c>
      <c r="Q1242" s="2">
        <f>Ventas[[#This Row],[precio_base]]*Ventas[[#This Row],[cantidad]]</f>
        <v>4499.95</v>
      </c>
      <c r="R1242" s="2">
        <f>Ventas[[#This Row],[Total bruto (antes de descuento)]]-Ventas[[#This Row],[total_venta]]</f>
        <v>0</v>
      </c>
    </row>
    <row r="1243" spans="1:18" x14ac:dyDescent="0.25">
      <c r="A1243" t="s">
        <v>1336</v>
      </c>
      <c r="B1243" s="1">
        <v>45416</v>
      </c>
      <c r="C1243" t="s">
        <v>72</v>
      </c>
      <c r="D1243" t="s">
        <v>31</v>
      </c>
      <c r="E1243">
        <v>2</v>
      </c>
      <c r="F1243" s="2">
        <v>29.99</v>
      </c>
      <c r="G1243">
        <v>5</v>
      </c>
      <c r="H1243" s="2">
        <v>28.49</v>
      </c>
      <c r="I1243" s="2">
        <v>56.98</v>
      </c>
      <c r="J1243" t="s">
        <v>19</v>
      </c>
      <c r="K1243" t="s">
        <v>20</v>
      </c>
      <c r="L1243" t="s">
        <v>32</v>
      </c>
      <c r="M1243" t="s">
        <v>120</v>
      </c>
      <c r="N1243" t="s">
        <v>23</v>
      </c>
      <c r="O1243" t="s">
        <v>24</v>
      </c>
      <c r="P1243">
        <v>2</v>
      </c>
      <c r="Q1243" s="2">
        <f>Ventas[[#This Row],[precio_base]]*Ventas[[#This Row],[cantidad]]</f>
        <v>59.98</v>
      </c>
      <c r="R1243" s="2">
        <f>Ventas[[#This Row],[Total bruto (antes de descuento)]]-Ventas[[#This Row],[total_venta]]</f>
        <v>3</v>
      </c>
    </row>
    <row r="1244" spans="1:18" x14ac:dyDescent="0.25">
      <c r="A1244" t="s">
        <v>1337</v>
      </c>
      <c r="B1244" s="1">
        <v>45142</v>
      </c>
      <c r="C1244" t="s">
        <v>42</v>
      </c>
      <c r="D1244" t="s">
        <v>43</v>
      </c>
      <c r="E1244">
        <v>2</v>
      </c>
      <c r="F1244" s="2">
        <v>349.99</v>
      </c>
      <c r="G1244">
        <v>15</v>
      </c>
      <c r="H1244" s="2">
        <v>297.49</v>
      </c>
      <c r="I1244" s="2">
        <v>594.98</v>
      </c>
      <c r="J1244" t="s">
        <v>51</v>
      </c>
      <c r="K1244" t="s">
        <v>52</v>
      </c>
      <c r="L1244" t="s">
        <v>21</v>
      </c>
      <c r="M1244" t="s">
        <v>53</v>
      </c>
      <c r="N1244" t="s">
        <v>54</v>
      </c>
      <c r="O1244" t="s">
        <v>35</v>
      </c>
      <c r="Q1244" s="2">
        <f>Ventas[[#This Row],[precio_base]]*Ventas[[#This Row],[cantidad]]</f>
        <v>699.98</v>
      </c>
      <c r="R1244" s="2">
        <f>Ventas[[#This Row],[Total bruto (antes de descuento)]]-Ventas[[#This Row],[total_venta]]</f>
        <v>105</v>
      </c>
    </row>
    <row r="1245" spans="1:18" x14ac:dyDescent="0.25">
      <c r="A1245" t="s">
        <v>1338</v>
      </c>
      <c r="B1245" s="1">
        <v>45426</v>
      </c>
      <c r="C1245" t="s">
        <v>76</v>
      </c>
      <c r="D1245" t="s">
        <v>31</v>
      </c>
      <c r="E1245">
        <v>4</v>
      </c>
      <c r="F1245" s="2">
        <v>69.989999999999995</v>
      </c>
      <c r="G1245">
        <v>0</v>
      </c>
      <c r="H1245" s="2">
        <v>69.989999999999995</v>
      </c>
      <c r="I1245" s="2">
        <v>279.95999999999998</v>
      </c>
      <c r="J1245" t="s">
        <v>116</v>
      </c>
      <c r="K1245" t="s">
        <v>52</v>
      </c>
      <c r="L1245" t="s">
        <v>21</v>
      </c>
      <c r="M1245" t="s">
        <v>73</v>
      </c>
      <c r="N1245" t="s">
        <v>74</v>
      </c>
      <c r="O1245" t="s">
        <v>35</v>
      </c>
      <c r="Q1245" s="2">
        <f>Ventas[[#This Row],[precio_base]]*Ventas[[#This Row],[cantidad]]</f>
        <v>279.95999999999998</v>
      </c>
      <c r="R1245" s="2">
        <f>Ventas[[#This Row],[Total bruto (antes de descuento)]]-Ventas[[#This Row],[total_venta]]</f>
        <v>0</v>
      </c>
    </row>
    <row r="1246" spans="1:18" x14ac:dyDescent="0.25">
      <c r="A1246" t="s">
        <v>1339</v>
      </c>
      <c r="B1246" s="1">
        <v>44949</v>
      </c>
      <c r="C1246" t="s">
        <v>50</v>
      </c>
      <c r="D1246" t="s">
        <v>27</v>
      </c>
      <c r="E1246">
        <v>4</v>
      </c>
      <c r="F1246" s="2">
        <v>149.99</v>
      </c>
      <c r="G1246">
        <v>0</v>
      </c>
      <c r="H1246" s="2">
        <v>149.99</v>
      </c>
      <c r="I1246" s="2">
        <v>599.96</v>
      </c>
      <c r="J1246" t="s">
        <v>19</v>
      </c>
      <c r="K1246" t="s">
        <v>57</v>
      </c>
      <c r="L1246" t="s">
        <v>28</v>
      </c>
      <c r="M1246" t="s">
        <v>101</v>
      </c>
      <c r="N1246" t="s">
        <v>102</v>
      </c>
      <c r="O1246" t="s">
        <v>35</v>
      </c>
      <c r="P1246">
        <v>4</v>
      </c>
      <c r="Q1246" s="2">
        <f>Ventas[[#This Row],[precio_base]]*Ventas[[#This Row],[cantidad]]</f>
        <v>599.96</v>
      </c>
      <c r="R1246" s="2">
        <f>Ventas[[#This Row],[Total bruto (antes de descuento)]]-Ventas[[#This Row],[total_venta]]</f>
        <v>0</v>
      </c>
    </row>
    <row r="1247" spans="1:18" x14ac:dyDescent="0.25">
      <c r="A1247" t="s">
        <v>1340</v>
      </c>
      <c r="B1247" s="1">
        <v>45000</v>
      </c>
      <c r="C1247" t="s">
        <v>87</v>
      </c>
      <c r="D1247" t="s">
        <v>27</v>
      </c>
      <c r="E1247">
        <v>3</v>
      </c>
      <c r="F1247" s="2">
        <v>249.99</v>
      </c>
      <c r="G1247">
        <v>0</v>
      </c>
      <c r="H1247" s="2">
        <v>249.99</v>
      </c>
      <c r="I1247" s="2">
        <v>749.97</v>
      </c>
      <c r="J1247" t="s">
        <v>51</v>
      </c>
      <c r="K1247" t="s">
        <v>44</v>
      </c>
      <c r="L1247" t="s">
        <v>45</v>
      </c>
      <c r="M1247" t="s">
        <v>22</v>
      </c>
      <c r="N1247" t="s">
        <v>23</v>
      </c>
      <c r="O1247" t="s">
        <v>24</v>
      </c>
      <c r="Q1247" s="2">
        <f>Ventas[[#This Row],[precio_base]]*Ventas[[#This Row],[cantidad]]</f>
        <v>749.97</v>
      </c>
      <c r="R1247" s="2">
        <f>Ventas[[#This Row],[Total bruto (antes de descuento)]]-Ventas[[#This Row],[total_venta]]</f>
        <v>0</v>
      </c>
    </row>
    <row r="1248" spans="1:18" x14ac:dyDescent="0.25">
      <c r="A1248" t="s">
        <v>1341</v>
      </c>
      <c r="B1248" s="1">
        <v>45026</v>
      </c>
      <c r="C1248" t="s">
        <v>78</v>
      </c>
      <c r="D1248" t="s">
        <v>18</v>
      </c>
      <c r="E1248">
        <v>3</v>
      </c>
      <c r="F1248" s="2">
        <v>349.99</v>
      </c>
      <c r="G1248">
        <v>20</v>
      </c>
      <c r="H1248" s="2">
        <v>279.99</v>
      </c>
      <c r="I1248" s="2">
        <v>839.97</v>
      </c>
      <c r="J1248" t="s">
        <v>51</v>
      </c>
      <c r="K1248" t="s">
        <v>52</v>
      </c>
      <c r="L1248" t="s">
        <v>32</v>
      </c>
      <c r="M1248" t="s">
        <v>67</v>
      </c>
      <c r="N1248" t="s">
        <v>68</v>
      </c>
      <c r="O1248" t="s">
        <v>35</v>
      </c>
      <c r="Q1248" s="2">
        <f>Ventas[[#This Row],[precio_base]]*Ventas[[#This Row],[cantidad]]</f>
        <v>1049.97</v>
      </c>
      <c r="R1248" s="2">
        <f>Ventas[[#This Row],[Total bruto (antes de descuento)]]-Ventas[[#This Row],[total_venta]]</f>
        <v>210</v>
      </c>
    </row>
    <row r="1249" spans="1:18" x14ac:dyDescent="0.25">
      <c r="A1249" t="s">
        <v>1342</v>
      </c>
      <c r="B1249" s="1">
        <v>45653</v>
      </c>
      <c r="C1249" t="s">
        <v>83</v>
      </c>
      <c r="D1249" t="s">
        <v>38</v>
      </c>
      <c r="E1249">
        <v>4</v>
      </c>
      <c r="F1249" s="2">
        <v>49.99</v>
      </c>
      <c r="G1249">
        <v>15</v>
      </c>
      <c r="H1249" s="2">
        <v>42.49</v>
      </c>
      <c r="I1249" s="2">
        <v>169.96</v>
      </c>
      <c r="J1249" t="s">
        <v>19</v>
      </c>
      <c r="K1249" t="s">
        <v>20</v>
      </c>
      <c r="L1249" t="s">
        <v>45</v>
      </c>
      <c r="M1249" t="s">
        <v>63</v>
      </c>
      <c r="N1249" t="s">
        <v>34</v>
      </c>
      <c r="O1249" t="s">
        <v>24</v>
      </c>
      <c r="P1249">
        <v>2</v>
      </c>
      <c r="Q1249" s="2">
        <f>Ventas[[#This Row],[precio_base]]*Ventas[[#This Row],[cantidad]]</f>
        <v>199.96</v>
      </c>
      <c r="R1249" s="2">
        <f>Ventas[[#This Row],[Total bruto (antes de descuento)]]-Ventas[[#This Row],[total_venta]]</f>
        <v>30</v>
      </c>
    </row>
    <row r="1250" spans="1:18" x14ac:dyDescent="0.25">
      <c r="A1250" t="s">
        <v>1343</v>
      </c>
      <c r="B1250" s="1">
        <v>45141</v>
      </c>
      <c r="C1250" t="s">
        <v>115</v>
      </c>
      <c r="D1250" t="s">
        <v>18</v>
      </c>
      <c r="E1250">
        <v>2</v>
      </c>
      <c r="F1250" s="2">
        <v>799.99</v>
      </c>
      <c r="G1250">
        <v>15</v>
      </c>
      <c r="H1250" s="2">
        <v>679.99</v>
      </c>
      <c r="I1250" s="2">
        <v>1359.98</v>
      </c>
      <c r="J1250" t="s">
        <v>51</v>
      </c>
      <c r="K1250" t="s">
        <v>44</v>
      </c>
      <c r="L1250" t="s">
        <v>45</v>
      </c>
      <c r="M1250" t="s">
        <v>123</v>
      </c>
      <c r="N1250" t="s">
        <v>124</v>
      </c>
      <c r="O1250" t="s">
        <v>24</v>
      </c>
      <c r="Q1250" s="2">
        <f>Ventas[[#This Row],[precio_base]]*Ventas[[#This Row],[cantidad]]</f>
        <v>1599.98</v>
      </c>
      <c r="R1250" s="2">
        <f>Ventas[[#This Row],[Total bruto (antes de descuento)]]-Ventas[[#This Row],[total_venta]]</f>
        <v>240</v>
      </c>
    </row>
    <row r="1251" spans="1:18" x14ac:dyDescent="0.25">
      <c r="A1251" t="s">
        <v>1344</v>
      </c>
      <c r="B1251" s="1">
        <v>45621</v>
      </c>
      <c r="C1251" t="s">
        <v>70</v>
      </c>
      <c r="D1251" t="s">
        <v>31</v>
      </c>
      <c r="E1251">
        <v>2</v>
      </c>
      <c r="F1251" s="2">
        <v>59.99</v>
      </c>
      <c r="G1251">
        <v>5</v>
      </c>
      <c r="H1251" s="2">
        <v>56.99</v>
      </c>
      <c r="I1251" s="2">
        <v>113.98</v>
      </c>
      <c r="J1251" t="s">
        <v>90</v>
      </c>
      <c r="K1251" t="s">
        <v>44</v>
      </c>
      <c r="L1251" t="s">
        <v>21</v>
      </c>
      <c r="M1251" t="s">
        <v>120</v>
      </c>
      <c r="N1251" t="s">
        <v>23</v>
      </c>
      <c r="O1251" t="s">
        <v>24</v>
      </c>
      <c r="Q1251" s="2">
        <f>Ventas[[#This Row],[precio_base]]*Ventas[[#This Row],[cantidad]]</f>
        <v>119.98</v>
      </c>
      <c r="R1251" s="2">
        <f>Ventas[[#This Row],[Total bruto (antes de descuento)]]-Ventas[[#This Row],[total_venta]]</f>
        <v>6</v>
      </c>
    </row>
    <row r="1252" spans="1:18" x14ac:dyDescent="0.25">
      <c r="A1252" t="s">
        <v>1345</v>
      </c>
      <c r="B1252" s="1">
        <v>44984</v>
      </c>
      <c r="C1252" t="s">
        <v>17</v>
      </c>
      <c r="D1252" t="s">
        <v>18</v>
      </c>
      <c r="E1252">
        <v>3</v>
      </c>
      <c r="F1252" s="2">
        <v>45.99</v>
      </c>
      <c r="G1252">
        <v>5</v>
      </c>
      <c r="H1252" s="2">
        <v>43.69</v>
      </c>
      <c r="I1252" s="2">
        <v>131.07</v>
      </c>
      <c r="J1252" t="s">
        <v>19</v>
      </c>
      <c r="K1252" t="s">
        <v>20</v>
      </c>
      <c r="L1252" t="s">
        <v>45</v>
      </c>
      <c r="M1252" t="s">
        <v>46</v>
      </c>
      <c r="N1252" t="s">
        <v>47</v>
      </c>
      <c r="O1252" t="s">
        <v>48</v>
      </c>
      <c r="P1252">
        <v>3</v>
      </c>
      <c r="Q1252" s="2">
        <f>Ventas[[#This Row],[precio_base]]*Ventas[[#This Row],[cantidad]]</f>
        <v>137.97</v>
      </c>
      <c r="R1252" s="2">
        <f>Ventas[[#This Row],[Total bruto (antes de descuento)]]-Ventas[[#This Row],[total_venta]]</f>
        <v>6.9000000000000057</v>
      </c>
    </row>
    <row r="1253" spans="1:18" x14ac:dyDescent="0.25">
      <c r="A1253" t="s">
        <v>1346</v>
      </c>
      <c r="B1253" s="1">
        <v>45534</v>
      </c>
      <c r="C1253" t="s">
        <v>37</v>
      </c>
      <c r="D1253" t="s">
        <v>38</v>
      </c>
      <c r="E1253">
        <v>2</v>
      </c>
      <c r="F1253" s="2">
        <v>34.99</v>
      </c>
      <c r="G1253">
        <v>15</v>
      </c>
      <c r="H1253" s="2">
        <v>29.74</v>
      </c>
      <c r="I1253" s="2">
        <v>59.48</v>
      </c>
      <c r="J1253" t="s">
        <v>51</v>
      </c>
      <c r="K1253" t="s">
        <v>20</v>
      </c>
      <c r="L1253" t="s">
        <v>21</v>
      </c>
      <c r="M1253" t="s">
        <v>22</v>
      </c>
      <c r="N1253" t="s">
        <v>23</v>
      </c>
      <c r="O1253" t="s">
        <v>24</v>
      </c>
      <c r="Q1253" s="2">
        <f>Ventas[[#This Row],[precio_base]]*Ventas[[#This Row],[cantidad]]</f>
        <v>69.98</v>
      </c>
      <c r="R1253" s="2">
        <f>Ventas[[#This Row],[Total bruto (antes de descuento)]]-Ventas[[#This Row],[total_venta]]</f>
        <v>10.500000000000007</v>
      </c>
    </row>
    <row r="1254" spans="1:18" x14ac:dyDescent="0.25">
      <c r="A1254" t="s">
        <v>1347</v>
      </c>
      <c r="B1254" s="1">
        <v>45427</v>
      </c>
      <c r="C1254" t="s">
        <v>83</v>
      </c>
      <c r="D1254" t="s">
        <v>38</v>
      </c>
      <c r="E1254">
        <v>5</v>
      </c>
      <c r="F1254" s="2">
        <v>49.99</v>
      </c>
      <c r="G1254">
        <v>0</v>
      </c>
      <c r="H1254" s="2">
        <v>49.99</v>
      </c>
      <c r="I1254" s="2">
        <v>249.95</v>
      </c>
      <c r="J1254" t="s">
        <v>51</v>
      </c>
      <c r="K1254" t="s">
        <v>52</v>
      </c>
      <c r="L1254" t="s">
        <v>152</v>
      </c>
      <c r="M1254" t="s">
        <v>120</v>
      </c>
      <c r="N1254" t="s">
        <v>23</v>
      </c>
      <c r="O1254" t="s">
        <v>24</v>
      </c>
      <c r="Q1254" s="2">
        <f>Ventas[[#This Row],[precio_base]]*Ventas[[#This Row],[cantidad]]</f>
        <v>249.95000000000002</v>
      </c>
      <c r="R1254" s="2">
        <f>Ventas[[#This Row],[Total bruto (antes de descuento)]]-Ventas[[#This Row],[total_venta]]</f>
        <v>0</v>
      </c>
    </row>
    <row r="1255" spans="1:18" x14ac:dyDescent="0.25">
      <c r="A1255" t="s">
        <v>1348</v>
      </c>
      <c r="B1255" s="1">
        <v>45613</v>
      </c>
      <c r="C1255" t="s">
        <v>81</v>
      </c>
      <c r="D1255" t="s">
        <v>31</v>
      </c>
      <c r="E1255">
        <v>1</v>
      </c>
      <c r="F1255" s="2">
        <v>189.99</v>
      </c>
      <c r="G1255">
        <v>20</v>
      </c>
      <c r="H1255" s="2">
        <v>151.99</v>
      </c>
      <c r="I1255" s="2">
        <v>151.99</v>
      </c>
      <c r="J1255" t="s">
        <v>19</v>
      </c>
      <c r="K1255" t="s">
        <v>44</v>
      </c>
      <c r="L1255" t="s">
        <v>21</v>
      </c>
      <c r="M1255" t="s">
        <v>67</v>
      </c>
      <c r="N1255" t="s">
        <v>68</v>
      </c>
      <c r="O1255" t="s">
        <v>35</v>
      </c>
      <c r="P1255">
        <v>4</v>
      </c>
      <c r="Q1255" s="2">
        <f>Ventas[[#This Row],[precio_base]]*Ventas[[#This Row],[cantidad]]</f>
        <v>189.99</v>
      </c>
      <c r="R1255" s="2">
        <f>Ventas[[#This Row],[Total bruto (antes de descuento)]]-Ventas[[#This Row],[total_venta]]</f>
        <v>38</v>
      </c>
    </row>
    <row r="1256" spans="1:18" x14ac:dyDescent="0.25">
      <c r="A1256" t="s">
        <v>1349</v>
      </c>
      <c r="B1256" s="1">
        <v>45303</v>
      </c>
      <c r="C1256" t="s">
        <v>104</v>
      </c>
      <c r="D1256" t="s">
        <v>18</v>
      </c>
      <c r="E1256">
        <v>1</v>
      </c>
      <c r="F1256" s="2">
        <v>1199.99</v>
      </c>
      <c r="G1256">
        <v>0</v>
      </c>
      <c r="H1256" s="2">
        <v>1199.99</v>
      </c>
      <c r="I1256" s="2">
        <v>1199.99</v>
      </c>
      <c r="J1256" t="s">
        <v>19</v>
      </c>
      <c r="K1256" t="s">
        <v>44</v>
      </c>
      <c r="L1256" t="s">
        <v>152</v>
      </c>
      <c r="M1256" t="s">
        <v>101</v>
      </c>
      <c r="N1256" t="s">
        <v>102</v>
      </c>
      <c r="O1256" t="s">
        <v>35</v>
      </c>
      <c r="P1256">
        <v>2</v>
      </c>
      <c r="Q1256" s="2">
        <f>Ventas[[#This Row],[precio_base]]*Ventas[[#This Row],[cantidad]]</f>
        <v>1199.99</v>
      </c>
      <c r="R1256" s="2">
        <f>Ventas[[#This Row],[Total bruto (antes de descuento)]]-Ventas[[#This Row],[total_venta]]</f>
        <v>0</v>
      </c>
    </row>
    <row r="1257" spans="1:18" x14ac:dyDescent="0.25">
      <c r="A1257" t="s">
        <v>1350</v>
      </c>
      <c r="B1257" s="1">
        <v>44950</v>
      </c>
      <c r="C1257" t="s">
        <v>26</v>
      </c>
      <c r="D1257" t="s">
        <v>27</v>
      </c>
      <c r="E1257">
        <v>5</v>
      </c>
      <c r="F1257" s="2">
        <v>399.99</v>
      </c>
      <c r="G1257">
        <v>10</v>
      </c>
      <c r="H1257" s="2">
        <v>359.99</v>
      </c>
      <c r="I1257" s="2">
        <v>1799.95</v>
      </c>
      <c r="J1257" t="s">
        <v>19</v>
      </c>
      <c r="K1257" t="s">
        <v>44</v>
      </c>
      <c r="L1257" t="s">
        <v>28</v>
      </c>
      <c r="M1257" t="s">
        <v>84</v>
      </c>
      <c r="N1257" t="s">
        <v>85</v>
      </c>
      <c r="O1257" t="s">
        <v>35</v>
      </c>
      <c r="P1257">
        <v>2</v>
      </c>
      <c r="Q1257" s="2">
        <f>Ventas[[#This Row],[precio_base]]*Ventas[[#This Row],[cantidad]]</f>
        <v>1999.95</v>
      </c>
      <c r="R1257" s="2">
        <f>Ventas[[#This Row],[Total bruto (antes de descuento)]]-Ventas[[#This Row],[total_venta]]</f>
        <v>200</v>
      </c>
    </row>
    <row r="1258" spans="1:18" x14ac:dyDescent="0.25">
      <c r="A1258" t="s">
        <v>1351</v>
      </c>
      <c r="B1258" s="1">
        <v>45320</v>
      </c>
      <c r="C1258" t="s">
        <v>92</v>
      </c>
      <c r="D1258" t="s">
        <v>27</v>
      </c>
      <c r="E1258">
        <v>4</v>
      </c>
      <c r="F1258" s="2">
        <v>79.989999999999995</v>
      </c>
      <c r="G1258">
        <v>0</v>
      </c>
      <c r="H1258" s="2">
        <v>79.989999999999995</v>
      </c>
      <c r="I1258" s="2">
        <v>319.95999999999998</v>
      </c>
      <c r="J1258" t="s">
        <v>19</v>
      </c>
      <c r="K1258" t="s">
        <v>20</v>
      </c>
      <c r="L1258" t="s">
        <v>28</v>
      </c>
      <c r="M1258" t="s">
        <v>95</v>
      </c>
      <c r="N1258" t="s">
        <v>96</v>
      </c>
      <c r="O1258" t="s">
        <v>48</v>
      </c>
      <c r="P1258">
        <v>5</v>
      </c>
      <c r="Q1258" s="2">
        <f>Ventas[[#This Row],[precio_base]]*Ventas[[#This Row],[cantidad]]</f>
        <v>319.95999999999998</v>
      </c>
      <c r="R1258" s="2">
        <f>Ventas[[#This Row],[Total bruto (antes de descuento)]]-Ventas[[#This Row],[total_venta]]</f>
        <v>0</v>
      </c>
    </row>
    <row r="1259" spans="1:18" x14ac:dyDescent="0.25">
      <c r="A1259" t="s">
        <v>1352</v>
      </c>
      <c r="B1259" s="1">
        <v>45116</v>
      </c>
      <c r="C1259" t="s">
        <v>109</v>
      </c>
      <c r="D1259" t="s">
        <v>38</v>
      </c>
      <c r="E1259">
        <v>1</v>
      </c>
      <c r="F1259" s="2">
        <v>39.99</v>
      </c>
      <c r="G1259">
        <v>5</v>
      </c>
      <c r="H1259" s="2">
        <v>37.99</v>
      </c>
      <c r="I1259" s="2">
        <v>37.99</v>
      </c>
      <c r="J1259" t="s">
        <v>19</v>
      </c>
      <c r="K1259" t="s">
        <v>52</v>
      </c>
      <c r="L1259" t="s">
        <v>45</v>
      </c>
      <c r="M1259" t="s">
        <v>65</v>
      </c>
      <c r="N1259" t="s">
        <v>54</v>
      </c>
      <c r="O1259" t="s">
        <v>35</v>
      </c>
      <c r="P1259">
        <v>1</v>
      </c>
      <c r="Q1259" s="2">
        <f>Ventas[[#This Row],[precio_base]]*Ventas[[#This Row],[cantidad]]</f>
        <v>39.99</v>
      </c>
      <c r="R1259" s="2">
        <f>Ventas[[#This Row],[Total bruto (antes de descuento)]]-Ventas[[#This Row],[total_venta]]</f>
        <v>2</v>
      </c>
    </row>
    <row r="1260" spans="1:18" x14ac:dyDescent="0.25">
      <c r="A1260" t="s">
        <v>1353</v>
      </c>
      <c r="B1260" s="1">
        <v>45458</v>
      </c>
      <c r="C1260" t="s">
        <v>143</v>
      </c>
      <c r="D1260" t="s">
        <v>43</v>
      </c>
      <c r="E1260">
        <v>5</v>
      </c>
      <c r="F1260" s="2">
        <v>34.99</v>
      </c>
      <c r="G1260">
        <v>10</v>
      </c>
      <c r="H1260" s="2">
        <v>31.49</v>
      </c>
      <c r="I1260" s="2">
        <v>157.44999999999999</v>
      </c>
      <c r="J1260" t="s">
        <v>51</v>
      </c>
      <c r="K1260" t="s">
        <v>44</v>
      </c>
      <c r="L1260" t="s">
        <v>28</v>
      </c>
      <c r="M1260" t="s">
        <v>39</v>
      </c>
      <c r="N1260" t="s">
        <v>40</v>
      </c>
      <c r="O1260" t="s">
        <v>35</v>
      </c>
      <c r="Q1260" s="2">
        <f>Ventas[[#This Row],[precio_base]]*Ventas[[#This Row],[cantidad]]</f>
        <v>174.95000000000002</v>
      </c>
      <c r="R1260" s="2">
        <f>Ventas[[#This Row],[Total bruto (antes de descuento)]]-Ventas[[#This Row],[total_venta]]</f>
        <v>17.500000000000028</v>
      </c>
    </row>
    <row r="1261" spans="1:18" x14ac:dyDescent="0.25">
      <c r="A1261" t="s">
        <v>1354</v>
      </c>
      <c r="B1261" s="1">
        <v>45139</v>
      </c>
      <c r="C1261" t="s">
        <v>81</v>
      </c>
      <c r="D1261" t="s">
        <v>31</v>
      </c>
      <c r="E1261">
        <v>1</v>
      </c>
      <c r="F1261" s="2">
        <v>189.99</v>
      </c>
      <c r="G1261">
        <v>0</v>
      </c>
      <c r="H1261" s="2">
        <v>189.99</v>
      </c>
      <c r="I1261" s="2">
        <v>189.99</v>
      </c>
      <c r="J1261" t="s">
        <v>62</v>
      </c>
      <c r="K1261" t="s">
        <v>20</v>
      </c>
      <c r="L1261" t="s">
        <v>45</v>
      </c>
      <c r="M1261" t="s">
        <v>84</v>
      </c>
      <c r="N1261" t="s">
        <v>85</v>
      </c>
      <c r="O1261" t="s">
        <v>35</v>
      </c>
      <c r="Q1261" s="2">
        <f>Ventas[[#This Row],[precio_base]]*Ventas[[#This Row],[cantidad]]</f>
        <v>189.99</v>
      </c>
      <c r="R1261" s="2">
        <f>Ventas[[#This Row],[Total bruto (antes de descuento)]]-Ventas[[#This Row],[total_venta]]</f>
        <v>0</v>
      </c>
    </row>
    <row r="1262" spans="1:18" x14ac:dyDescent="0.25">
      <c r="A1262" t="s">
        <v>1355</v>
      </c>
      <c r="B1262" s="1">
        <v>45248</v>
      </c>
      <c r="C1262" t="s">
        <v>17</v>
      </c>
      <c r="D1262" t="s">
        <v>18</v>
      </c>
      <c r="E1262">
        <v>1</v>
      </c>
      <c r="F1262" s="2">
        <v>45.99</v>
      </c>
      <c r="G1262">
        <v>0</v>
      </c>
      <c r="H1262" s="2">
        <v>45.99</v>
      </c>
      <c r="I1262" s="2">
        <v>45.99</v>
      </c>
      <c r="J1262" t="s">
        <v>19</v>
      </c>
      <c r="K1262" t="s">
        <v>20</v>
      </c>
      <c r="L1262" t="s">
        <v>45</v>
      </c>
      <c r="M1262" t="s">
        <v>73</v>
      </c>
      <c r="N1262" t="s">
        <v>74</v>
      </c>
      <c r="O1262" t="s">
        <v>35</v>
      </c>
      <c r="P1262">
        <v>1</v>
      </c>
      <c r="Q1262" s="2">
        <f>Ventas[[#This Row],[precio_base]]*Ventas[[#This Row],[cantidad]]</f>
        <v>45.99</v>
      </c>
      <c r="R1262" s="2">
        <f>Ventas[[#This Row],[Total bruto (antes de descuento)]]-Ventas[[#This Row],[total_venta]]</f>
        <v>0</v>
      </c>
    </row>
    <row r="1263" spans="1:18" x14ac:dyDescent="0.25">
      <c r="A1263" t="s">
        <v>1356</v>
      </c>
      <c r="B1263" s="1">
        <v>45013</v>
      </c>
      <c r="C1263" t="s">
        <v>17</v>
      </c>
      <c r="D1263" t="s">
        <v>18</v>
      </c>
      <c r="E1263">
        <v>5</v>
      </c>
      <c r="F1263" s="2">
        <v>45.99</v>
      </c>
      <c r="G1263">
        <v>0</v>
      </c>
      <c r="H1263" s="2">
        <v>45.99</v>
      </c>
      <c r="I1263" s="2">
        <v>229.95</v>
      </c>
      <c r="J1263" t="s">
        <v>19</v>
      </c>
      <c r="K1263" t="s">
        <v>20</v>
      </c>
      <c r="L1263" t="s">
        <v>152</v>
      </c>
      <c r="M1263" t="s">
        <v>65</v>
      </c>
      <c r="N1263" t="s">
        <v>54</v>
      </c>
      <c r="O1263" t="s">
        <v>35</v>
      </c>
      <c r="P1263">
        <v>1</v>
      </c>
      <c r="Q1263" s="2">
        <f>Ventas[[#This Row],[precio_base]]*Ventas[[#This Row],[cantidad]]</f>
        <v>229.95000000000002</v>
      </c>
      <c r="R1263" s="2">
        <f>Ventas[[#This Row],[Total bruto (antes de descuento)]]-Ventas[[#This Row],[total_venta]]</f>
        <v>0</v>
      </c>
    </row>
    <row r="1264" spans="1:18" x14ac:dyDescent="0.25">
      <c r="A1264" t="s">
        <v>1357</v>
      </c>
      <c r="B1264" s="1">
        <v>45181</v>
      </c>
      <c r="C1264" t="s">
        <v>83</v>
      </c>
      <c r="D1264" t="s">
        <v>38</v>
      </c>
      <c r="E1264">
        <v>1</v>
      </c>
      <c r="F1264" s="2">
        <v>49.99</v>
      </c>
      <c r="G1264">
        <v>10</v>
      </c>
      <c r="H1264" s="2">
        <v>44.99</v>
      </c>
      <c r="I1264" s="2">
        <v>44.99</v>
      </c>
      <c r="J1264" t="s">
        <v>90</v>
      </c>
      <c r="K1264" t="s">
        <v>44</v>
      </c>
      <c r="L1264" t="s">
        <v>45</v>
      </c>
      <c r="M1264" t="s">
        <v>58</v>
      </c>
      <c r="N1264" t="s">
        <v>59</v>
      </c>
      <c r="O1264" t="s">
        <v>24</v>
      </c>
      <c r="Q1264" s="2">
        <f>Ventas[[#This Row],[precio_base]]*Ventas[[#This Row],[cantidad]]</f>
        <v>49.99</v>
      </c>
      <c r="R1264" s="2">
        <f>Ventas[[#This Row],[Total bruto (antes de descuento)]]-Ventas[[#This Row],[total_venta]]</f>
        <v>5</v>
      </c>
    </row>
    <row r="1265" spans="1:18" x14ac:dyDescent="0.25">
      <c r="A1265" t="s">
        <v>1358</v>
      </c>
      <c r="B1265" s="1">
        <v>45517</v>
      </c>
      <c r="C1265" t="s">
        <v>92</v>
      </c>
      <c r="D1265" t="s">
        <v>27</v>
      </c>
      <c r="E1265">
        <v>3</v>
      </c>
      <c r="F1265" s="2">
        <v>79.989999999999995</v>
      </c>
      <c r="G1265">
        <v>10</v>
      </c>
      <c r="H1265" s="2">
        <v>71.989999999999995</v>
      </c>
      <c r="I1265" s="2">
        <v>215.97</v>
      </c>
      <c r="J1265" t="s">
        <v>90</v>
      </c>
      <c r="K1265" t="s">
        <v>44</v>
      </c>
      <c r="L1265" t="s">
        <v>45</v>
      </c>
      <c r="M1265" t="s">
        <v>123</v>
      </c>
      <c r="N1265" t="s">
        <v>124</v>
      </c>
      <c r="O1265" t="s">
        <v>24</v>
      </c>
      <c r="Q1265" s="2">
        <f>Ventas[[#This Row],[precio_base]]*Ventas[[#This Row],[cantidad]]</f>
        <v>239.96999999999997</v>
      </c>
      <c r="R1265" s="2">
        <f>Ventas[[#This Row],[Total bruto (antes de descuento)]]-Ventas[[#This Row],[total_venta]]</f>
        <v>23.999999999999972</v>
      </c>
    </row>
    <row r="1266" spans="1:18" x14ac:dyDescent="0.25">
      <c r="A1266" t="s">
        <v>1359</v>
      </c>
      <c r="B1266" s="1">
        <v>45631</v>
      </c>
      <c r="C1266" t="s">
        <v>17</v>
      </c>
      <c r="D1266" t="s">
        <v>18</v>
      </c>
      <c r="E1266">
        <v>1</v>
      </c>
      <c r="F1266" s="2">
        <v>45.99</v>
      </c>
      <c r="G1266">
        <v>0</v>
      </c>
      <c r="H1266" s="2">
        <v>45.99</v>
      </c>
      <c r="I1266" s="2">
        <v>45.99</v>
      </c>
      <c r="J1266" t="s">
        <v>19</v>
      </c>
      <c r="K1266" t="s">
        <v>20</v>
      </c>
      <c r="L1266" t="s">
        <v>32</v>
      </c>
      <c r="M1266" t="s">
        <v>63</v>
      </c>
      <c r="N1266" t="s">
        <v>34</v>
      </c>
      <c r="O1266" t="s">
        <v>24</v>
      </c>
      <c r="P1266">
        <v>2</v>
      </c>
      <c r="Q1266" s="2">
        <f>Ventas[[#This Row],[precio_base]]*Ventas[[#This Row],[cantidad]]</f>
        <v>45.99</v>
      </c>
      <c r="R1266" s="2">
        <f>Ventas[[#This Row],[Total bruto (antes de descuento)]]-Ventas[[#This Row],[total_venta]]</f>
        <v>0</v>
      </c>
    </row>
    <row r="1267" spans="1:18" x14ac:dyDescent="0.25">
      <c r="A1267" t="s">
        <v>1360</v>
      </c>
      <c r="B1267" s="1">
        <v>45543</v>
      </c>
      <c r="C1267" t="s">
        <v>50</v>
      </c>
      <c r="D1267" t="s">
        <v>27</v>
      </c>
      <c r="E1267">
        <v>2</v>
      </c>
      <c r="F1267" s="2">
        <v>149.99</v>
      </c>
      <c r="G1267">
        <v>10</v>
      </c>
      <c r="H1267" s="2">
        <v>134.99</v>
      </c>
      <c r="I1267" s="2">
        <v>269.98</v>
      </c>
      <c r="J1267" t="s">
        <v>19</v>
      </c>
      <c r="K1267" t="s">
        <v>44</v>
      </c>
      <c r="L1267" t="s">
        <v>45</v>
      </c>
      <c r="M1267" t="s">
        <v>63</v>
      </c>
      <c r="N1267" t="s">
        <v>34</v>
      </c>
      <c r="O1267" t="s">
        <v>24</v>
      </c>
      <c r="P1267">
        <v>5</v>
      </c>
      <c r="Q1267" s="2">
        <f>Ventas[[#This Row],[precio_base]]*Ventas[[#This Row],[cantidad]]</f>
        <v>299.98</v>
      </c>
      <c r="R1267" s="2">
        <f>Ventas[[#This Row],[Total bruto (antes de descuento)]]-Ventas[[#This Row],[total_venta]]</f>
        <v>30</v>
      </c>
    </row>
    <row r="1268" spans="1:18" x14ac:dyDescent="0.25">
      <c r="A1268" t="s">
        <v>1361</v>
      </c>
      <c r="B1268" s="1">
        <v>45188</v>
      </c>
      <c r="C1268" t="s">
        <v>61</v>
      </c>
      <c r="D1268" t="s">
        <v>38</v>
      </c>
      <c r="E1268">
        <v>4</v>
      </c>
      <c r="F1268" s="2">
        <v>19.989999999999998</v>
      </c>
      <c r="G1268">
        <v>15</v>
      </c>
      <c r="H1268" s="2">
        <v>16.989999999999998</v>
      </c>
      <c r="I1268" s="2">
        <v>67.959999999999994</v>
      </c>
      <c r="J1268" t="s">
        <v>90</v>
      </c>
      <c r="K1268" t="s">
        <v>44</v>
      </c>
      <c r="L1268" t="s">
        <v>152</v>
      </c>
      <c r="M1268" t="s">
        <v>120</v>
      </c>
      <c r="N1268" t="s">
        <v>23</v>
      </c>
      <c r="O1268" t="s">
        <v>24</v>
      </c>
      <c r="Q1268" s="2">
        <f>Ventas[[#This Row],[precio_base]]*Ventas[[#This Row],[cantidad]]</f>
        <v>79.959999999999994</v>
      </c>
      <c r="R1268" s="2">
        <f>Ventas[[#This Row],[Total bruto (antes de descuento)]]-Ventas[[#This Row],[total_venta]]</f>
        <v>12</v>
      </c>
    </row>
    <row r="1269" spans="1:18" x14ac:dyDescent="0.25">
      <c r="A1269" t="s">
        <v>1362</v>
      </c>
      <c r="B1269" s="1">
        <v>45619</v>
      </c>
      <c r="C1269" t="s">
        <v>37</v>
      </c>
      <c r="D1269" t="s">
        <v>38</v>
      </c>
      <c r="E1269">
        <v>2</v>
      </c>
      <c r="F1269" s="2">
        <v>34.99</v>
      </c>
      <c r="G1269">
        <v>10</v>
      </c>
      <c r="H1269" s="2">
        <v>31.49</v>
      </c>
      <c r="I1269" s="2">
        <v>62.98</v>
      </c>
      <c r="J1269" t="s">
        <v>19</v>
      </c>
      <c r="K1269" t="s">
        <v>44</v>
      </c>
      <c r="L1269" t="s">
        <v>152</v>
      </c>
      <c r="M1269" t="s">
        <v>73</v>
      </c>
      <c r="N1269" t="s">
        <v>74</v>
      </c>
      <c r="O1269" t="s">
        <v>35</v>
      </c>
      <c r="P1269">
        <v>2</v>
      </c>
      <c r="Q1269" s="2">
        <f>Ventas[[#This Row],[precio_base]]*Ventas[[#This Row],[cantidad]]</f>
        <v>69.98</v>
      </c>
      <c r="R1269" s="2">
        <f>Ventas[[#This Row],[Total bruto (antes de descuento)]]-Ventas[[#This Row],[total_venta]]</f>
        <v>7.0000000000000071</v>
      </c>
    </row>
    <row r="1270" spans="1:18" x14ac:dyDescent="0.25">
      <c r="A1270" t="s">
        <v>1363</v>
      </c>
      <c r="B1270" s="1">
        <v>45308</v>
      </c>
      <c r="C1270" t="s">
        <v>26</v>
      </c>
      <c r="D1270" t="s">
        <v>27</v>
      </c>
      <c r="E1270">
        <v>5</v>
      </c>
      <c r="F1270" s="2">
        <v>399.99</v>
      </c>
      <c r="G1270">
        <v>10</v>
      </c>
      <c r="H1270" s="2">
        <v>359.99</v>
      </c>
      <c r="I1270" s="2">
        <v>1799.95</v>
      </c>
      <c r="J1270" t="s">
        <v>19</v>
      </c>
      <c r="K1270" t="s">
        <v>20</v>
      </c>
      <c r="L1270" t="s">
        <v>152</v>
      </c>
      <c r="M1270" t="s">
        <v>67</v>
      </c>
      <c r="N1270" t="s">
        <v>68</v>
      </c>
      <c r="O1270" t="s">
        <v>35</v>
      </c>
      <c r="P1270">
        <v>4</v>
      </c>
      <c r="Q1270" s="2">
        <f>Ventas[[#This Row],[precio_base]]*Ventas[[#This Row],[cantidad]]</f>
        <v>1999.95</v>
      </c>
      <c r="R1270" s="2">
        <f>Ventas[[#This Row],[Total bruto (antes de descuento)]]-Ventas[[#This Row],[total_venta]]</f>
        <v>200</v>
      </c>
    </row>
    <row r="1271" spans="1:18" x14ac:dyDescent="0.25">
      <c r="A1271" t="s">
        <v>1364</v>
      </c>
      <c r="B1271" s="1">
        <v>45315</v>
      </c>
      <c r="C1271" t="s">
        <v>104</v>
      </c>
      <c r="D1271" t="s">
        <v>18</v>
      </c>
      <c r="E1271">
        <v>5</v>
      </c>
      <c r="F1271" s="2">
        <v>1199.99</v>
      </c>
      <c r="G1271">
        <v>0</v>
      </c>
      <c r="H1271" s="2">
        <v>1199.99</v>
      </c>
      <c r="I1271" s="2">
        <v>5999.95</v>
      </c>
      <c r="J1271" t="s">
        <v>19</v>
      </c>
      <c r="K1271" t="s">
        <v>44</v>
      </c>
      <c r="L1271" t="s">
        <v>28</v>
      </c>
      <c r="M1271" t="s">
        <v>95</v>
      </c>
      <c r="N1271" t="s">
        <v>96</v>
      </c>
      <c r="O1271" t="s">
        <v>48</v>
      </c>
      <c r="P1271">
        <v>4</v>
      </c>
      <c r="Q1271" s="2">
        <f>Ventas[[#This Row],[precio_base]]*Ventas[[#This Row],[cantidad]]</f>
        <v>5999.95</v>
      </c>
      <c r="R1271" s="2">
        <f>Ventas[[#This Row],[Total bruto (antes de descuento)]]-Ventas[[#This Row],[total_venta]]</f>
        <v>0</v>
      </c>
    </row>
    <row r="1272" spans="1:18" x14ac:dyDescent="0.25">
      <c r="A1272" t="s">
        <v>1365</v>
      </c>
      <c r="B1272" s="1">
        <v>44994</v>
      </c>
      <c r="C1272" t="s">
        <v>141</v>
      </c>
      <c r="D1272" t="s">
        <v>38</v>
      </c>
      <c r="E1272">
        <v>1</v>
      </c>
      <c r="F1272" s="2">
        <v>89.99</v>
      </c>
      <c r="G1272">
        <v>0</v>
      </c>
      <c r="H1272" s="2">
        <v>89.99</v>
      </c>
      <c r="I1272" s="2">
        <v>89.99</v>
      </c>
      <c r="J1272" t="s">
        <v>90</v>
      </c>
      <c r="K1272" t="s">
        <v>20</v>
      </c>
      <c r="L1272" t="s">
        <v>32</v>
      </c>
      <c r="M1272" t="s">
        <v>39</v>
      </c>
      <c r="N1272" t="s">
        <v>40</v>
      </c>
      <c r="O1272" t="s">
        <v>35</v>
      </c>
      <c r="Q1272" s="2">
        <f>Ventas[[#This Row],[precio_base]]*Ventas[[#This Row],[cantidad]]</f>
        <v>89.99</v>
      </c>
      <c r="R1272" s="2">
        <f>Ventas[[#This Row],[Total bruto (antes de descuento)]]-Ventas[[#This Row],[total_venta]]</f>
        <v>0</v>
      </c>
    </row>
    <row r="1273" spans="1:18" x14ac:dyDescent="0.25">
      <c r="A1273" t="s">
        <v>1366</v>
      </c>
      <c r="B1273" s="1">
        <v>45158</v>
      </c>
      <c r="C1273" t="s">
        <v>61</v>
      </c>
      <c r="D1273" t="s">
        <v>38</v>
      </c>
      <c r="E1273">
        <v>1</v>
      </c>
      <c r="F1273" s="2">
        <v>19.989999999999998</v>
      </c>
      <c r="G1273">
        <v>0</v>
      </c>
      <c r="H1273" s="2">
        <v>19.989999999999998</v>
      </c>
      <c r="I1273" s="2">
        <v>19.989999999999998</v>
      </c>
      <c r="J1273" t="s">
        <v>19</v>
      </c>
      <c r="K1273" t="s">
        <v>20</v>
      </c>
      <c r="L1273" t="s">
        <v>21</v>
      </c>
      <c r="M1273" t="s">
        <v>22</v>
      </c>
      <c r="N1273" t="s">
        <v>23</v>
      </c>
      <c r="O1273" t="s">
        <v>24</v>
      </c>
      <c r="P1273">
        <v>1</v>
      </c>
      <c r="Q1273" s="2">
        <f>Ventas[[#This Row],[precio_base]]*Ventas[[#This Row],[cantidad]]</f>
        <v>19.989999999999998</v>
      </c>
      <c r="R1273" s="2">
        <f>Ventas[[#This Row],[Total bruto (antes de descuento)]]-Ventas[[#This Row],[total_venta]]</f>
        <v>0</v>
      </c>
    </row>
    <row r="1274" spans="1:18" x14ac:dyDescent="0.25">
      <c r="A1274" t="s">
        <v>1367</v>
      </c>
      <c r="B1274" s="1">
        <v>45106</v>
      </c>
      <c r="C1274" t="s">
        <v>87</v>
      </c>
      <c r="D1274" t="s">
        <v>27</v>
      </c>
      <c r="E1274">
        <v>3</v>
      </c>
      <c r="F1274" s="2">
        <v>249.99</v>
      </c>
      <c r="G1274">
        <v>10</v>
      </c>
      <c r="H1274" s="2">
        <v>224.99</v>
      </c>
      <c r="I1274" s="2">
        <v>674.97</v>
      </c>
      <c r="J1274" t="s">
        <v>62</v>
      </c>
      <c r="K1274" t="s">
        <v>20</v>
      </c>
      <c r="L1274" t="s">
        <v>21</v>
      </c>
      <c r="M1274" t="s">
        <v>101</v>
      </c>
      <c r="N1274" t="s">
        <v>102</v>
      </c>
      <c r="O1274" t="s">
        <v>35</v>
      </c>
      <c r="Q1274" s="2">
        <f>Ventas[[#This Row],[precio_base]]*Ventas[[#This Row],[cantidad]]</f>
        <v>749.97</v>
      </c>
      <c r="R1274" s="2">
        <f>Ventas[[#This Row],[Total bruto (antes de descuento)]]-Ventas[[#This Row],[total_venta]]</f>
        <v>75</v>
      </c>
    </row>
    <row r="1275" spans="1:18" x14ac:dyDescent="0.25">
      <c r="A1275" t="s">
        <v>1368</v>
      </c>
      <c r="B1275" s="1">
        <v>45512</v>
      </c>
      <c r="C1275" t="s">
        <v>42</v>
      </c>
      <c r="D1275" t="s">
        <v>43</v>
      </c>
      <c r="E1275">
        <v>3</v>
      </c>
      <c r="F1275" s="2">
        <v>349.99</v>
      </c>
      <c r="G1275">
        <v>10</v>
      </c>
      <c r="H1275" s="2">
        <v>314.99</v>
      </c>
      <c r="I1275" s="2">
        <v>944.97</v>
      </c>
      <c r="J1275" t="s">
        <v>19</v>
      </c>
      <c r="K1275" t="s">
        <v>52</v>
      </c>
      <c r="L1275" t="s">
        <v>21</v>
      </c>
      <c r="M1275" t="s">
        <v>95</v>
      </c>
      <c r="N1275" t="s">
        <v>96</v>
      </c>
      <c r="O1275" t="s">
        <v>48</v>
      </c>
      <c r="P1275">
        <v>4</v>
      </c>
      <c r="Q1275" s="2">
        <f>Ventas[[#This Row],[precio_base]]*Ventas[[#This Row],[cantidad]]</f>
        <v>1049.97</v>
      </c>
      <c r="R1275" s="2">
        <f>Ventas[[#This Row],[Total bruto (antes de descuento)]]-Ventas[[#This Row],[total_venta]]</f>
        <v>105</v>
      </c>
    </row>
    <row r="1276" spans="1:18" x14ac:dyDescent="0.25">
      <c r="A1276" t="s">
        <v>1369</v>
      </c>
      <c r="B1276" s="1">
        <v>45112</v>
      </c>
      <c r="C1276" t="s">
        <v>89</v>
      </c>
      <c r="D1276" t="s">
        <v>38</v>
      </c>
      <c r="E1276">
        <v>5</v>
      </c>
      <c r="F1276" s="2">
        <v>69.989999999999995</v>
      </c>
      <c r="G1276">
        <v>10</v>
      </c>
      <c r="H1276" s="2">
        <v>62.99</v>
      </c>
      <c r="I1276" s="2">
        <v>314.95</v>
      </c>
      <c r="J1276" t="s">
        <v>19</v>
      </c>
      <c r="K1276" t="s">
        <v>20</v>
      </c>
      <c r="L1276" t="s">
        <v>45</v>
      </c>
      <c r="M1276" t="s">
        <v>67</v>
      </c>
      <c r="N1276" t="s">
        <v>68</v>
      </c>
      <c r="O1276" t="s">
        <v>35</v>
      </c>
      <c r="P1276">
        <v>3</v>
      </c>
      <c r="Q1276" s="2">
        <f>Ventas[[#This Row],[precio_base]]*Ventas[[#This Row],[cantidad]]</f>
        <v>349.95</v>
      </c>
      <c r="R1276" s="2">
        <f>Ventas[[#This Row],[Total bruto (antes de descuento)]]-Ventas[[#This Row],[total_venta]]</f>
        <v>35</v>
      </c>
    </row>
    <row r="1277" spans="1:18" x14ac:dyDescent="0.25">
      <c r="A1277" t="s">
        <v>1370</v>
      </c>
      <c r="B1277" s="1">
        <v>44936</v>
      </c>
      <c r="C1277" t="s">
        <v>81</v>
      </c>
      <c r="D1277" t="s">
        <v>31</v>
      </c>
      <c r="E1277">
        <v>5</v>
      </c>
      <c r="F1277" s="2">
        <v>189.99</v>
      </c>
      <c r="G1277">
        <v>15</v>
      </c>
      <c r="H1277" s="2">
        <v>161.49</v>
      </c>
      <c r="I1277" s="2">
        <v>807.45</v>
      </c>
      <c r="J1277" t="s">
        <v>19</v>
      </c>
      <c r="K1277" t="s">
        <v>20</v>
      </c>
      <c r="L1277" t="s">
        <v>45</v>
      </c>
      <c r="M1277" t="s">
        <v>63</v>
      </c>
      <c r="N1277" t="s">
        <v>34</v>
      </c>
      <c r="O1277" t="s">
        <v>24</v>
      </c>
      <c r="P1277">
        <v>3</v>
      </c>
      <c r="Q1277" s="2">
        <f>Ventas[[#This Row],[precio_base]]*Ventas[[#This Row],[cantidad]]</f>
        <v>949.95</v>
      </c>
      <c r="R1277" s="2">
        <f>Ventas[[#This Row],[Total bruto (antes de descuento)]]-Ventas[[#This Row],[total_venta]]</f>
        <v>142.5</v>
      </c>
    </row>
    <row r="1278" spans="1:18" x14ac:dyDescent="0.25">
      <c r="A1278" t="s">
        <v>1371</v>
      </c>
      <c r="B1278" s="1">
        <v>44981</v>
      </c>
      <c r="C1278" t="s">
        <v>122</v>
      </c>
      <c r="D1278" t="s">
        <v>43</v>
      </c>
      <c r="E1278">
        <v>3</v>
      </c>
      <c r="F1278" s="2">
        <v>44.99</v>
      </c>
      <c r="G1278">
        <v>15</v>
      </c>
      <c r="H1278" s="2">
        <v>38.24</v>
      </c>
      <c r="I1278" s="2">
        <v>114.72</v>
      </c>
      <c r="J1278" t="s">
        <v>51</v>
      </c>
      <c r="K1278" t="s">
        <v>44</v>
      </c>
      <c r="L1278" t="s">
        <v>28</v>
      </c>
      <c r="M1278" t="s">
        <v>73</v>
      </c>
      <c r="N1278" t="s">
        <v>74</v>
      </c>
      <c r="O1278" t="s">
        <v>35</v>
      </c>
      <c r="Q1278" s="2">
        <f>Ventas[[#This Row],[precio_base]]*Ventas[[#This Row],[cantidad]]</f>
        <v>134.97</v>
      </c>
      <c r="R1278" s="2">
        <f>Ventas[[#This Row],[Total bruto (antes de descuento)]]-Ventas[[#This Row],[total_venta]]</f>
        <v>20.25</v>
      </c>
    </row>
    <row r="1279" spans="1:18" x14ac:dyDescent="0.25">
      <c r="A1279" t="s">
        <v>1372</v>
      </c>
      <c r="B1279" s="1">
        <v>45114</v>
      </c>
      <c r="C1279" t="s">
        <v>151</v>
      </c>
      <c r="D1279" t="s">
        <v>27</v>
      </c>
      <c r="E1279">
        <v>3</v>
      </c>
      <c r="F1279" s="2">
        <v>599.99</v>
      </c>
      <c r="G1279">
        <v>20</v>
      </c>
      <c r="H1279" s="2">
        <v>479.99</v>
      </c>
      <c r="I1279" s="2">
        <v>1439.97</v>
      </c>
      <c r="J1279" t="s">
        <v>19</v>
      </c>
      <c r="K1279" t="s">
        <v>20</v>
      </c>
      <c r="L1279" t="s">
        <v>45</v>
      </c>
      <c r="M1279" t="s">
        <v>58</v>
      </c>
      <c r="N1279" t="s">
        <v>59</v>
      </c>
      <c r="O1279" t="s">
        <v>24</v>
      </c>
      <c r="P1279">
        <v>2</v>
      </c>
      <c r="Q1279" s="2">
        <f>Ventas[[#This Row],[precio_base]]*Ventas[[#This Row],[cantidad]]</f>
        <v>1799.97</v>
      </c>
      <c r="R1279" s="2">
        <f>Ventas[[#This Row],[Total bruto (antes de descuento)]]-Ventas[[#This Row],[total_venta]]</f>
        <v>360</v>
      </c>
    </row>
    <row r="1280" spans="1:18" x14ac:dyDescent="0.25">
      <c r="A1280" t="s">
        <v>1373</v>
      </c>
      <c r="B1280" s="1">
        <v>45239</v>
      </c>
      <c r="C1280" t="s">
        <v>72</v>
      </c>
      <c r="D1280" t="s">
        <v>31</v>
      </c>
      <c r="E1280">
        <v>1</v>
      </c>
      <c r="F1280" s="2">
        <v>29.99</v>
      </c>
      <c r="G1280">
        <v>0</v>
      </c>
      <c r="H1280" s="2">
        <v>29.99</v>
      </c>
      <c r="I1280" s="2">
        <v>29.99</v>
      </c>
      <c r="J1280" t="s">
        <v>19</v>
      </c>
      <c r="K1280" t="s">
        <v>52</v>
      </c>
      <c r="L1280" t="s">
        <v>28</v>
      </c>
      <c r="M1280" t="s">
        <v>123</v>
      </c>
      <c r="N1280" t="s">
        <v>124</v>
      </c>
      <c r="O1280" t="s">
        <v>24</v>
      </c>
      <c r="P1280">
        <v>1</v>
      </c>
      <c r="Q1280" s="2">
        <f>Ventas[[#This Row],[precio_base]]*Ventas[[#This Row],[cantidad]]</f>
        <v>29.99</v>
      </c>
      <c r="R1280" s="2">
        <f>Ventas[[#This Row],[Total bruto (antes de descuento)]]-Ventas[[#This Row],[total_venta]]</f>
        <v>0</v>
      </c>
    </row>
    <row r="1281" spans="1:18" x14ac:dyDescent="0.25">
      <c r="A1281" t="s">
        <v>1374</v>
      </c>
      <c r="B1281" s="1">
        <v>45172</v>
      </c>
      <c r="C1281" t="s">
        <v>56</v>
      </c>
      <c r="D1281" t="s">
        <v>18</v>
      </c>
      <c r="E1281">
        <v>2</v>
      </c>
      <c r="F1281" s="2">
        <v>89.99</v>
      </c>
      <c r="G1281">
        <v>10</v>
      </c>
      <c r="H1281" s="2">
        <v>80.989999999999995</v>
      </c>
      <c r="I1281" s="2">
        <v>161.97999999999999</v>
      </c>
      <c r="J1281" t="s">
        <v>19</v>
      </c>
      <c r="K1281" t="s">
        <v>20</v>
      </c>
      <c r="L1281" t="s">
        <v>152</v>
      </c>
      <c r="M1281" t="s">
        <v>84</v>
      </c>
      <c r="N1281" t="s">
        <v>85</v>
      </c>
      <c r="O1281" t="s">
        <v>35</v>
      </c>
      <c r="P1281">
        <v>1</v>
      </c>
      <c r="Q1281" s="2">
        <f>Ventas[[#This Row],[precio_base]]*Ventas[[#This Row],[cantidad]]</f>
        <v>179.98</v>
      </c>
      <c r="R1281" s="2">
        <f>Ventas[[#This Row],[Total bruto (antes de descuento)]]-Ventas[[#This Row],[total_venta]]</f>
        <v>18</v>
      </c>
    </row>
    <row r="1282" spans="1:18" x14ac:dyDescent="0.25">
      <c r="A1282" t="s">
        <v>1375</v>
      </c>
      <c r="B1282" s="1">
        <v>45361</v>
      </c>
      <c r="C1282" t="s">
        <v>81</v>
      </c>
      <c r="D1282" t="s">
        <v>31</v>
      </c>
      <c r="E1282">
        <v>5</v>
      </c>
      <c r="F1282" s="2">
        <v>189.99</v>
      </c>
      <c r="G1282">
        <v>15</v>
      </c>
      <c r="H1282" s="2">
        <v>161.49</v>
      </c>
      <c r="I1282" s="2">
        <v>807.45</v>
      </c>
      <c r="J1282" t="s">
        <v>19</v>
      </c>
      <c r="K1282" t="s">
        <v>44</v>
      </c>
      <c r="L1282" t="s">
        <v>152</v>
      </c>
      <c r="M1282" t="s">
        <v>101</v>
      </c>
      <c r="N1282" t="s">
        <v>102</v>
      </c>
      <c r="O1282" t="s">
        <v>35</v>
      </c>
      <c r="P1282">
        <v>5</v>
      </c>
      <c r="Q1282" s="2">
        <f>Ventas[[#This Row],[precio_base]]*Ventas[[#This Row],[cantidad]]</f>
        <v>949.95</v>
      </c>
      <c r="R1282" s="2">
        <f>Ventas[[#This Row],[Total bruto (antes de descuento)]]-Ventas[[#This Row],[total_venta]]</f>
        <v>142.5</v>
      </c>
    </row>
    <row r="1283" spans="1:18" x14ac:dyDescent="0.25">
      <c r="A1283" t="s">
        <v>1376</v>
      </c>
      <c r="B1283" s="1">
        <v>45641</v>
      </c>
      <c r="C1283" t="s">
        <v>17</v>
      </c>
      <c r="D1283" t="s">
        <v>18</v>
      </c>
      <c r="E1283">
        <v>4</v>
      </c>
      <c r="F1283" s="2">
        <v>45.99</v>
      </c>
      <c r="G1283">
        <v>0</v>
      </c>
      <c r="H1283" s="2">
        <v>45.99</v>
      </c>
      <c r="I1283" s="2">
        <v>183.96</v>
      </c>
      <c r="J1283" t="s">
        <v>51</v>
      </c>
      <c r="K1283" t="s">
        <v>52</v>
      </c>
      <c r="L1283" t="s">
        <v>21</v>
      </c>
      <c r="M1283" t="s">
        <v>53</v>
      </c>
      <c r="N1283" t="s">
        <v>54</v>
      </c>
      <c r="O1283" t="s">
        <v>35</v>
      </c>
      <c r="Q1283" s="2">
        <f>Ventas[[#This Row],[precio_base]]*Ventas[[#This Row],[cantidad]]</f>
        <v>183.96</v>
      </c>
      <c r="R1283" s="2">
        <f>Ventas[[#This Row],[Total bruto (antes de descuento)]]-Ventas[[#This Row],[total_venta]]</f>
        <v>0</v>
      </c>
    </row>
    <row r="1284" spans="1:18" x14ac:dyDescent="0.25">
      <c r="A1284" t="s">
        <v>1377</v>
      </c>
      <c r="B1284" s="1">
        <v>45362</v>
      </c>
      <c r="C1284" t="s">
        <v>30</v>
      </c>
      <c r="D1284" t="s">
        <v>31</v>
      </c>
      <c r="E1284">
        <v>5</v>
      </c>
      <c r="F1284" s="2">
        <v>299.99</v>
      </c>
      <c r="G1284">
        <v>15</v>
      </c>
      <c r="H1284" s="2">
        <v>254.99</v>
      </c>
      <c r="I1284" s="2">
        <v>1274.95</v>
      </c>
      <c r="J1284" t="s">
        <v>19</v>
      </c>
      <c r="K1284" t="s">
        <v>44</v>
      </c>
      <c r="L1284" t="s">
        <v>152</v>
      </c>
      <c r="M1284" t="s">
        <v>84</v>
      </c>
      <c r="N1284" t="s">
        <v>85</v>
      </c>
      <c r="O1284" t="s">
        <v>35</v>
      </c>
      <c r="P1284">
        <v>5</v>
      </c>
      <c r="Q1284" s="2">
        <f>Ventas[[#This Row],[precio_base]]*Ventas[[#This Row],[cantidad]]</f>
        <v>1499.95</v>
      </c>
      <c r="R1284" s="2">
        <f>Ventas[[#This Row],[Total bruto (antes de descuento)]]-Ventas[[#This Row],[total_venta]]</f>
        <v>225</v>
      </c>
    </row>
    <row r="1285" spans="1:18" x14ac:dyDescent="0.25">
      <c r="A1285" t="s">
        <v>1378</v>
      </c>
      <c r="B1285" s="1">
        <v>45627</v>
      </c>
      <c r="C1285" t="s">
        <v>156</v>
      </c>
      <c r="D1285" t="s">
        <v>27</v>
      </c>
      <c r="E1285">
        <v>1</v>
      </c>
      <c r="F1285" s="2">
        <v>49.99</v>
      </c>
      <c r="G1285">
        <v>10</v>
      </c>
      <c r="H1285" s="2">
        <v>44.99</v>
      </c>
      <c r="I1285" s="2">
        <v>44.99</v>
      </c>
      <c r="J1285" t="s">
        <v>19</v>
      </c>
      <c r="K1285" t="s">
        <v>44</v>
      </c>
      <c r="L1285" t="s">
        <v>32</v>
      </c>
      <c r="M1285" t="s">
        <v>63</v>
      </c>
      <c r="N1285" t="s">
        <v>34</v>
      </c>
      <c r="O1285" t="s">
        <v>24</v>
      </c>
      <c r="P1285">
        <v>5</v>
      </c>
      <c r="Q1285" s="2">
        <f>Ventas[[#This Row],[precio_base]]*Ventas[[#This Row],[cantidad]]</f>
        <v>49.99</v>
      </c>
      <c r="R1285" s="2">
        <f>Ventas[[#This Row],[Total bruto (antes de descuento)]]-Ventas[[#This Row],[total_venta]]</f>
        <v>5</v>
      </c>
    </row>
    <row r="1286" spans="1:18" x14ac:dyDescent="0.25">
      <c r="A1286" t="s">
        <v>1379</v>
      </c>
      <c r="B1286" s="1">
        <v>45157</v>
      </c>
      <c r="C1286" t="s">
        <v>205</v>
      </c>
      <c r="D1286" t="s">
        <v>18</v>
      </c>
      <c r="E1286">
        <v>1</v>
      </c>
      <c r="F1286" s="2">
        <v>129.99</v>
      </c>
      <c r="G1286">
        <v>0</v>
      </c>
      <c r="H1286" s="2">
        <v>129.99</v>
      </c>
      <c r="I1286" s="2">
        <v>129.99</v>
      </c>
      <c r="J1286" t="s">
        <v>62</v>
      </c>
      <c r="K1286" t="s">
        <v>20</v>
      </c>
      <c r="L1286" t="s">
        <v>21</v>
      </c>
      <c r="M1286" t="s">
        <v>65</v>
      </c>
      <c r="N1286" t="s">
        <v>54</v>
      </c>
      <c r="O1286" t="s">
        <v>35</v>
      </c>
      <c r="Q1286" s="2">
        <f>Ventas[[#This Row],[precio_base]]*Ventas[[#This Row],[cantidad]]</f>
        <v>129.99</v>
      </c>
      <c r="R1286" s="2">
        <f>Ventas[[#This Row],[Total bruto (antes de descuento)]]-Ventas[[#This Row],[total_venta]]</f>
        <v>0</v>
      </c>
    </row>
    <row r="1287" spans="1:18" x14ac:dyDescent="0.25">
      <c r="A1287" t="s">
        <v>1380</v>
      </c>
      <c r="B1287" s="1">
        <v>45434</v>
      </c>
      <c r="C1287" t="s">
        <v>109</v>
      </c>
      <c r="D1287" t="s">
        <v>38</v>
      </c>
      <c r="E1287">
        <v>2</v>
      </c>
      <c r="F1287" s="2">
        <v>39.99</v>
      </c>
      <c r="G1287">
        <v>0</v>
      </c>
      <c r="H1287" s="2">
        <v>39.99</v>
      </c>
      <c r="I1287" s="2">
        <v>79.98</v>
      </c>
      <c r="J1287" t="s">
        <v>116</v>
      </c>
      <c r="K1287" t="s">
        <v>52</v>
      </c>
      <c r="L1287" t="s">
        <v>21</v>
      </c>
      <c r="M1287" t="s">
        <v>123</v>
      </c>
      <c r="N1287" t="s">
        <v>124</v>
      </c>
      <c r="O1287" t="s">
        <v>24</v>
      </c>
      <c r="Q1287" s="2">
        <f>Ventas[[#This Row],[precio_base]]*Ventas[[#This Row],[cantidad]]</f>
        <v>79.98</v>
      </c>
      <c r="R1287" s="2">
        <f>Ventas[[#This Row],[Total bruto (antes de descuento)]]-Ventas[[#This Row],[total_venta]]</f>
        <v>0</v>
      </c>
    </row>
    <row r="1288" spans="1:18" x14ac:dyDescent="0.25">
      <c r="A1288" t="s">
        <v>1381</v>
      </c>
      <c r="B1288" s="1">
        <v>45479</v>
      </c>
      <c r="C1288" t="s">
        <v>42</v>
      </c>
      <c r="D1288" t="s">
        <v>43</v>
      </c>
      <c r="E1288">
        <v>1</v>
      </c>
      <c r="F1288" s="2">
        <v>349.99</v>
      </c>
      <c r="G1288">
        <v>0</v>
      </c>
      <c r="H1288" s="2">
        <v>349.99</v>
      </c>
      <c r="I1288" s="2">
        <v>349.99</v>
      </c>
      <c r="J1288" t="s">
        <v>19</v>
      </c>
      <c r="K1288" t="s">
        <v>20</v>
      </c>
      <c r="L1288" t="s">
        <v>21</v>
      </c>
      <c r="M1288" t="s">
        <v>58</v>
      </c>
      <c r="N1288" t="s">
        <v>59</v>
      </c>
      <c r="O1288" t="s">
        <v>24</v>
      </c>
      <c r="P1288">
        <v>5</v>
      </c>
      <c r="Q1288" s="2">
        <f>Ventas[[#This Row],[precio_base]]*Ventas[[#This Row],[cantidad]]</f>
        <v>349.99</v>
      </c>
      <c r="R1288" s="2">
        <f>Ventas[[#This Row],[Total bruto (antes de descuento)]]-Ventas[[#This Row],[total_venta]]</f>
        <v>0</v>
      </c>
    </row>
    <row r="1289" spans="1:18" x14ac:dyDescent="0.25">
      <c r="A1289" t="s">
        <v>1382</v>
      </c>
      <c r="B1289" s="1">
        <v>45330</v>
      </c>
      <c r="C1289" t="s">
        <v>115</v>
      </c>
      <c r="D1289" t="s">
        <v>18</v>
      </c>
      <c r="E1289">
        <v>3</v>
      </c>
      <c r="F1289" s="2">
        <v>799.99</v>
      </c>
      <c r="G1289">
        <v>15</v>
      </c>
      <c r="H1289" s="2">
        <v>679.99</v>
      </c>
      <c r="I1289" s="2">
        <v>2039.97</v>
      </c>
      <c r="J1289" t="s">
        <v>19</v>
      </c>
      <c r="K1289" t="s">
        <v>20</v>
      </c>
      <c r="L1289" t="s">
        <v>45</v>
      </c>
      <c r="M1289" t="s">
        <v>53</v>
      </c>
      <c r="N1289" t="s">
        <v>54</v>
      </c>
      <c r="O1289" t="s">
        <v>35</v>
      </c>
      <c r="P1289">
        <v>5</v>
      </c>
      <c r="Q1289" s="2">
        <f>Ventas[[#This Row],[precio_base]]*Ventas[[#This Row],[cantidad]]</f>
        <v>2399.9700000000003</v>
      </c>
      <c r="R1289" s="2">
        <f>Ventas[[#This Row],[Total bruto (antes de descuento)]]-Ventas[[#This Row],[total_venta]]</f>
        <v>360.00000000000023</v>
      </c>
    </row>
    <row r="1290" spans="1:18" x14ac:dyDescent="0.25">
      <c r="A1290" t="s">
        <v>1383</v>
      </c>
      <c r="B1290" s="1">
        <v>45426</v>
      </c>
      <c r="C1290" t="s">
        <v>94</v>
      </c>
      <c r="D1290" t="s">
        <v>18</v>
      </c>
      <c r="E1290">
        <v>3</v>
      </c>
      <c r="F1290" s="2">
        <v>899.99</v>
      </c>
      <c r="G1290">
        <v>0</v>
      </c>
      <c r="H1290" s="2">
        <v>899.99</v>
      </c>
      <c r="I1290" s="2">
        <v>2699.97</v>
      </c>
      <c r="J1290" t="s">
        <v>51</v>
      </c>
      <c r="K1290" t="s">
        <v>20</v>
      </c>
      <c r="L1290" t="s">
        <v>21</v>
      </c>
      <c r="M1290" t="s">
        <v>123</v>
      </c>
      <c r="N1290" t="s">
        <v>124</v>
      </c>
      <c r="O1290" t="s">
        <v>24</v>
      </c>
      <c r="Q1290" s="2">
        <f>Ventas[[#This Row],[precio_base]]*Ventas[[#This Row],[cantidad]]</f>
        <v>2699.9700000000003</v>
      </c>
      <c r="R1290" s="2">
        <f>Ventas[[#This Row],[Total bruto (antes de descuento)]]-Ventas[[#This Row],[total_venta]]</f>
        <v>0</v>
      </c>
    </row>
    <row r="1291" spans="1:18" x14ac:dyDescent="0.25">
      <c r="A1291" t="s">
        <v>1384</v>
      </c>
      <c r="B1291" s="1">
        <v>45285</v>
      </c>
      <c r="C1291" t="s">
        <v>130</v>
      </c>
      <c r="D1291" t="s">
        <v>43</v>
      </c>
      <c r="E1291">
        <v>2</v>
      </c>
      <c r="F1291" s="2">
        <v>24.99</v>
      </c>
      <c r="G1291">
        <v>5</v>
      </c>
      <c r="H1291" s="2">
        <v>23.74</v>
      </c>
      <c r="I1291" s="2">
        <v>47.48</v>
      </c>
      <c r="J1291" t="s">
        <v>19</v>
      </c>
      <c r="K1291" t="s">
        <v>20</v>
      </c>
      <c r="L1291" t="s">
        <v>21</v>
      </c>
      <c r="M1291" t="s">
        <v>95</v>
      </c>
      <c r="N1291" t="s">
        <v>96</v>
      </c>
      <c r="O1291" t="s">
        <v>48</v>
      </c>
      <c r="P1291">
        <v>5</v>
      </c>
      <c r="Q1291" s="2">
        <f>Ventas[[#This Row],[precio_base]]*Ventas[[#This Row],[cantidad]]</f>
        <v>49.98</v>
      </c>
      <c r="R1291" s="2">
        <f>Ventas[[#This Row],[Total bruto (antes de descuento)]]-Ventas[[#This Row],[total_venta]]</f>
        <v>2.5</v>
      </c>
    </row>
    <row r="1292" spans="1:18" x14ac:dyDescent="0.25">
      <c r="A1292" t="s">
        <v>1385</v>
      </c>
      <c r="B1292" s="1">
        <v>45453</v>
      </c>
      <c r="C1292" t="s">
        <v>130</v>
      </c>
      <c r="D1292" t="s">
        <v>43</v>
      </c>
      <c r="E1292">
        <v>2</v>
      </c>
      <c r="F1292" s="2">
        <v>24.99</v>
      </c>
      <c r="G1292">
        <v>5</v>
      </c>
      <c r="H1292" s="2">
        <v>23.74</v>
      </c>
      <c r="I1292" s="2">
        <v>47.48</v>
      </c>
      <c r="J1292" t="s">
        <v>19</v>
      </c>
      <c r="K1292" t="s">
        <v>20</v>
      </c>
      <c r="L1292" t="s">
        <v>28</v>
      </c>
      <c r="M1292" t="s">
        <v>101</v>
      </c>
      <c r="N1292" t="s">
        <v>102</v>
      </c>
      <c r="O1292" t="s">
        <v>35</v>
      </c>
      <c r="P1292">
        <v>3</v>
      </c>
      <c r="Q1292" s="2">
        <f>Ventas[[#This Row],[precio_base]]*Ventas[[#This Row],[cantidad]]</f>
        <v>49.98</v>
      </c>
      <c r="R1292" s="2">
        <f>Ventas[[#This Row],[Total bruto (antes de descuento)]]-Ventas[[#This Row],[total_venta]]</f>
        <v>2.5</v>
      </c>
    </row>
    <row r="1293" spans="1:18" x14ac:dyDescent="0.25">
      <c r="A1293" t="s">
        <v>1386</v>
      </c>
      <c r="B1293" s="1">
        <v>45158</v>
      </c>
      <c r="C1293" t="s">
        <v>92</v>
      </c>
      <c r="D1293" t="s">
        <v>27</v>
      </c>
      <c r="E1293">
        <v>4</v>
      </c>
      <c r="F1293" s="2">
        <v>79.989999999999995</v>
      </c>
      <c r="G1293">
        <v>0</v>
      </c>
      <c r="H1293" s="2">
        <v>79.989999999999995</v>
      </c>
      <c r="I1293" s="2">
        <v>319.95999999999998</v>
      </c>
      <c r="J1293" t="s">
        <v>19</v>
      </c>
      <c r="K1293" t="s">
        <v>52</v>
      </c>
      <c r="L1293" t="s">
        <v>45</v>
      </c>
      <c r="M1293" t="s">
        <v>120</v>
      </c>
      <c r="N1293" t="s">
        <v>23</v>
      </c>
      <c r="O1293" t="s">
        <v>24</v>
      </c>
      <c r="P1293">
        <v>3</v>
      </c>
      <c r="Q1293" s="2">
        <f>Ventas[[#This Row],[precio_base]]*Ventas[[#This Row],[cantidad]]</f>
        <v>319.95999999999998</v>
      </c>
      <c r="R1293" s="2">
        <f>Ventas[[#This Row],[Total bruto (antes de descuento)]]-Ventas[[#This Row],[total_venta]]</f>
        <v>0</v>
      </c>
    </row>
    <row r="1294" spans="1:18" x14ac:dyDescent="0.25">
      <c r="A1294" t="s">
        <v>1387</v>
      </c>
      <c r="B1294" s="1">
        <v>45038</v>
      </c>
      <c r="C1294" t="s">
        <v>151</v>
      </c>
      <c r="D1294" t="s">
        <v>27</v>
      </c>
      <c r="E1294">
        <v>4</v>
      </c>
      <c r="F1294" s="2">
        <v>599.99</v>
      </c>
      <c r="G1294">
        <v>0</v>
      </c>
      <c r="H1294" s="2">
        <v>599.99</v>
      </c>
      <c r="I1294" s="2">
        <v>2399.96</v>
      </c>
      <c r="J1294" t="s">
        <v>19</v>
      </c>
      <c r="K1294" t="s">
        <v>20</v>
      </c>
      <c r="L1294" t="s">
        <v>45</v>
      </c>
      <c r="M1294" t="s">
        <v>84</v>
      </c>
      <c r="N1294" t="s">
        <v>85</v>
      </c>
      <c r="O1294" t="s">
        <v>35</v>
      </c>
      <c r="P1294">
        <v>2</v>
      </c>
      <c r="Q1294" s="2">
        <f>Ventas[[#This Row],[precio_base]]*Ventas[[#This Row],[cantidad]]</f>
        <v>2399.96</v>
      </c>
      <c r="R1294" s="2">
        <f>Ventas[[#This Row],[Total bruto (antes de descuento)]]-Ventas[[#This Row],[total_venta]]</f>
        <v>0</v>
      </c>
    </row>
    <row r="1295" spans="1:18" x14ac:dyDescent="0.25">
      <c r="A1295" t="s">
        <v>1388</v>
      </c>
      <c r="B1295" s="1">
        <v>45040</v>
      </c>
      <c r="C1295" t="s">
        <v>115</v>
      </c>
      <c r="D1295" t="s">
        <v>18</v>
      </c>
      <c r="E1295">
        <v>3</v>
      </c>
      <c r="F1295" s="2">
        <v>799.99</v>
      </c>
      <c r="G1295">
        <v>0</v>
      </c>
      <c r="H1295" s="2">
        <v>799.99</v>
      </c>
      <c r="I1295" s="2">
        <v>2399.9699999999998</v>
      </c>
      <c r="J1295" t="s">
        <v>19</v>
      </c>
      <c r="K1295" t="s">
        <v>44</v>
      </c>
      <c r="L1295" t="s">
        <v>152</v>
      </c>
      <c r="M1295" t="s">
        <v>120</v>
      </c>
      <c r="N1295" t="s">
        <v>23</v>
      </c>
      <c r="O1295" t="s">
        <v>24</v>
      </c>
      <c r="P1295">
        <v>2</v>
      </c>
      <c r="Q1295" s="2">
        <f>Ventas[[#This Row],[precio_base]]*Ventas[[#This Row],[cantidad]]</f>
        <v>2399.9700000000003</v>
      </c>
      <c r="R1295" s="2">
        <f>Ventas[[#This Row],[Total bruto (antes de descuento)]]-Ventas[[#This Row],[total_venta]]</f>
        <v>0</v>
      </c>
    </row>
    <row r="1296" spans="1:18" x14ac:dyDescent="0.25">
      <c r="A1296" t="s">
        <v>1389</v>
      </c>
      <c r="B1296" s="1">
        <v>45609</v>
      </c>
      <c r="C1296" t="s">
        <v>115</v>
      </c>
      <c r="D1296" t="s">
        <v>18</v>
      </c>
      <c r="E1296">
        <v>4</v>
      </c>
      <c r="F1296" s="2">
        <v>799.99</v>
      </c>
      <c r="G1296">
        <v>15</v>
      </c>
      <c r="H1296" s="2">
        <v>679.99</v>
      </c>
      <c r="I1296" s="2">
        <v>2719.96</v>
      </c>
      <c r="J1296" t="s">
        <v>116</v>
      </c>
      <c r="K1296" t="s">
        <v>20</v>
      </c>
      <c r="L1296" t="s">
        <v>45</v>
      </c>
      <c r="M1296" t="s">
        <v>95</v>
      </c>
      <c r="N1296" t="s">
        <v>96</v>
      </c>
      <c r="O1296" t="s">
        <v>48</v>
      </c>
      <c r="Q1296" s="2">
        <f>Ventas[[#This Row],[precio_base]]*Ventas[[#This Row],[cantidad]]</f>
        <v>3199.96</v>
      </c>
      <c r="R1296" s="2">
        <f>Ventas[[#This Row],[Total bruto (antes de descuento)]]-Ventas[[#This Row],[total_venta]]</f>
        <v>480</v>
      </c>
    </row>
    <row r="1297" spans="1:18" x14ac:dyDescent="0.25">
      <c r="A1297" t="s">
        <v>1390</v>
      </c>
      <c r="B1297" s="1">
        <v>45625</v>
      </c>
      <c r="C1297" t="s">
        <v>30</v>
      </c>
      <c r="D1297" t="s">
        <v>31</v>
      </c>
      <c r="E1297">
        <v>2</v>
      </c>
      <c r="F1297" s="2">
        <v>299.99</v>
      </c>
      <c r="G1297">
        <v>0</v>
      </c>
      <c r="H1297" s="2">
        <v>299.99</v>
      </c>
      <c r="I1297" s="2">
        <v>599.98</v>
      </c>
      <c r="J1297" t="s">
        <v>51</v>
      </c>
      <c r="K1297" t="s">
        <v>52</v>
      </c>
      <c r="L1297" t="s">
        <v>45</v>
      </c>
      <c r="M1297" t="s">
        <v>39</v>
      </c>
      <c r="N1297" t="s">
        <v>40</v>
      </c>
      <c r="O1297" t="s">
        <v>35</v>
      </c>
      <c r="Q1297" s="2">
        <f>Ventas[[#This Row],[precio_base]]*Ventas[[#This Row],[cantidad]]</f>
        <v>599.98</v>
      </c>
      <c r="R1297" s="2">
        <f>Ventas[[#This Row],[Total bruto (antes de descuento)]]-Ventas[[#This Row],[total_venta]]</f>
        <v>0</v>
      </c>
    </row>
    <row r="1298" spans="1:18" x14ac:dyDescent="0.25">
      <c r="A1298" t="s">
        <v>1391</v>
      </c>
      <c r="B1298" s="1">
        <v>45325</v>
      </c>
      <c r="C1298" t="s">
        <v>78</v>
      </c>
      <c r="D1298" t="s">
        <v>18</v>
      </c>
      <c r="E1298">
        <v>1</v>
      </c>
      <c r="F1298" s="2">
        <v>349.99</v>
      </c>
      <c r="G1298">
        <v>0</v>
      </c>
      <c r="H1298" s="2">
        <v>349.99</v>
      </c>
      <c r="I1298" s="2">
        <v>349.99</v>
      </c>
      <c r="J1298" t="s">
        <v>51</v>
      </c>
      <c r="K1298" t="s">
        <v>20</v>
      </c>
      <c r="L1298" t="s">
        <v>45</v>
      </c>
      <c r="M1298" t="s">
        <v>63</v>
      </c>
      <c r="N1298" t="s">
        <v>34</v>
      </c>
      <c r="O1298" t="s">
        <v>24</v>
      </c>
      <c r="Q1298" s="2">
        <f>Ventas[[#This Row],[precio_base]]*Ventas[[#This Row],[cantidad]]</f>
        <v>349.99</v>
      </c>
      <c r="R1298" s="2">
        <f>Ventas[[#This Row],[Total bruto (antes de descuento)]]-Ventas[[#This Row],[total_venta]]</f>
        <v>0</v>
      </c>
    </row>
    <row r="1299" spans="1:18" x14ac:dyDescent="0.25">
      <c r="A1299" t="s">
        <v>1392</v>
      </c>
      <c r="B1299" s="1">
        <v>45627</v>
      </c>
      <c r="C1299" t="s">
        <v>163</v>
      </c>
      <c r="D1299" t="s">
        <v>18</v>
      </c>
      <c r="E1299">
        <v>1</v>
      </c>
      <c r="F1299" s="2">
        <v>499.99</v>
      </c>
      <c r="G1299">
        <v>15</v>
      </c>
      <c r="H1299" s="2">
        <v>424.99</v>
      </c>
      <c r="I1299" s="2">
        <v>424.99</v>
      </c>
      <c r="J1299" t="s">
        <v>62</v>
      </c>
      <c r="K1299" t="s">
        <v>57</v>
      </c>
      <c r="L1299" t="s">
        <v>28</v>
      </c>
      <c r="M1299" t="s">
        <v>120</v>
      </c>
      <c r="N1299" t="s">
        <v>23</v>
      </c>
      <c r="O1299" t="s">
        <v>24</v>
      </c>
      <c r="Q1299" s="2">
        <f>Ventas[[#This Row],[precio_base]]*Ventas[[#This Row],[cantidad]]</f>
        <v>499.99</v>
      </c>
      <c r="R1299" s="2">
        <f>Ventas[[#This Row],[Total bruto (antes de descuento)]]-Ventas[[#This Row],[total_venta]]</f>
        <v>75</v>
      </c>
    </row>
    <row r="1300" spans="1:18" x14ac:dyDescent="0.25">
      <c r="A1300" t="s">
        <v>1393</v>
      </c>
      <c r="B1300" s="1">
        <v>45371</v>
      </c>
      <c r="C1300" t="s">
        <v>92</v>
      </c>
      <c r="D1300" t="s">
        <v>27</v>
      </c>
      <c r="E1300">
        <v>3</v>
      </c>
      <c r="F1300" s="2">
        <v>79.989999999999995</v>
      </c>
      <c r="G1300">
        <v>0</v>
      </c>
      <c r="H1300" s="2">
        <v>79.989999999999995</v>
      </c>
      <c r="I1300" s="2">
        <v>239.97</v>
      </c>
      <c r="J1300" t="s">
        <v>19</v>
      </c>
      <c r="K1300" t="s">
        <v>20</v>
      </c>
      <c r="L1300" t="s">
        <v>28</v>
      </c>
      <c r="M1300" t="s">
        <v>39</v>
      </c>
      <c r="N1300" t="s">
        <v>40</v>
      </c>
      <c r="O1300" t="s">
        <v>35</v>
      </c>
      <c r="P1300">
        <v>5</v>
      </c>
      <c r="Q1300" s="2">
        <f>Ventas[[#This Row],[precio_base]]*Ventas[[#This Row],[cantidad]]</f>
        <v>239.96999999999997</v>
      </c>
      <c r="R1300" s="2">
        <f>Ventas[[#This Row],[Total bruto (antes de descuento)]]-Ventas[[#This Row],[total_venta]]</f>
        <v>0</v>
      </c>
    </row>
    <row r="1301" spans="1:18" x14ac:dyDescent="0.25">
      <c r="A1301" t="s">
        <v>1394</v>
      </c>
      <c r="B1301" s="1">
        <v>45118</v>
      </c>
      <c r="C1301" t="s">
        <v>163</v>
      </c>
      <c r="D1301" t="s">
        <v>18</v>
      </c>
      <c r="E1301">
        <v>3</v>
      </c>
      <c r="F1301" s="2">
        <v>499.99</v>
      </c>
      <c r="G1301">
        <v>20</v>
      </c>
      <c r="H1301" s="2">
        <v>399.99</v>
      </c>
      <c r="I1301" s="2">
        <v>1199.97</v>
      </c>
      <c r="J1301" t="s">
        <v>19</v>
      </c>
      <c r="K1301" t="s">
        <v>57</v>
      </c>
      <c r="L1301" t="s">
        <v>21</v>
      </c>
      <c r="M1301" t="s">
        <v>58</v>
      </c>
      <c r="N1301" t="s">
        <v>59</v>
      </c>
      <c r="O1301" t="s">
        <v>24</v>
      </c>
      <c r="P1301">
        <v>4</v>
      </c>
      <c r="Q1301" s="2">
        <f>Ventas[[#This Row],[precio_base]]*Ventas[[#This Row],[cantidad]]</f>
        <v>1499.97</v>
      </c>
      <c r="R1301" s="2">
        <f>Ventas[[#This Row],[Total bruto (antes de descuento)]]-Ventas[[#This Row],[total_venta]]</f>
        <v>300</v>
      </c>
    </row>
    <row r="1302" spans="1:18" x14ac:dyDescent="0.25">
      <c r="A1302" t="s">
        <v>1395</v>
      </c>
      <c r="B1302" s="1">
        <v>45130</v>
      </c>
      <c r="C1302" t="s">
        <v>92</v>
      </c>
      <c r="D1302" t="s">
        <v>27</v>
      </c>
      <c r="E1302">
        <v>1</v>
      </c>
      <c r="F1302" s="2">
        <v>79.989999999999995</v>
      </c>
      <c r="G1302">
        <v>15</v>
      </c>
      <c r="H1302" s="2">
        <v>67.989999999999995</v>
      </c>
      <c r="I1302" s="2">
        <v>67.989999999999995</v>
      </c>
      <c r="J1302" t="s">
        <v>51</v>
      </c>
      <c r="K1302" t="s">
        <v>20</v>
      </c>
      <c r="L1302" t="s">
        <v>152</v>
      </c>
      <c r="M1302" t="s">
        <v>33</v>
      </c>
      <c r="N1302" t="s">
        <v>34</v>
      </c>
      <c r="O1302" t="s">
        <v>35</v>
      </c>
      <c r="Q1302" s="2">
        <f>Ventas[[#This Row],[precio_base]]*Ventas[[#This Row],[cantidad]]</f>
        <v>79.989999999999995</v>
      </c>
      <c r="R1302" s="2">
        <f>Ventas[[#This Row],[Total bruto (antes de descuento)]]-Ventas[[#This Row],[total_venta]]</f>
        <v>12</v>
      </c>
    </row>
    <row r="1303" spans="1:18" x14ac:dyDescent="0.25">
      <c r="A1303" t="s">
        <v>1396</v>
      </c>
      <c r="B1303" s="1">
        <v>45532</v>
      </c>
      <c r="C1303" t="s">
        <v>72</v>
      </c>
      <c r="D1303" t="s">
        <v>31</v>
      </c>
      <c r="E1303">
        <v>2</v>
      </c>
      <c r="F1303" s="2">
        <v>29.99</v>
      </c>
      <c r="G1303">
        <v>0</v>
      </c>
      <c r="H1303" s="2">
        <v>29.99</v>
      </c>
      <c r="I1303" s="2">
        <v>59.98</v>
      </c>
      <c r="J1303" t="s">
        <v>19</v>
      </c>
      <c r="K1303" t="s">
        <v>20</v>
      </c>
      <c r="L1303" t="s">
        <v>152</v>
      </c>
      <c r="M1303" t="s">
        <v>120</v>
      </c>
      <c r="N1303" t="s">
        <v>23</v>
      </c>
      <c r="O1303" t="s">
        <v>24</v>
      </c>
      <c r="P1303">
        <v>2</v>
      </c>
      <c r="Q1303" s="2">
        <f>Ventas[[#This Row],[precio_base]]*Ventas[[#This Row],[cantidad]]</f>
        <v>59.98</v>
      </c>
      <c r="R1303" s="2">
        <f>Ventas[[#This Row],[Total bruto (antes de descuento)]]-Ventas[[#This Row],[total_venta]]</f>
        <v>0</v>
      </c>
    </row>
    <row r="1304" spans="1:18" x14ac:dyDescent="0.25">
      <c r="A1304" t="s">
        <v>1397</v>
      </c>
      <c r="B1304" s="1">
        <v>45363</v>
      </c>
      <c r="C1304" t="s">
        <v>104</v>
      </c>
      <c r="D1304" t="s">
        <v>18</v>
      </c>
      <c r="E1304">
        <v>5</v>
      </c>
      <c r="F1304" s="2">
        <v>1199.99</v>
      </c>
      <c r="G1304">
        <v>0</v>
      </c>
      <c r="H1304" s="2">
        <v>1199.99</v>
      </c>
      <c r="I1304" s="2">
        <v>5999.95</v>
      </c>
      <c r="J1304" t="s">
        <v>19</v>
      </c>
      <c r="K1304" t="s">
        <v>20</v>
      </c>
      <c r="L1304" t="s">
        <v>45</v>
      </c>
      <c r="M1304" t="s">
        <v>46</v>
      </c>
      <c r="N1304" t="s">
        <v>47</v>
      </c>
      <c r="O1304" t="s">
        <v>48</v>
      </c>
      <c r="P1304">
        <v>2</v>
      </c>
      <c r="Q1304" s="2">
        <f>Ventas[[#This Row],[precio_base]]*Ventas[[#This Row],[cantidad]]</f>
        <v>5999.95</v>
      </c>
      <c r="R1304" s="2">
        <f>Ventas[[#This Row],[Total bruto (antes de descuento)]]-Ventas[[#This Row],[total_venta]]</f>
        <v>0</v>
      </c>
    </row>
    <row r="1305" spans="1:18" x14ac:dyDescent="0.25">
      <c r="A1305" t="s">
        <v>1398</v>
      </c>
      <c r="B1305" s="1">
        <v>45154</v>
      </c>
      <c r="C1305" t="s">
        <v>141</v>
      </c>
      <c r="D1305" t="s">
        <v>38</v>
      </c>
      <c r="E1305">
        <v>4</v>
      </c>
      <c r="F1305" s="2">
        <v>89.99</v>
      </c>
      <c r="G1305">
        <v>5</v>
      </c>
      <c r="H1305" s="2">
        <v>85.49</v>
      </c>
      <c r="I1305" s="2">
        <v>341.96</v>
      </c>
      <c r="J1305" t="s">
        <v>19</v>
      </c>
      <c r="K1305" t="s">
        <v>44</v>
      </c>
      <c r="L1305" t="s">
        <v>21</v>
      </c>
      <c r="M1305" t="s">
        <v>120</v>
      </c>
      <c r="N1305" t="s">
        <v>23</v>
      </c>
      <c r="O1305" t="s">
        <v>24</v>
      </c>
      <c r="P1305">
        <v>3</v>
      </c>
      <c r="Q1305" s="2">
        <f>Ventas[[#This Row],[precio_base]]*Ventas[[#This Row],[cantidad]]</f>
        <v>359.96</v>
      </c>
      <c r="R1305" s="2">
        <f>Ventas[[#This Row],[Total bruto (antes de descuento)]]-Ventas[[#This Row],[total_venta]]</f>
        <v>18</v>
      </c>
    </row>
    <row r="1306" spans="1:18" x14ac:dyDescent="0.25">
      <c r="A1306" t="s">
        <v>1399</v>
      </c>
      <c r="B1306" s="1">
        <v>45299</v>
      </c>
      <c r="C1306" t="s">
        <v>61</v>
      </c>
      <c r="D1306" t="s">
        <v>38</v>
      </c>
      <c r="E1306">
        <v>3</v>
      </c>
      <c r="F1306" s="2">
        <v>19.989999999999998</v>
      </c>
      <c r="G1306">
        <v>15</v>
      </c>
      <c r="H1306" s="2">
        <v>16.989999999999998</v>
      </c>
      <c r="I1306" s="2">
        <v>50.97</v>
      </c>
      <c r="J1306" t="s">
        <v>19</v>
      </c>
      <c r="K1306" t="s">
        <v>52</v>
      </c>
      <c r="L1306" t="s">
        <v>21</v>
      </c>
      <c r="M1306" t="s">
        <v>123</v>
      </c>
      <c r="N1306" t="s">
        <v>124</v>
      </c>
      <c r="O1306" t="s">
        <v>24</v>
      </c>
      <c r="P1306">
        <v>1</v>
      </c>
      <c r="Q1306" s="2">
        <f>Ventas[[#This Row],[precio_base]]*Ventas[[#This Row],[cantidad]]</f>
        <v>59.97</v>
      </c>
      <c r="R1306" s="2">
        <f>Ventas[[#This Row],[Total bruto (antes de descuento)]]-Ventas[[#This Row],[total_venta]]</f>
        <v>9</v>
      </c>
    </row>
    <row r="1307" spans="1:18" x14ac:dyDescent="0.25">
      <c r="A1307" t="s">
        <v>1400</v>
      </c>
      <c r="B1307" s="1">
        <v>44980</v>
      </c>
      <c r="C1307" t="s">
        <v>81</v>
      </c>
      <c r="D1307" t="s">
        <v>31</v>
      </c>
      <c r="E1307">
        <v>3</v>
      </c>
      <c r="F1307" s="2">
        <v>189.99</v>
      </c>
      <c r="G1307">
        <v>0</v>
      </c>
      <c r="H1307" s="2">
        <v>189.99</v>
      </c>
      <c r="I1307" s="2">
        <v>569.97</v>
      </c>
      <c r="J1307" t="s">
        <v>19</v>
      </c>
      <c r="K1307" t="s">
        <v>52</v>
      </c>
      <c r="L1307" t="s">
        <v>21</v>
      </c>
      <c r="M1307" t="s">
        <v>58</v>
      </c>
      <c r="N1307" t="s">
        <v>59</v>
      </c>
      <c r="O1307" t="s">
        <v>24</v>
      </c>
      <c r="P1307">
        <v>2</v>
      </c>
      <c r="Q1307" s="2">
        <f>Ventas[[#This Row],[precio_base]]*Ventas[[#This Row],[cantidad]]</f>
        <v>569.97</v>
      </c>
      <c r="R1307" s="2">
        <f>Ventas[[#This Row],[Total bruto (antes de descuento)]]-Ventas[[#This Row],[total_venta]]</f>
        <v>0</v>
      </c>
    </row>
    <row r="1308" spans="1:18" x14ac:dyDescent="0.25">
      <c r="A1308" t="s">
        <v>1401</v>
      </c>
      <c r="B1308" s="1">
        <v>45185</v>
      </c>
      <c r="C1308" t="s">
        <v>92</v>
      </c>
      <c r="D1308" t="s">
        <v>27</v>
      </c>
      <c r="E1308">
        <v>3</v>
      </c>
      <c r="F1308" s="2">
        <v>79.989999999999995</v>
      </c>
      <c r="G1308">
        <v>0</v>
      </c>
      <c r="H1308" s="2">
        <v>79.989999999999995</v>
      </c>
      <c r="I1308" s="2">
        <v>239.97</v>
      </c>
      <c r="J1308" t="s">
        <v>19</v>
      </c>
      <c r="K1308" t="s">
        <v>44</v>
      </c>
      <c r="L1308" t="s">
        <v>28</v>
      </c>
      <c r="M1308" t="s">
        <v>95</v>
      </c>
      <c r="N1308" t="s">
        <v>96</v>
      </c>
      <c r="O1308" t="s">
        <v>48</v>
      </c>
      <c r="P1308">
        <v>2</v>
      </c>
      <c r="Q1308" s="2">
        <f>Ventas[[#This Row],[precio_base]]*Ventas[[#This Row],[cantidad]]</f>
        <v>239.96999999999997</v>
      </c>
      <c r="R1308" s="2">
        <f>Ventas[[#This Row],[Total bruto (antes de descuento)]]-Ventas[[#This Row],[total_venta]]</f>
        <v>0</v>
      </c>
    </row>
    <row r="1309" spans="1:18" x14ac:dyDescent="0.25">
      <c r="A1309" t="s">
        <v>1402</v>
      </c>
      <c r="B1309" s="1">
        <v>45266</v>
      </c>
      <c r="C1309" t="s">
        <v>89</v>
      </c>
      <c r="D1309" t="s">
        <v>38</v>
      </c>
      <c r="E1309">
        <v>3</v>
      </c>
      <c r="F1309" s="2">
        <v>69.989999999999995</v>
      </c>
      <c r="G1309">
        <v>15</v>
      </c>
      <c r="H1309" s="2">
        <v>59.49</v>
      </c>
      <c r="I1309" s="2">
        <v>178.47</v>
      </c>
      <c r="J1309" t="s">
        <v>51</v>
      </c>
      <c r="K1309" t="s">
        <v>44</v>
      </c>
      <c r="L1309" t="s">
        <v>21</v>
      </c>
      <c r="M1309" t="s">
        <v>65</v>
      </c>
      <c r="N1309" t="s">
        <v>54</v>
      </c>
      <c r="O1309" t="s">
        <v>35</v>
      </c>
      <c r="Q1309" s="2">
        <f>Ventas[[#This Row],[precio_base]]*Ventas[[#This Row],[cantidad]]</f>
        <v>209.96999999999997</v>
      </c>
      <c r="R1309" s="2">
        <f>Ventas[[#This Row],[Total bruto (antes de descuento)]]-Ventas[[#This Row],[total_venta]]</f>
        <v>31.499999999999972</v>
      </c>
    </row>
    <row r="1310" spans="1:18" x14ac:dyDescent="0.25">
      <c r="A1310" t="s">
        <v>1403</v>
      </c>
      <c r="B1310" s="1">
        <v>45209</v>
      </c>
      <c r="C1310" t="s">
        <v>115</v>
      </c>
      <c r="D1310" t="s">
        <v>18</v>
      </c>
      <c r="E1310">
        <v>5</v>
      </c>
      <c r="F1310" s="2">
        <v>799.99</v>
      </c>
      <c r="G1310">
        <v>5</v>
      </c>
      <c r="H1310" s="2">
        <v>759.99</v>
      </c>
      <c r="I1310" s="2">
        <v>3799.95</v>
      </c>
      <c r="J1310" t="s">
        <v>19</v>
      </c>
      <c r="K1310" t="s">
        <v>20</v>
      </c>
      <c r="L1310" t="s">
        <v>28</v>
      </c>
      <c r="M1310" t="s">
        <v>95</v>
      </c>
      <c r="N1310" t="s">
        <v>96</v>
      </c>
      <c r="O1310" t="s">
        <v>48</v>
      </c>
      <c r="P1310">
        <v>1</v>
      </c>
      <c r="Q1310" s="2">
        <f>Ventas[[#This Row],[precio_base]]*Ventas[[#This Row],[cantidad]]</f>
        <v>3999.95</v>
      </c>
      <c r="R1310" s="2">
        <f>Ventas[[#This Row],[Total bruto (antes de descuento)]]-Ventas[[#This Row],[total_venta]]</f>
        <v>200</v>
      </c>
    </row>
    <row r="1311" spans="1:18" x14ac:dyDescent="0.25">
      <c r="A1311" t="s">
        <v>1404</v>
      </c>
      <c r="B1311" s="1">
        <v>44969</v>
      </c>
      <c r="C1311" t="s">
        <v>26</v>
      </c>
      <c r="D1311" t="s">
        <v>27</v>
      </c>
      <c r="E1311">
        <v>2</v>
      </c>
      <c r="F1311" s="2">
        <v>399.99</v>
      </c>
      <c r="G1311">
        <v>0</v>
      </c>
      <c r="H1311" s="2">
        <v>399.99</v>
      </c>
      <c r="I1311" s="2">
        <v>799.98</v>
      </c>
      <c r="J1311" t="s">
        <v>51</v>
      </c>
      <c r="K1311" t="s">
        <v>20</v>
      </c>
      <c r="L1311" t="s">
        <v>152</v>
      </c>
      <c r="M1311" t="s">
        <v>53</v>
      </c>
      <c r="N1311" t="s">
        <v>54</v>
      </c>
      <c r="O1311" t="s">
        <v>35</v>
      </c>
      <c r="Q1311" s="2">
        <f>Ventas[[#This Row],[precio_base]]*Ventas[[#This Row],[cantidad]]</f>
        <v>799.98</v>
      </c>
      <c r="R1311" s="2">
        <f>Ventas[[#This Row],[Total bruto (antes de descuento)]]-Ventas[[#This Row],[total_venta]]</f>
        <v>0</v>
      </c>
    </row>
    <row r="1312" spans="1:18" x14ac:dyDescent="0.25">
      <c r="A1312" t="s">
        <v>1405</v>
      </c>
      <c r="B1312" s="1">
        <v>45560</v>
      </c>
      <c r="C1312" t="s">
        <v>141</v>
      </c>
      <c r="D1312" t="s">
        <v>38</v>
      </c>
      <c r="E1312">
        <v>3</v>
      </c>
      <c r="F1312" s="2">
        <v>89.99</v>
      </c>
      <c r="G1312">
        <v>15</v>
      </c>
      <c r="H1312" s="2">
        <v>76.489999999999995</v>
      </c>
      <c r="I1312" s="2">
        <v>229.47</v>
      </c>
      <c r="J1312" t="s">
        <v>19</v>
      </c>
      <c r="K1312" t="s">
        <v>20</v>
      </c>
      <c r="L1312" t="s">
        <v>28</v>
      </c>
      <c r="M1312" t="s">
        <v>39</v>
      </c>
      <c r="N1312" t="s">
        <v>40</v>
      </c>
      <c r="O1312" t="s">
        <v>35</v>
      </c>
      <c r="P1312">
        <v>1</v>
      </c>
      <c r="Q1312" s="2">
        <f>Ventas[[#This Row],[precio_base]]*Ventas[[#This Row],[cantidad]]</f>
        <v>269.96999999999997</v>
      </c>
      <c r="R1312" s="2">
        <f>Ventas[[#This Row],[Total bruto (antes de descuento)]]-Ventas[[#This Row],[total_venta]]</f>
        <v>40.499999999999972</v>
      </c>
    </row>
    <row r="1313" spans="1:18" x14ac:dyDescent="0.25">
      <c r="A1313" t="s">
        <v>1406</v>
      </c>
      <c r="B1313" s="1">
        <v>45057</v>
      </c>
      <c r="C1313" t="s">
        <v>115</v>
      </c>
      <c r="D1313" t="s">
        <v>18</v>
      </c>
      <c r="E1313">
        <v>4</v>
      </c>
      <c r="F1313" s="2">
        <v>799.99</v>
      </c>
      <c r="G1313">
        <v>10</v>
      </c>
      <c r="H1313" s="2">
        <v>719.99</v>
      </c>
      <c r="I1313" s="2">
        <v>2879.96</v>
      </c>
      <c r="J1313" t="s">
        <v>51</v>
      </c>
      <c r="K1313" t="s">
        <v>52</v>
      </c>
      <c r="L1313" t="s">
        <v>32</v>
      </c>
      <c r="M1313" t="s">
        <v>53</v>
      </c>
      <c r="N1313" t="s">
        <v>54</v>
      </c>
      <c r="O1313" t="s">
        <v>35</v>
      </c>
      <c r="Q1313" s="2">
        <f>Ventas[[#This Row],[precio_base]]*Ventas[[#This Row],[cantidad]]</f>
        <v>3199.96</v>
      </c>
      <c r="R1313" s="2">
        <f>Ventas[[#This Row],[Total bruto (antes de descuento)]]-Ventas[[#This Row],[total_venta]]</f>
        <v>320</v>
      </c>
    </row>
    <row r="1314" spans="1:18" x14ac:dyDescent="0.25">
      <c r="A1314" t="s">
        <v>1407</v>
      </c>
      <c r="B1314" s="1">
        <v>45500</v>
      </c>
      <c r="C1314" t="s">
        <v>89</v>
      </c>
      <c r="D1314" t="s">
        <v>38</v>
      </c>
      <c r="E1314">
        <v>3</v>
      </c>
      <c r="F1314" s="2">
        <v>69.989999999999995</v>
      </c>
      <c r="G1314">
        <v>5</v>
      </c>
      <c r="H1314" s="2">
        <v>66.489999999999995</v>
      </c>
      <c r="I1314" s="2">
        <v>199.47</v>
      </c>
      <c r="J1314" t="s">
        <v>51</v>
      </c>
      <c r="K1314" t="s">
        <v>52</v>
      </c>
      <c r="L1314" t="s">
        <v>21</v>
      </c>
      <c r="M1314" t="s">
        <v>95</v>
      </c>
      <c r="N1314" t="s">
        <v>96</v>
      </c>
      <c r="O1314" t="s">
        <v>48</v>
      </c>
      <c r="Q1314" s="2">
        <f>Ventas[[#This Row],[precio_base]]*Ventas[[#This Row],[cantidad]]</f>
        <v>209.96999999999997</v>
      </c>
      <c r="R1314" s="2">
        <f>Ventas[[#This Row],[Total bruto (antes de descuento)]]-Ventas[[#This Row],[total_venta]]</f>
        <v>10.499999999999972</v>
      </c>
    </row>
    <row r="1315" spans="1:18" x14ac:dyDescent="0.25">
      <c r="A1315" t="s">
        <v>1408</v>
      </c>
      <c r="B1315" s="1">
        <v>45356</v>
      </c>
      <c r="C1315" t="s">
        <v>87</v>
      </c>
      <c r="D1315" t="s">
        <v>27</v>
      </c>
      <c r="E1315">
        <v>5</v>
      </c>
      <c r="F1315" s="2">
        <v>249.99</v>
      </c>
      <c r="G1315">
        <v>20</v>
      </c>
      <c r="H1315" s="2">
        <v>199.99</v>
      </c>
      <c r="I1315" s="2">
        <v>999.95</v>
      </c>
      <c r="J1315" t="s">
        <v>19</v>
      </c>
      <c r="K1315" t="s">
        <v>20</v>
      </c>
      <c r="L1315" t="s">
        <v>152</v>
      </c>
      <c r="M1315" t="s">
        <v>33</v>
      </c>
      <c r="N1315" t="s">
        <v>34</v>
      </c>
      <c r="O1315" t="s">
        <v>35</v>
      </c>
      <c r="P1315">
        <v>3</v>
      </c>
      <c r="Q1315" s="2">
        <f>Ventas[[#This Row],[precio_base]]*Ventas[[#This Row],[cantidad]]</f>
        <v>1249.95</v>
      </c>
      <c r="R1315" s="2">
        <f>Ventas[[#This Row],[Total bruto (antes de descuento)]]-Ventas[[#This Row],[total_venta]]</f>
        <v>250</v>
      </c>
    </row>
    <row r="1316" spans="1:18" x14ac:dyDescent="0.25">
      <c r="A1316" t="s">
        <v>1409</v>
      </c>
      <c r="B1316" s="1">
        <v>44973</v>
      </c>
      <c r="C1316" t="s">
        <v>26</v>
      </c>
      <c r="D1316" t="s">
        <v>27</v>
      </c>
      <c r="E1316">
        <v>1</v>
      </c>
      <c r="F1316" s="2">
        <v>399.99</v>
      </c>
      <c r="G1316">
        <v>20</v>
      </c>
      <c r="H1316" s="2">
        <v>319.99</v>
      </c>
      <c r="I1316" s="2">
        <v>319.99</v>
      </c>
      <c r="J1316" t="s">
        <v>116</v>
      </c>
      <c r="K1316" t="s">
        <v>44</v>
      </c>
      <c r="L1316" t="s">
        <v>45</v>
      </c>
      <c r="M1316" t="s">
        <v>22</v>
      </c>
      <c r="N1316" t="s">
        <v>23</v>
      </c>
      <c r="O1316" t="s">
        <v>24</v>
      </c>
      <c r="Q1316" s="2">
        <f>Ventas[[#This Row],[precio_base]]*Ventas[[#This Row],[cantidad]]</f>
        <v>399.99</v>
      </c>
      <c r="R1316" s="2">
        <f>Ventas[[#This Row],[Total bruto (antes de descuento)]]-Ventas[[#This Row],[total_venta]]</f>
        <v>80</v>
      </c>
    </row>
    <row r="1317" spans="1:18" x14ac:dyDescent="0.25">
      <c r="A1317" t="s">
        <v>1410</v>
      </c>
      <c r="B1317" s="1">
        <v>45628</v>
      </c>
      <c r="C1317" t="s">
        <v>50</v>
      </c>
      <c r="D1317" t="s">
        <v>27</v>
      </c>
      <c r="E1317">
        <v>5</v>
      </c>
      <c r="F1317" s="2">
        <v>149.99</v>
      </c>
      <c r="G1317">
        <v>0</v>
      </c>
      <c r="H1317" s="2">
        <v>149.99</v>
      </c>
      <c r="I1317" s="2">
        <v>749.95</v>
      </c>
      <c r="J1317" t="s">
        <v>19</v>
      </c>
      <c r="K1317" t="s">
        <v>44</v>
      </c>
      <c r="L1317" t="s">
        <v>45</v>
      </c>
      <c r="M1317" t="s">
        <v>39</v>
      </c>
      <c r="N1317" t="s">
        <v>40</v>
      </c>
      <c r="O1317" t="s">
        <v>35</v>
      </c>
      <c r="P1317">
        <v>4</v>
      </c>
      <c r="Q1317" s="2">
        <f>Ventas[[#This Row],[precio_base]]*Ventas[[#This Row],[cantidad]]</f>
        <v>749.95</v>
      </c>
      <c r="R1317" s="2">
        <f>Ventas[[#This Row],[Total bruto (antes de descuento)]]-Ventas[[#This Row],[total_venta]]</f>
        <v>0</v>
      </c>
    </row>
    <row r="1318" spans="1:18" x14ac:dyDescent="0.25">
      <c r="A1318" t="s">
        <v>1411</v>
      </c>
      <c r="B1318" s="1">
        <v>45337</v>
      </c>
      <c r="C1318" t="s">
        <v>156</v>
      </c>
      <c r="D1318" t="s">
        <v>27</v>
      </c>
      <c r="E1318">
        <v>3</v>
      </c>
      <c r="F1318" s="2">
        <v>49.99</v>
      </c>
      <c r="G1318">
        <v>0</v>
      </c>
      <c r="H1318" s="2">
        <v>49.99</v>
      </c>
      <c r="I1318" s="2">
        <v>149.97</v>
      </c>
      <c r="J1318" t="s">
        <v>19</v>
      </c>
      <c r="K1318" t="s">
        <v>44</v>
      </c>
      <c r="L1318" t="s">
        <v>45</v>
      </c>
      <c r="M1318" t="s">
        <v>63</v>
      </c>
      <c r="N1318" t="s">
        <v>34</v>
      </c>
      <c r="O1318" t="s">
        <v>24</v>
      </c>
      <c r="P1318">
        <v>1</v>
      </c>
      <c r="Q1318" s="2">
        <f>Ventas[[#This Row],[precio_base]]*Ventas[[#This Row],[cantidad]]</f>
        <v>149.97</v>
      </c>
      <c r="R1318" s="2">
        <f>Ventas[[#This Row],[Total bruto (antes de descuento)]]-Ventas[[#This Row],[total_venta]]</f>
        <v>0</v>
      </c>
    </row>
    <row r="1319" spans="1:18" x14ac:dyDescent="0.25">
      <c r="A1319" t="s">
        <v>1412</v>
      </c>
      <c r="B1319" s="1">
        <v>45452</v>
      </c>
      <c r="C1319" t="s">
        <v>151</v>
      </c>
      <c r="D1319" t="s">
        <v>27</v>
      </c>
      <c r="E1319">
        <v>5</v>
      </c>
      <c r="F1319" s="2">
        <v>599.99</v>
      </c>
      <c r="G1319">
        <v>15</v>
      </c>
      <c r="H1319" s="2">
        <v>509.99</v>
      </c>
      <c r="I1319" s="2">
        <v>2549.9499999999998</v>
      </c>
      <c r="J1319" t="s">
        <v>51</v>
      </c>
      <c r="K1319" t="s">
        <v>20</v>
      </c>
      <c r="L1319" t="s">
        <v>21</v>
      </c>
      <c r="M1319" t="s">
        <v>58</v>
      </c>
      <c r="N1319" t="s">
        <v>59</v>
      </c>
      <c r="O1319" t="s">
        <v>24</v>
      </c>
      <c r="Q1319" s="2">
        <f>Ventas[[#This Row],[precio_base]]*Ventas[[#This Row],[cantidad]]</f>
        <v>2999.95</v>
      </c>
      <c r="R1319" s="2">
        <f>Ventas[[#This Row],[Total bruto (antes de descuento)]]-Ventas[[#This Row],[total_venta]]</f>
        <v>450</v>
      </c>
    </row>
    <row r="1320" spans="1:18" x14ac:dyDescent="0.25">
      <c r="A1320" t="s">
        <v>1413</v>
      </c>
      <c r="B1320" s="1">
        <v>45652</v>
      </c>
      <c r="C1320" t="s">
        <v>61</v>
      </c>
      <c r="D1320" t="s">
        <v>38</v>
      </c>
      <c r="E1320">
        <v>5</v>
      </c>
      <c r="F1320" s="2">
        <v>19.989999999999998</v>
      </c>
      <c r="G1320">
        <v>0</v>
      </c>
      <c r="H1320" s="2">
        <v>19.989999999999998</v>
      </c>
      <c r="I1320" s="2">
        <v>99.95</v>
      </c>
      <c r="J1320" t="s">
        <v>19</v>
      </c>
      <c r="K1320" t="s">
        <v>44</v>
      </c>
      <c r="L1320" t="s">
        <v>21</v>
      </c>
      <c r="M1320" t="s">
        <v>46</v>
      </c>
      <c r="N1320" t="s">
        <v>47</v>
      </c>
      <c r="O1320" t="s">
        <v>48</v>
      </c>
      <c r="P1320">
        <v>2</v>
      </c>
      <c r="Q1320" s="2">
        <f>Ventas[[#This Row],[precio_base]]*Ventas[[#This Row],[cantidad]]</f>
        <v>99.949999999999989</v>
      </c>
      <c r="R1320" s="2">
        <f>Ventas[[#This Row],[Total bruto (antes de descuento)]]-Ventas[[#This Row],[total_venta]]</f>
        <v>0</v>
      </c>
    </row>
    <row r="1321" spans="1:18" x14ac:dyDescent="0.25">
      <c r="A1321" t="s">
        <v>1414</v>
      </c>
      <c r="B1321" s="1">
        <v>45211</v>
      </c>
      <c r="C1321" t="s">
        <v>122</v>
      </c>
      <c r="D1321" t="s">
        <v>43</v>
      </c>
      <c r="E1321">
        <v>2</v>
      </c>
      <c r="F1321" s="2">
        <v>44.99</v>
      </c>
      <c r="G1321">
        <v>0</v>
      </c>
      <c r="H1321" s="2">
        <v>44.99</v>
      </c>
      <c r="I1321" s="2">
        <v>89.98</v>
      </c>
      <c r="J1321" t="s">
        <v>62</v>
      </c>
      <c r="K1321" t="s">
        <v>44</v>
      </c>
      <c r="L1321" t="s">
        <v>21</v>
      </c>
      <c r="M1321" t="s">
        <v>46</v>
      </c>
      <c r="N1321" t="s">
        <v>47</v>
      </c>
      <c r="O1321" t="s">
        <v>48</v>
      </c>
      <c r="Q1321" s="2">
        <f>Ventas[[#This Row],[precio_base]]*Ventas[[#This Row],[cantidad]]</f>
        <v>89.98</v>
      </c>
      <c r="R1321" s="2">
        <f>Ventas[[#This Row],[Total bruto (antes de descuento)]]-Ventas[[#This Row],[total_venta]]</f>
        <v>0</v>
      </c>
    </row>
    <row r="1322" spans="1:18" x14ac:dyDescent="0.25">
      <c r="A1322" t="s">
        <v>1415</v>
      </c>
      <c r="B1322" s="1">
        <v>45142</v>
      </c>
      <c r="C1322" t="s">
        <v>50</v>
      </c>
      <c r="D1322" t="s">
        <v>27</v>
      </c>
      <c r="E1322">
        <v>1</v>
      </c>
      <c r="F1322" s="2">
        <v>149.99</v>
      </c>
      <c r="G1322">
        <v>0</v>
      </c>
      <c r="H1322" s="2">
        <v>149.99</v>
      </c>
      <c r="I1322" s="2">
        <v>149.99</v>
      </c>
      <c r="J1322" t="s">
        <v>51</v>
      </c>
      <c r="K1322" t="s">
        <v>44</v>
      </c>
      <c r="L1322" t="s">
        <v>45</v>
      </c>
      <c r="M1322" t="s">
        <v>73</v>
      </c>
      <c r="N1322" t="s">
        <v>74</v>
      </c>
      <c r="O1322" t="s">
        <v>35</v>
      </c>
      <c r="Q1322" s="2">
        <f>Ventas[[#This Row],[precio_base]]*Ventas[[#This Row],[cantidad]]</f>
        <v>149.99</v>
      </c>
      <c r="R1322" s="2">
        <f>Ventas[[#This Row],[Total bruto (antes de descuento)]]-Ventas[[#This Row],[total_venta]]</f>
        <v>0</v>
      </c>
    </row>
    <row r="1323" spans="1:18" x14ac:dyDescent="0.25">
      <c r="A1323" t="s">
        <v>1416</v>
      </c>
      <c r="B1323" s="1">
        <v>45012</v>
      </c>
      <c r="C1323" t="s">
        <v>30</v>
      </c>
      <c r="D1323" t="s">
        <v>31</v>
      </c>
      <c r="E1323">
        <v>5</v>
      </c>
      <c r="F1323" s="2">
        <v>299.99</v>
      </c>
      <c r="G1323">
        <v>0</v>
      </c>
      <c r="H1323" s="2">
        <v>299.99</v>
      </c>
      <c r="I1323" s="2">
        <v>1499.95</v>
      </c>
      <c r="J1323" t="s">
        <v>51</v>
      </c>
      <c r="K1323" t="s">
        <v>52</v>
      </c>
      <c r="L1323" t="s">
        <v>21</v>
      </c>
      <c r="M1323" t="s">
        <v>120</v>
      </c>
      <c r="N1323" t="s">
        <v>23</v>
      </c>
      <c r="O1323" t="s">
        <v>24</v>
      </c>
      <c r="Q1323" s="2">
        <f>Ventas[[#This Row],[precio_base]]*Ventas[[#This Row],[cantidad]]</f>
        <v>1499.95</v>
      </c>
      <c r="R1323" s="2">
        <f>Ventas[[#This Row],[Total bruto (antes de descuento)]]-Ventas[[#This Row],[total_venta]]</f>
        <v>0</v>
      </c>
    </row>
    <row r="1324" spans="1:18" x14ac:dyDescent="0.25">
      <c r="A1324" t="s">
        <v>1417</v>
      </c>
      <c r="B1324" s="1">
        <v>44985</v>
      </c>
      <c r="C1324" t="s">
        <v>72</v>
      </c>
      <c r="D1324" t="s">
        <v>31</v>
      </c>
      <c r="E1324">
        <v>1</v>
      </c>
      <c r="F1324" s="2">
        <v>29.99</v>
      </c>
      <c r="G1324">
        <v>20</v>
      </c>
      <c r="H1324" s="2">
        <v>23.99</v>
      </c>
      <c r="I1324" s="2">
        <v>23.99</v>
      </c>
      <c r="J1324" t="s">
        <v>19</v>
      </c>
      <c r="K1324" t="s">
        <v>57</v>
      </c>
      <c r="L1324" t="s">
        <v>21</v>
      </c>
      <c r="M1324" t="s">
        <v>84</v>
      </c>
      <c r="N1324" t="s">
        <v>85</v>
      </c>
      <c r="O1324" t="s">
        <v>35</v>
      </c>
      <c r="P1324">
        <v>1</v>
      </c>
      <c r="Q1324" s="2">
        <f>Ventas[[#This Row],[precio_base]]*Ventas[[#This Row],[cantidad]]</f>
        <v>29.99</v>
      </c>
      <c r="R1324" s="2">
        <f>Ventas[[#This Row],[Total bruto (antes de descuento)]]-Ventas[[#This Row],[total_venta]]</f>
        <v>6</v>
      </c>
    </row>
    <row r="1325" spans="1:18" x14ac:dyDescent="0.25">
      <c r="A1325" t="s">
        <v>1418</v>
      </c>
      <c r="B1325" s="1">
        <v>45477</v>
      </c>
      <c r="C1325" t="s">
        <v>81</v>
      </c>
      <c r="D1325" t="s">
        <v>31</v>
      </c>
      <c r="E1325">
        <v>5</v>
      </c>
      <c r="F1325" s="2">
        <v>189.99</v>
      </c>
      <c r="G1325">
        <v>0</v>
      </c>
      <c r="H1325" s="2">
        <v>189.99</v>
      </c>
      <c r="I1325" s="2">
        <v>949.95</v>
      </c>
      <c r="J1325" t="s">
        <v>51</v>
      </c>
      <c r="K1325" t="s">
        <v>20</v>
      </c>
      <c r="L1325" t="s">
        <v>28</v>
      </c>
      <c r="M1325" t="s">
        <v>84</v>
      </c>
      <c r="N1325" t="s">
        <v>85</v>
      </c>
      <c r="O1325" t="s">
        <v>35</v>
      </c>
      <c r="Q1325" s="2">
        <f>Ventas[[#This Row],[precio_base]]*Ventas[[#This Row],[cantidad]]</f>
        <v>949.95</v>
      </c>
      <c r="R1325" s="2">
        <f>Ventas[[#This Row],[Total bruto (antes de descuento)]]-Ventas[[#This Row],[total_venta]]</f>
        <v>0</v>
      </c>
    </row>
    <row r="1326" spans="1:18" x14ac:dyDescent="0.25">
      <c r="A1326" t="s">
        <v>1419</v>
      </c>
      <c r="B1326" s="1">
        <v>45568</v>
      </c>
      <c r="C1326" t="s">
        <v>72</v>
      </c>
      <c r="D1326" t="s">
        <v>31</v>
      </c>
      <c r="E1326">
        <v>5</v>
      </c>
      <c r="F1326" s="2">
        <v>29.99</v>
      </c>
      <c r="G1326">
        <v>10</v>
      </c>
      <c r="H1326" s="2">
        <v>26.99</v>
      </c>
      <c r="I1326" s="2">
        <v>134.94999999999999</v>
      </c>
      <c r="J1326" t="s">
        <v>19</v>
      </c>
      <c r="K1326" t="s">
        <v>20</v>
      </c>
      <c r="L1326" t="s">
        <v>21</v>
      </c>
      <c r="M1326" t="s">
        <v>101</v>
      </c>
      <c r="N1326" t="s">
        <v>102</v>
      </c>
      <c r="O1326" t="s">
        <v>35</v>
      </c>
      <c r="P1326">
        <v>5</v>
      </c>
      <c r="Q1326" s="2">
        <f>Ventas[[#This Row],[precio_base]]*Ventas[[#This Row],[cantidad]]</f>
        <v>149.94999999999999</v>
      </c>
      <c r="R1326" s="2">
        <f>Ventas[[#This Row],[Total bruto (antes de descuento)]]-Ventas[[#This Row],[total_venta]]</f>
        <v>15</v>
      </c>
    </row>
    <row r="1327" spans="1:18" x14ac:dyDescent="0.25">
      <c r="A1327" t="s">
        <v>1420</v>
      </c>
      <c r="B1327" s="1">
        <v>45571</v>
      </c>
      <c r="C1327" t="s">
        <v>70</v>
      </c>
      <c r="D1327" t="s">
        <v>31</v>
      </c>
      <c r="E1327">
        <v>4</v>
      </c>
      <c r="F1327" s="2">
        <v>59.99</v>
      </c>
      <c r="G1327">
        <v>0</v>
      </c>
      <c r="H1327" s="2">
        <v>59.99</v>
      </c>
      <c r="I1327" s="2">
        <v>239.96</v>
      </c>
      <c r="J1327" t="s">
        <v>19</v>
      </c>
      <c r="K1327" t="s">
        <v>44</v>
      </c>
      <c r="L1327" t="s">
        <v>45</v>
      </c>
      <c r="M1327" t="s">
        <v>84</v>
      </c>
      <c r="N1327" t="s">
        <v>85</v>
      </c>
      <c r="O1327" t="s">
        <v>35</v>
      </c>
      <c r="P1327">
        <v>4</v>
      </c>
      <c r="Q1327" s="2">
        <f>Ventas[[#This Row],[precio_base]]*Ventas[[#This Row],[cantidad]]</f>
        <v>239.96</v>
      </c>
      <c r="R1327" s="2">
        <f>Ventas[[#This Row],[Total bruto (antes de descuento)]]-Ventas[[#This Row],[total_venta]]</f>
        <v>0</v>
      </c>
    </row>
    <row r="1328" spans="1:18" x14ac:dyDescent="0.25">
      <c r="A1328" t="s">
        <v>1421</v>
      </c>
      <c r="B1328" s="1">
        <v>45022</v>
      </c>
      <c r="C1328" t="s">
        <v>92</v>
      </c>
      <c r="D1328" t="s">
        <v>27</v>
      </c>
      <c r="E1328">
        <v>2</v>
      </c>
      <c r="F1328" s="2">
        <v>79.989999999999995</v>
      </c>
      <c r="G1328">
        <v>5</v>
      </c>
      <c r="H1328" s="2">
        <v>75.989999999999995</v>
      </c>
      <c r="I1328" s="2">
        <v>151.97999999999999</v>
      </c>
      <c r="J1328" t="s">
        <v>19</v>
      </c>
      <c r="K1328" t="s">
        <v>20</v>
      </c>
      <c r="L1328" t="s">
        <v>45</v>
      </c>
      <c r="M1328" t="s">
        <v>67</v>
      </c>
      <c r="N1328" t="s">
        <v>68</v>
      </c>
      <c r="O1328" t="s">
        <v>35</v>
      </c>
      <c r="P1328">
        <v>2</v>
      </c>
      <c r="Q1328" s="2">
        <f>Ventas[[#This Row],[precio_base]]*Ventas[[#This Row],[cantidad]]</f>
        <v>159.97999999999999</v>
      </c>
      <c r="R1328" s="2">
        <f>Ventas[[#This Row],[Total bruto (antes de descuento)]]-Ventas[[#This Row],[total_venta]]</f>
        <v>8</v>
      </c>
    </row>
    <row r="1329" spans="1:18" x14ac:dyDescent="0.25">
      <c r="A1329" t="s">
        <v>1422</v>
      </c>
      <c r="B1329" s="1">
        <v>45590</v>
      </c>
      <c r="C1329" t="s">
        <v>83</v>
      </c>
      <c r="D1329" t="s">
        <v>38</v>
      </c>
      <c r="E1329">
        <v>1</v>
      </c>
      <c r="F1329" s="2">
        <v>49.99</v>
      </c>
      <c r="G1329">
        <v>0</v>
      </c>
      <c r="H1329" s="2">
        <v>49.99</v>
      </c>
      <c r="I1329" s="2">
        <v>49.99</v>
      </c>
      <c r="J1329" t="s">
        <v>19</v>
      </c>
      <c r="K1329" t="s">
        <v>52</v>
      </c>
      <c r="L1329" t="s">
        <v>28</v>
      </c>
      <c r="M1329" t="s">
        <v>63</v>
      </c>
      <c r="N1329" t="s">
        <v>34</v>
      </c>
      <c r="O1329" t="s">
        <v>24</v>
      </c>
      <c r="P1329">
        <v>2</v>
      </c>
      <c r="Q1329" s="2">
        <f>Ventas[[#This Row],[precio_base]]*Ventas[[#This Row],[cantidad]]</f>
        <v>49.99</v>
      </c>
      <c r="R1329" s="2">
        <f>Ventas[[#This Row],[Total bruto (antes de descuento)]]-Ventas[[#This Row],[total_venta]]</f>
        <v>0</v>
      </c>
    </row>
    <row r="1330" spans="1:18" x14ac:dyDescent="0.25">
      <c r="A1330" t="s">
        <v>1423</v>
      </c>
      <c r="B1330" s="1">
        <v>44998</v>
      </c>
      <c r="C1330" t="s">
        <v>78</v>
      </c>
      <c r="D1330" t="s">
        <v>18</v>
      </c>
      <c r="E1330">
        <v>1</v>
      </c>
      <c r="F1330" s="2">
        <v>349.99</v>
      </c>
      <c r="G1330">
        <v>5</v>
      </c>
      <c r="H1330" s="2">
        <v>332.49</v>
      </c>
      <c r="I1330" s="2">
        <v>332.49</v>
      </c>
      <c r="J1330" t="s">
        <v>19</v>
      </c>
      <c r="K1330" t="s">
        <v>44</v>
      </c>
      <c r="L1330" t="s">
        <v>45</v>
      </c>
      <c r="M1330" t="s">
        <v>53</v>
      </c>
      <c r="N1330" t="s">
        <v>54</v>
      </c>
      <c r="O1330" t="s">
        <v>35</v>
      </c>
      <c r="P1330">
        <v>5</v>
      </c>
      <c r="Q1330" s="2">
        <f>Ventas[[#This Row],[precio_base]]*Ventas[[#This Row],[cantidad]]</f>
        <v>349.99</v>
      </c>
      <c r="R1330" s="2">
        <f>Ventas[[#This Row],[Total bruto (antes de descuento)]]-Ventas[[#This Row],[total_venta]]</f>
        <v>17.5</v>
      </c>
    </row>
    <row r="1331" spans="1:18" x14ac:dyDescent="0.25">
      <c r="A1331" t="s">
        <v>1424</v>
      </c>
      <c r="B1331" s="1">
        <v>45067</v>
      </c>
      <c r="C1331" t="s">
        <v>76</v>
      </c>
      <c r="D1331" t="s">
        <v>31</v>
      </c>
      <c r="E1331">
        <v>1</v>
      </c>
      <c r="F1331" s="2">
        <v>69.989999999999995</v>
      </c>
      <c r="G1331">
        <v>10</v>
      </c>
      <c r="H1331" s="2">
        <v>62.99</v>
      </c>
      <c r="I1331" s="2">
        <v>62.99</v>
      </c>
      <c r="J1331" t="s">
        <v>19</v>
      </c>
      <c r="K1331" t="s">
        <v>20</v>
      </c>
      <c r="L1331" t="s">
        <v>32</v>
      </c>
      <c r="M1331" t="s">
        <v>120</v>
      </c>
      <c r="N1331" t="s">
        <v>23</v>
      </c>
      <c r="O1331" t="s">
        <v>24</v>
      </c>
      <c r="P1331">
        <v>1</v>
      </c>
      <c r="Q1331" s="2">
        <f>Ventas[[#This Row],[precio_base]]*Ventas[[#This Row],[cantidad]]</f>
        <v>69.989999999999995</v>
      </c>
      <c r="R1331" s="2">
        <f>Ventas[[#This Row],[Total bruto (antes de descuento)]]-Ventas[[#This Row],[total_venta]]</f>
        <v>6.9999999999999929</v>
      </c>
    </row>
    <row r="1332" spans="1:18" x14ac:dyDescent="0.25">
      <c r="A1332" t="s">
        <v>1425</v>
      </c>
      <c r="B1332" s="1">
        <v>45062</v>
      </c>
      <c r="C1332" t="s">
        <v>163</v>
      </c>
      <c r="D1332" t="s">
        <v>18</v>
      </c>
      <c r="E1332">
        <v>1</v>
      </c>
      <c r="F1332" s="2">
        <v>499.99</v>
      </c>
      <c r="G1332">
        <v>0</v>
      </c>
      <c r="H1332" s="2">
        <v>499.99</v>
      </c>
      <c r="I1332" s="2">
        <v>499.99</v>
      </c>
      <c r="J1332" t="s">
        <v>19</v>
      </c>
      <c r="K1332" t="s">
        <v>44</v>
      </c>
      <c r="L1332" t="s">
        <v>28</v>
      </c>
      <c r="M1332" t="s">
        <v>73</v>
      </c>
      <c r="N1332" t="s">
        <v>74</v>
      </c>
      <c r="O1332" t="s">
        <v>35</v>
      </c>
      <c r="P1332">
        <v>1</v>
      </c>
      <c r="Q1332" s="2">
        <f>Ventas[[#This Row],[precio_base]]*Ventas[[#This Row],[cantidad]]</f>
        <v>499.99</v>
      </c>
      <c r="R1332" s="2">
        <f>Ventas[[#This Row],[Total bruto (antes de descuento)]]-Ventas[[#This Row],[total_venta]]</f>
        <v>0</v>
      </c>
    </row>
    <row r="1333" spans="1:18" x14ac:dyDescent="0.25">
      <c r="A1333" t="s">
        <v>1426</v>
      </c>
      <c r="B1333" s="1">
        <v>45035</v>
      </c>
      <c r="C1333" t="s">
        <v>50</v>
      </c>
      <c r="D1333" t="s">
        <v>27</v>
      </c>
      <c r="E1333">
        <v>3</v>
      </c>
      <c r="F1333" s="2">
        <v>149.99</v>
      </c>
      <c r="G1333">
        <v>20</v>
      </c>
      <c r="H1333" s="2">
        <v>119.99</v>
      </c>
      <c r="I1333" s="2">
        <v>359.97</v>
      </c>
      <c r="J1333" t="s">
        <v>51</v>
      </c>
      <c r="K1333" t="s">
        <v>20</v>
      </c>
      <c r="L1333" t="s">
        <v>28</v>
      </c>
      <c r="M1333" t="s">
        <v>22</v>
      </c>
      <c r="N1333" t="s">
        <v>23</v>
      </c>
      <c r="O1333" t="s">
        <v>24</v>
      </c>
      <c r="Q1333" s="2">
        <f>Ventas[[#This Row],[precio_base]]*Ventas[[#This Row],[cantidad]]</f>
        <v>449.97</v>
      </c>
      <c r="R1333" s="2">
        <f>Ventas[[#This Row],[Total bruto (antes de descuento)]]-Ventas[[#This Row],[total_venta]]</f>
        <v>90</v>
      </c>
    </row>
    <row r="1334" spans="1:18" x14ac:dyDescent="0.25">
      <c r="A1334" t="s">
        <v>1427</v>
      </c>
      <c r="B1334" s="1">
        <v>45381</v>
      </c>
      <c r="C1334" t="s">
        <v>143</v>
      </c>
      <c r="D1334" t="s">
        <v>43</v>
      </c>
      <c r="E1334">
        <v>2</v>
      </c>
      <c r="F1334" s="2">
        <v>34.99</v>
      </c>
      <c r="G1334">
        <v>0</v>
      </c>
      <c r="H1334" s="2">
        <v>34.99</v>
      </c>
      <c r="I1334" s="2">
        <v>69.98</v>
      </c>
      <c r="J1334" t="s">
        <v>19</v>
      </c>
      <c r="K1334" t="s">
        <v>20</v>
      </c>
      <c r="L1334" t="s">
        <v>45</v>
      </c>
      <c r="M1334" t="s">
        <v>63</v>
      </c>
      <c r="N1334" t="s">
        <v>34</v>
      </c>
      <c r="O1334" t="s">
        <v>24</v>
      </c>
      <c r="P1334">
        <v>3</v>
      </c>
      <c r="Q1334" s="2">
        <f>Ventas[[#This Row],[precio_base]]*Ventas[[#This Row],[cantidad]]</f>
        <v>69.98</v>
      </c>
      <c r="R1334" s="2">
        <f>Ventas[[#This Row],[Total bruto (antes de descuento)]]-Ventas[[#This Row],[total_venta]]</f>
        <v>0</v>
      </c>
    </row>
    <row r="1335" spans="1:18" x14ac:dyDescent="0.25">
      <c r="A1335" t="s">
        <v>1428</v>
      </c>
      <c r="B1335" s="1">
        <v>45569</v>
      </c>
      <c r="C1335" t="s">
        <v>50</v>
      </c>
      <c r="D1335" t="s">
        <v>27</v>
      </c>
      <c r="E1335">
        <v>1</v>
      </c>
      <c r="F1335" s="2">
        <v>149.99</v>
      </c>
      <c r="G1335">
        <v>0</v>
      </c>
      <c r="H1335" s="2">
        <v>149.99</v>
      </c>
      <c r="I1335" s="2">
        <v>149.99</v>
      </c>
      <c r="J1335" t="s">
        <v>62</v>
      </c>
      <c r="K1335" t="s">
        <v>44</v>
      </c>
      <c r="L1335" t="s">
        <v>21</v>
      </c>
      <c r="M1335" t="s">
        <v>95</v>
      </c>
      <c r="N1335" t="s">
        <v>96</v>
      </c>
      <c r="O1335" t="s">
        <v>48</v>
      </c>
      <c r="Q1335" s="2">
        <f>Ventas[[#This Row],[precio_base]]*Ventas[[#This Row],[cantidad]]</f>
        <v>149.99</v>
      </c>
      <c r="R1335" s="2">
        <f>Ventas[[#This Row],[Total bruto (antes de descuento)]]-Ventas[[#This Row],[total_venta]]</f>
        <v>0</v>
      </c>
    </row>
    <row r="1336" spans="1:18" x14ac:dyDescent="0.25">
      <c r="A1336" t="s">
        <v>1429</v>
      </c>
      <c r="B1336" s="1">
        <v>45352</v>
      </c>
      <c r="C1336" t="s">
        <v>78</v>
      </c>
      <c r="D1336" t="s">
        <v>18</v>
      </c>
      <c r="E1336">
        <v>1</v>
      </c>
      <c r="F1336" s="2">
        <v>349.99</v>
      </c>
      <c r="G1336">
        <v>0</v>
      </c>
      <c r="H1336" s="2">
        <v>349.99</v>
      </c>
      <c r="I1336" s="2">
        <v>349.99</v>
      </c>
      <c r="J1336" t="s">
        <v>19</v>
      </c>
      <c r="K1336" t="s">
        <v>20</v>
      </c>
      <c r="L1336" t="s">
        <v>45</v>
      </c>
      <c r="M1336" t="s">
        <v>120</v>
      </c>
      <c r="N1336" t="s">
        <v>23</v>
      </c>
      <c r="O1336" t="s">
        <v>24</v>
      </c>
      <c r="P1336">
        <v>3</v>
      </c>
      <c r="Q1336" s="2">
        <f>Ventas[[#This Row],[precio_base]]*Ventas[[#This Row],[cantidad]]</f>
        <v>349.99</v>
      </c>
      <c r="R1336" s="2">
        <f>Ventas[[#This Row],[Total bruto (antes de descuento)]]-Ventas[[#This Row],[total_venta]]</f>
        <v>0</v>
      </c>
    </row>
    <row r="1337" spans="1:18" x14ac:dyDescent="0.25">
      <c r="A1337" t="s">
        <v>1430</v>
      </c>
      <c r="B1337" s="1">
        <v>45158</v>
      </c>
      <c r="C1337" t="s">
        <v>122</v>
      </c>
      <c r="D1337" t="s">
        <v>43</v>
      </c>
      <c r="E1337">
        <v>4</v>
      </c>
      <c r="F1337" s="2">
        <v>44.99</v>
      </c>
      <c r="G1337">
        <v>15</v>
      </c>
      <c r="H1337" s="2">
        <v>38.24</v>
      </c>
      <c r="I1337" s="2">
        <v>152.96</v>
      </c>
      <c r="J1337" t="s">
        <v>62</v>
      </c>
      <c r="K1337" t="s">
        <v>52</v>
      </c>
      <c r="L1337" t="s">
        <v>45</v>
      </c>
      <c r="M1337" t="s">
        <v>67</v>
      </c>
      <c r="N1337" t="s">
        <v>68</v>
      </c>
      <c r="O1337" t="s">
        <v>35</v>
      </c>
      <c r="Q1337" s="2">
        <f>Ventas[[#This Row],[precio_base]]*Ventas[[#This Row],[cantidad]]</f>
        <v>179.96</v>
      </c>
      <c r="R1337" s="2">
        <f>Ventas[[#This Row],[Total bruto (antes de descuento)]]-Ventas[[#This Row],[total_venta]]</f>
        <v>27</v>
      </c>
    </row>
    <row r="1338" spans="1:18" x14ac:dyDescent="0.25">
      <c r="A1338" t="s">
        <v>1431</v>
      </c>
      <c r="B1338" s="1">
        <v>45039</v>
      </c>
      <c r="C1338" t="s">
        <v>163</v>
      </c>
      <c r="D1338" t="s">
        <v>18</v>
      </c>
      <c r="E1338">
        <v>1</v>
      </c>
      <c r="F1338" s="2">
        <v>499.99</v>
      </c>
      <c r="G1338">
        <v>0</v>
      </c>
      <c r="H1338" s="2">
        <v>499.99</v>
      </c>
      <c r="I1338" s="2">
        <v>499.99</v>
      </c>
      <c r="J1338" t="s">
        <v>19</v>
      </c>
      <c r="K1338" t="s">
        <v>20</v>
      </c>
      <c r="L1338" t="s">
        <v>45</v>
      </c>
      <c r="M1338" t="s">
        <v>33</v>
      </c>
      <c r="N1338" t="s">
        <v>34</v>
      </c>
      <c r="O1338" t="s">
        <v>35</v>
      </c>
      <c r="P1338">
        <v>1</v>
      </c>
      <c r="Q1338" s="2">
        <f>Ventas[[#This Row],[precio_base]]*Ventas[[#This Row],[cantidad]]</f>
        <v>499.99</v>
      </c>
      <c r="R1338" s="2">
        <f>Ventas[[#This Row],[Total bruto (antes de descuento)]]-Ventas[[#This Row],[total_venta]]</f>
        <v>0</v>
      </c>
    </row>
    <row r="1339" spans="1:18" x14ac:dyDescent="0.25">
      <c r="A1339" t="s">
        <v>1432</v>
      </c>
      <c r="B1339" s="1">
        <v>44971</v>
      </c>
      <c r="C1339" t="s">
        <v>156</v>
      </c>
      <c r="D1339" t="s">
        <v>27</v>
      </c>
      <c r="E1339">
        <v>2</v>
      </c>
      <c r="F1339" s="2">
        <v>49.99</v>
      </c>
      <c r="G1339">
        <v>0</v>
      </c>
      <c r="H1339" s="2">
        <v>49.99</v>
      </c>
      <c r="I1339" s="2">
        <v>99.98</v>
      </c>
      <c r="J1339" t="s">
        <v>19</v>
      </c>
      <c r="K1339" t="s">
        <v>44</v>
      </c>
      <c r="L1339" t="s">
        <v>28</v>
      </c>
      <c r="M1339" t="s">
        <v>123</v>
      </c>
      <c r="N1339" t="s">
        <v>124</v>
      </c>
      <c r="O1339" t="s">
        <v>24</v>
      </c>
      <c r="P1339">
        <v>2</v>
      </c>
      <c r="Q1339" s="2">
        <f>Ventas[[#This Row],[precio_base]]*Ventas[[#This Row],[cantidad]]</f>
        <v>99.98</v>
      </c>
      <c r="R1339" s="2">
        <f>Ventas[[#This Row],[Total bruto (antes de descuento)]]-Ventas[[#This Row],[total_venta]]</f>
        <v>0</v>
      </c>
    </row>
    <row r="1340" spans="1:18" x14ac:dyDescent="0.25">
      <c r="A1340" t="s">
        <v>1433</v>
      </c>
      <c r="B1340" s="1">
        <v>45610</v>
      </c>
      <c r="C1340" t="s">
        <v>81</v>
      </c>
      <c r="D1340" t="s">
        <v>31</v>
      </c>
      <c r="E1340">
        <v>3</v>
      </c>
      <c r="F1340" s="2">
        <v>189.99</v>
      </c>
      <c r="G1340">
        <v>10</v>
      </c>
      <c r="H1340" s="2">
        <v>170.99</v>
      </c>
      <c r="I1340" s="2">
        <v>512.97</v>
      </c>
      <c r="J1340" t="s">
        <v>62</v>
      </c>
      <c r="K1340" t="s">
        <v>52</v>
      </c>
      <c r="L1340" t="s">
        <v>21</v>
      </c>
      <c r="M1340" t="s">
        <v>123</v>
      </c>
      <c r="N1340" t="s">
        <v>124</v>
      </c>
      <c r="O1340" t="s">
        <v>24</v>
      </c>
      <c r="Q1340" s="2">
        <f>Ventas[[#This Row],[precio_base]]*Ventas[[#This Row],[cantidad]]</f>
        <v>569.97</v>
      </c>
      <c r="R1340" s="2">
        <f>Ventas[[#This Row],[Total bruto (antes de descuento)]]-Ventas[[#This Row],[total_venta]]</f>
        <v>57</v>
      </c>
    </row>
    <row r="1341" spans="1:18" x14ac:dyDescent="0.25">
      <c r="A1341" t="s">
        <v>1434</v>
      </c>
      <c r="B1341" s="1">
        <v>45438</v>
      </c>
      <c r="C1341" t="s">
        <v>81</v>
      </c>
      <c r="D1341" t="s">
        <v>31</v>
      </c>
      <c r="E1341">
        <v>3</v>
      </c>
      <c r="F1341" s="2">
        <v>189.99</v>
      </c>
      <c r="G1341">
        <v>0</v>
      </c>
      <c r="H1341" s="2">
        <v>189.99</v>
      </c>
      <c r="I1341" s="2">
        <v>569.97</v>
      </c>
      <c r="J1341" t="s">
        <v>62</v>
      </c>
      <c r="K1341" t="s">
        <v>52</v>
      </c>
      <c r="L1341" t="s">
        <v>28</v>
      </c>
      <c r="M1341" t="s">
        <v>84</v>
      </c>
      <c r="N1341" t="s">
        <v>85</v>
      </c>
      <c r="O1341" t="s">
        <v>35</v>
      </c>
      <c r="Q1341" s="2">
        <f>Ventas[[#This Row],[precio_base]]*Ventas[[#This Row],[cantidad]]</f>
        <v>569.97</v>
      </c>
      <c r="R1341" s="2">
        <f>Ventas[[#This Row],[Total bruto (antes de descuento)]]-Ventas[[#This Row],[total_venta]]</f>
        <v>0</v>
      </c>
    </row>
    <row r="1342" spans="1:18" x14ac:dyDescent="0.25">
      <c r="A1342" t="s">
        <v>1435</v>
      </c>
      <c r="B1342" s="1">
        <v>45079</v>
      </c>
      <c r="C1342" t="s">
        <v>98</v>
      </c>
      <c r="D1342" t="s">
        <v>31</v>
      </c>
      <c r="E1342">
        <v>2</v>
      </c>
      <c r="F1342" s="2">
        <v>99.99</v>
      </c>
      <c r="G1342">
        <v>0</v>
      </c>
      <c r="H1342" s="2">
        <v>99.99</v>
      </c>
      <c r="I1342" s="2">
        <v>199.98</v>
      </c>
      <c r="J1342" t="s">
        <v>19</v>
      </c>
      <c r="K1342" t="s">
        <v>44</v>
      </c>
      <c r="L1342" t="s">
        <v>28</v>
      </c>
      <c r="M1342" t="s">
        <v>101</v>
      </c>
      <c r="N1342" t="s">
        <v>102</v>
      </c>
      <c r="O1342" t="s">
        <v>35</v>
      </c>
      <c r="P1342">
        <v>4</v>
      </c>
      <c r="Q1342" s="2">
        <f>Ventas[[#This Row],[precio_base]]*Ventas[[#This Row],[cantidad]]</f>
        <v>199.98</v>
      </c>
      <c r="R1342" s="2">
        <f>Ventas[[#This Row],[Total bruto (antes de descuento)]]-Ventas[[#This Row],[total_venta]]</f>
        <v>0</v>
      </c>
    </row>
    <row r="1343" spans="1:18" x14ac:dyDescent="0.25">
      <c r="A1343" t="s">
        <v>1436</v>
      </c>
      <c r="B1343" s="1">
        <v>44995</v>
      </c>
      <c r="C1343" t="s">
        <v>17</v>
      </c>
      <c r="D1343" t="s">
        <v>18</v>
      </c>
      <c r="E1343">
        <v>5</v>
      </c>
      <c r="F1343" s="2">
        <v>45.99</v>
      </c>
      <c r="G1343">
        <v>5</v>
      </c>
      <c r="H1343" s="2">
        <v>43.69</v>
      </c>
      <c r="I1343" s="2">
        <v>218.45</v>
      </c>
      <c r="J1343" t="s">
        <v>90</v>
      </c>
      <c r="K1343" t="s">
        <v>20</v>
      </c>
      <c r="L1343" t="s">
        <v>21</v>
      </c>
      <c r="M1343" t="s">
        <v>58</v>
      </c>
      <c r="N1343" t="s">
        <v>59</v>
      </c>
      <c r="O1343" t="s">
        <v>24</v>
      </c>
      <c r="Q1343" s="2">
        <f>Ventas[[#This Row],[precio_base]]*Ventas[[#This Row],[cantidad]]</f>
        <v>229.95000000000002</v>
      </c>
      <c r="R1343" s="2">
        <f>Ventas[[#This Row],[Total bruto (antes de descuento)]]-Ventas[[#This Row],[total_venta]]</f>
        <v>11.500000000000028</v>
      </c>
    </row>
    <row r="1344" spans="1:18" x14ac:dyDescent="0.25">
      <c r="A1344" t="s">
        <v>1437</v>
      </c>
      <c r="B1344" s="1">
        <v>45057</v>
      </c>
      <c r="C1344" t="s">
        <v>205</v>
      </c>
      <c r="D1344" t="s">
        <v>18</v>
      </c>
      <c r="E1344">
        <v>4</v>
      </c>
      <c r="F1344" s="2">
        <v>129.99</v>
      </c>
      <c r="G1344">
        <v>0</v>
      </c>
      <c r="H1344" s="2">
        <v>129.99</v>
      </c>
      <c r="I1344" s="2">
        <v>519.96</v>
      </c>
      <c r="J1344" t="s">
        <v>19</v>
      </c>
      <c r="K1344" t="s">
        <v>44</v>
      </c>
      <c r="L1344" t="s">
        <v>152</v>
      </c>
      <c r="M1344" t="s">
        <v>120</v>
      </c>
      <c r="N1344" t="s">
        <v>23</v>
      </c>
      <c r="O1344" t="s">
        <v>24</v>
      </c>
      <c r="P1344">
        <v>5</v>
      </c>
      <c r="Q1344" s="2">
        <f>Ventas[[#This Row],[precio_base]]*Ventas[[#This Row],[cantidad]]</f>
        <v>519.96</v>
      </c>
      <c r="R1344" s="2">
        <f>Ventas[[#This Row],[Total bruto (antes de descuento)]]-Ventas[[#This Row],[total_venta]]</f>
        <v>0</v>
      </c>
    </row>
    <row r="1345" spans="1:18" x14ac:dyDescent="0.25">
      <c r="A1345" t="s">
        <v>1438</v>
      </c>
      <c r="B1345" s="1">
        <v>45578</v>
      </c>
      <c r="C1345" t="s">
        <v>141</v>
      </c>
      <c r="D1345" t="s">
        <v>38</v>
      </c>
      <c r="E1345">
        <v>2</v>
      </c>
      <c r="F1345" s="2">
        <v>89.99</v>
      </c>
      <c r="G1345">
        <v>20</v>
      </c>
      <c r="H1345" s="2">
        <v>71.989999999999995</v>
      </c>
      <c r="I1345" s="2">
        <v>143.97999999999999</v>
      </c>
      <c r="J1345" t="s">
        <v>90</v>
      </c>
      <c r="K1345" t="s">
        <v>20</v>
      </c>
      <c r="L1345" t="s">
        <v>45</v>
      </c>
      <c r="M1345" t="s">
        <v>53</v>
      </c>
      <c r="N1345" t="s">
        <v>54</v>
      </c>
      <c r="O1345" t="s">
        <v>35</v>
      </c>
      <c r="Q1345" s="2">
        <f>Ventas[[#This Row],[precio_base]]*Ventas[[#This Row],[cantidad]]</f>
        <v>179.98</v>
      </c>
      <c r="R1345" s="2">
        <f>Ventas[[#This Row],[Total bruto (antes de descuento)]]-Ventas[[#This Row],[total_venta]]</f>
        <v>36</v>
      </c>
    </row>
    <row r="1346" spans="1:18" x14ac:dyDescent="0.25">
      <c r="A1346" t="s">
        <v>1439</v>
      </c>
      <c r="B1346" s="1">
        <v>45436</v>
      </c>
      <c r="C1346" t="s">
        <v>50</v>
      </c>
      <c r="D1346" t="s">
        <v>27</v>
      </c>
      <c r="E1346">
        <v>5</v>
      </c>
      <c r="F1346" s="2">
        <v>149.99</v>
      </c>
      <c r="G1346">
        <v>5</v>
      </c>
      <c r="H1346" s="2">
        <v>142.49</v>
      </c>
      <c r="I1346" s="2">
        <v>712.45</v>
      </c>
      <c r="J1346" t="s">
        <v>19</v>
      </c>
      <c r="K1346" t="s">
        <v>20</v>
      </c>
      <c r="L1346" t="s">
        <v>21</v>
      </c>
      <c r="M1346" t="s">
        <v>67</v>
      </c>
      <c r="N1346" t="s">
        <v>68</v>
      </c>
      <c r="O1346" t="s">
        <v>35</v>
      </c>
      <c r="P1346">
        <v>4</v>
      </c>
      <c r="Q1346" s="2">
        <f>Ventas[[#This Row],[precio_base]]*Ventas[[#This Row],[cantidad]]</f>
        <v>749.95</v>
      </c>
      <c r="R1346" s="2">
        <f>Ventas[[#This Row],[Total bruto (antes de descuento)]]-Ventas[[#This Row],[total_venta]]</f>
        <v>37.5</v>
      </c>
    </row>
    <row r="1347" spans="1:18" x14ac:dyDescent="0.25">
      <c r="A1347" t="s">
        <v>1440</v>
      </c>
      <c r="B1347" s="1">
        <v>45466</v>
      </c>
      <c r="C1347" t="s">
        <v>26</v>
      </c>
      <c r="D1347" t="s">
        <v>27</v>
      </c>
      <c r="E1347">
        <v>2</v>
      </c>
      <c r="F1347" s="2">
        <v>399.99</v>
      </c>
      <c r="G1347">
        <v>15</v>
      </c>
      <c r="H1347" s="2">
        <v>339.99</v>
      </c>
      <c r="I1347" s="2">
        <v>679.98</v>
      </c>
      <c r="J1347" t="s">
        <v>19</v>
      </c>
      <c r="K1347" t="s">
        <v>20</v>
      </c>
      <c r="L1347" t="s">
        <v>152</v>
      </c>
      <c r="M1347" t="s">
        <v>123</v>
      </c>
      <c r="N1347" t="s">
        <v>124</v>
      </c>
      <c r="O1347" t="s">
        <v>24</v>
      </c>
      <c r="P1347">
        <v>1</v>
      </c>
      <c r="Q1347" s="2">
        <f>Ventas[[#This Row],[precio_base]]*Ventas[[#This Row],[cantidad]]</f>
        <v>799.98</v>
      </c>
      <c r="R1347" s="2">
        <f>Ventas[[#This Row],[Total bruto (antes de descuento)]]-Ventas[[#This Row],[total_venta]]</f>
        <v>120</v>
      </c>
    </row>
    <row r="1348" spans="1:18" x14ac:dyDescent="0.25">
      <c r="A1348" t="s">
        <v>1441</v>
      </c>
      <c r="B1348" s="1">
        <v>45298</v>
      </c>
      <c r="C1348" t="s">
        <v>50</v>
      </c>
      <c r="D1348" t="s">
        <v>27</v>
      </c>
      <c r="E1348">
        <v>4</v>
      </c>
      <c r="F1348" s="2">
        <v>149.99</v>
      </c>
      <c r="G1348">
        <v>0</v>
      </c>
      <c r="H1348" s="2">
        <v>149.99</v>
      </c>
      <c r="I1348" s="2">
        <v>599.96</v>
      </c>
      <c r="J1348" t="s">
        <v>90</v>
      </c>
      <c r="K1348" t="s">
        <v>52</v>
      </c>
      <c r="L1348" t="s">
        <v>45</v>
      </c>
      <c r="M1348" t="s">
        <v>46</v>
      </c>
      <c r="N1348" t="s">
        <v>47</v>
      </c>
      <c r="O1348" t="s">
        <v>48</v>
      </c>
      <c r="Q1348" s="2">
        <f>Ventas[[#This Row],[precio_base]]*Ventas[[#This Row],[cantidad]]</f>
        <v>599.96</v>
      </c>
      <c r="R1348" s="2">
        <f>Ventas[[#This Row],[Total bruto (antes de descuento)]]-Ventas[[#This Row],[total_venta]]</f>
        <v>0</v>
      </c>
    </row>
    <row r="1349" spans="1:18" x14ac:dyDescent="0.25">
      <c r="A1349" t="s">
        <v>1442</v>
      </c>
      <c r="B1349" s="1">
        <v>45069</v>
      </c>
      <c r="C1349" t="s">
        <v>83</v>
      </c>
      <c r="D1349" t="s">
        <v>38</v>
      </c>
      <c r="E1349">
        <v>4</v>
      </c>
      <c r="F1349" s="2">
        <v>49.99</v>
      </c>
      <c r="G1349">
        <v>0</v>
      </c>
      <c r="H1349" s="2">
        <v>49.99</v>
      </c>
      <c r="I1349" s="2">
        <v>199.96</v>
      </c>
      <c r="J1349" t="s">
        <v>62</v>
      </c>
      <c r="K1349" t="s">
        <v>57</v>
      </c>
      <c r="L1349" t="s">
        <v>152</v>
      </c>
      <c r="M1349" t="s">
        <v>65</v>
      </c>
      <c r="N1349" t="s">
        <v>54</v>
      </c>
      <c r="O1349" t="s">
        <v>35</v>
      </c>
      <c r="Q1349" s="2">
        <f>Ventas[[#This Row],[precio_base]]*Ventas[[#This Row],[cantidad]]</f>
        <v>199.96</v>
      </c>
      <c r="R1349" s="2">
        <f>Ventas[[#This Row],[Total bruto (antes de descuento)]]-Ventas[[#This Row],[total_venta]]</f>
        <v>0</v>
      </c>
    </row>
    <row r="1350" spans="1:18" x14ac:dyDescent="0.25">
      <c r="A1350" t="s">
        <v>1443</v>
      </c>
      <c r="B1350" s="1">
        <v>45175</v>
      </c>
      <c r="C1350" t="s">
        <v>115</v>
      </c>
      <c r="D1350" t="s">
        <v>18</v>
      </c>
      <c r="E1350">
        <v>2</v>
      </c>
      <c r="F1350" s="2">
        <v>799.99</v>
      </c>
      <c r="G1350">
        <v>0</v>
      </c>
      <c r="H1350" s="2">
        <v>799.99</v>
      </c>
      <c r="I1350" s="2">
        <v>1599.98</v>
      </c>
      <c r="J1350" t="s">
        <v>51</v>
      </c>
      <c r="K1350" t="s">
        <v>57</v>
      </c>
      <c r="L1350" t="s">
        <v>28</v>
      </c>
      <c r="M1350" t="s">
        <v>95</v>
      </c>
      <c r="N1350" t="s">
        <v>96</v>
      </c>
      <c r="O1350" t="s">
        <v>48</v>
      </c>
      <c r="Q1350" s="2">
        <f>Ventas[[#This Row],[precio_base]]*Ventas[[#This Row],[cantidad]]</f>
        <v>1599.98</v>
      </c>
      <c r="R1350" s="2">
        <f>Ventas[[#This Row],[Total bruto (antes de descuento)]]-Ventas[[#This Row],[total_venta]]</f>
        <v>0</v>
      </c>
    </row>
    <row r="1351" spans="1:18" x14ac:dyDescent="0.25">
      <c r="A1351" t="s">
        <v>1444</v>
      </c>
      <c r="B1351" s="1">
        <v>45313</v>
      </c>
      <c r="C1351" t="s">
        <v>76</v>
      </c>
      <c r="D1351" t="s">
        <v>31</v>
      </c>
      <c r="E1351">
        <v>1</v>
      </c>
      <c r="F1351" s="2">
        <v>69.989999999999995</v>
      </c>
      <c r="G1351">
        <v>15</v>
      </c>
      <c r="H1351" s="2">
        <v>59.49</v>
      </c>
      <c r="I1351" s="2">
        <v>59.49</v>
      </c>
      <c r="J1351" t="s">
        <v>116</v>
      </c>
      <c r="K1351" t="s">
        <v>20</v>
      </c>
      <c r="L1351" t="s">
        <v>21</v>
      </c>
      <c r="M1351" t="s">
        <v>123</v>
      </c>
      <c r="N1351" t="s">
        <v>124</v>
      </c>
      <c r="O1351" t="s">
        <v>24</v>
      </c>
      <c r="Q1351" s="2">
        <f>Ventas[[#This Row],[precio_base]]*Ventas[[#This Row],[cantidad]]</f>
        <v>69.989999999999995</v>
      </c>
      <c r="R1351" s="2">
        <f>Ventas[[#This Row],[Total bruto (antes de descuento)]]-Ventas[[#This Row],[total_venta]]</f>
        <v>10.499999999999993</v>
      </c>
    </row>
    <row r="1352" spans="1:18" x14ac:dyDescent="0.25">
      <c r="A1352" t="s">
        <v>1445</v>
      </c>
      <c r="B1352" s="1">
        <v>45522</v>
      </c>
      <c r="C1352" t="s">
        <v>56</v>
      </c>
      <c r="D1352" t="s">
        <v>18</v>
      </c>
      <c r="E1352">
        <v>4</v>
      </c>
      <c r="F1352" s="2">
        <v>89.99</v>
      </c>
      <c r="G1352">
        <v>20</v>
      </c>
      <c r="H1352" s="2">
        <v>71.989999999999995</v>
      </c>
      <c r="I1352" s="2">
        <v>287.95999999999998</v>
      </c>
      <c r="J1352" t="s">
        <v>19</v>
      </c>
      <c r="K1352" t="s">
        <v>20</v>
      </c>
      <c r="L1352" t="s">
        <v>45</v>
      </c>
      <c r="M1352" t="s">
        <v>63</v>
      </c>
      <c r="N1352" t="s">
        <v>34</v>
      </c>
      <c r="O1352" t="s">
        <v>24</v>
      </c>
      <c r="P1352">
        <v>1</v>
      </c>
      <c r="Q1352" s="2">
        <f>Ventas[[#This Row],[precio_base]]*Ventas[[#This Row],[cantidad]]</f>
        <v>359.96</v>
      </c>
      <c r="R1352" s="2">
        <f>Ventas[[#This Row],[Total bruto (antes de descuento)]]-Ventas[[#This Row],[total_venta]]</f>
        <v>72</v>
      </c>
    </row>
    <row r="1353" spans="1:18" x14ac:dyDescent="0.25">
      <c r="A1353" t="s">
        <v>1446</v>
      </c>
      <c r="B1353" s="1">
        <v>45177</v>
      </c>
      <c r="C1353" t="s">
        <v>56</v>
      </c>
      <c r="D1353" t="s">
        <v>18</v>
      </c>
      <c r="E1353">
        <v>1</v>
      </c>
      <c r="F1353" s="2">
        <v>89.99</v>
      </c>
      <c r="G1353">
        <v>10</v>
      </c>
      <c r="H1353" s="2">
        <v>80.989999999999995</v>
      </c>
      <c r="I1353" s="2">
        <v>80.989999999999995</v>
      </c>
      <c r="J1353" t="s">
        <v>62</v>
      </c>
      <c r="K1353" t="s">
        <v>20</v>
      </c>
      <c r="L1353" t="s">
        <v>21</v>
      </c>
      <c r="M1353" t="s">
        <v>120</v>
      </c>
      <c r="N1353" t="s">
        <v>23</v>
      </c>
      <c r="O1353" t="s">
        <v>24</v>
      </c>
      <c r="Q1353" s="2">
        <f>Ventas[[#This Row],[precio_base]]*Ventas[[#This Row],[cantidad]]</f>
        <v>89.99</v>
      </c>
      <c r="R1353" s="2">
        <f>Ventas[[#This Row],[Total bruto (antes de descuento)]]-Ventas[[#This Row],[total_venta]]</f>
        <v>9</v>
      </c>
    </row>
    <row r="1354" spans="1:18" x14ac:dyDescent="0.25">
      <c r="A1354" t="s">
        <v>1447</v>
      </c>
      <c r="B1354" s="1">
        <v>45070</v>
      </c>
      <c r="C1354" t="s">
        <v>76</v>
      </c>
      <c r="D1354" t="s">
        <v>31</v>
      </c>
      <c r="E1354">
        <v>5</v>
      </c>
      <c r="F1354" s="2">
        <v>69.989999999999995</v>
      </c>
      <c r="G1354">
        <v>15</v>
      </c>
      <c r="H1354" s="2">
        <v>59.49</v>
      </c>
      <c r="I1354" s="2">
        <v>297.45</v>
      </c>
      <c r="J1354" t="s">
        <v>90</v>
      </c>
      <c r="K1354" t="s">
        <v>20</v>
      </c>
      <c r="L1354" t="s">
        <v>21</v>
      </c>
      <c r="M1354" t="s">
        <v>101</v>
      </c>
      <c r="N1354" t="s">
        <v>102</v>
      </c>
      <c r="O1354" t="s">
        <v>35</v>
      </c>
      <c r="Q1354" s="2">
        <f>Ventas[[#This Row],[precio_base]]*Ventas[[#This Row],[cantidad]]</f>
        <v>349.95</v>
      </c>
      <c r="R1354" s="2">
        <f>Ventas[[#This Row],[Total bruto (antes de descuento)]]-Ventas[[#This Row],[total_venta]]</f>
        <v>52.5</v>
      </c>
    </row>
    <row r="1355" spans="1:18" x14ac:dyDescent="0.25">
      <c r="A1355" t="s">
        <v>1448</v>
      </c>
      <c r="B1355" s="1">
        <v>45587</v>
      </c>
      <c r="C1355" t="s">
        <v>30</v>
      </c>
      <c r="D1355" t="s">
        <v>31</v>
      </c>
      <c r="E1355">
        <v>1</v>
      </c>
      <c r="F1355" s="2">
        <v>299.99</v>
      </c>
      <c r="G1355">
        <v>0</v>
      </c>
      <c r="H1355" s="2">
        <v>299.99</v>
      </c>
      <c r="I1355" s="2">
        <v>299.99</v>
      </c>
      <c r="J1355" t="s">
        <v>19</v>
      </c>
      <c r="K1355" t="s">
        <v>52</v>
      </c>
      <c r="L1355" t="s">
        <v>21</v>
      </c>
      <c r="M1355" t="s">
        <v>46</v>
      </c>
      <c r="N1355" t="s">
        <v>47</v>
      </c>
      <c r="O1355" t="s">
        <v>48</v>
      </c>
      <c r="P1355">
        <v>2</v>
      </c>
      <c r="Q1355" s="2">
        <f>Ventas[[#This Row],[precio_base]]*Ventas[[#This Row],[cantidad]]</f>
        <v>299.99</v>
      </c>
      <c r="R1355" s="2">
        <f>Ventas[[#This Row],[Total bruto (antes de descuento)]]-Ventas[[#This Row],[total_venta]]</f>
        <v>0</v>
      </c>
    </row>
    <row r="1356" spans="1:18" x14ac:dyDescent="0.25">
      <c r="A1356" t="s">
        <v>1449</v>
      </c>
      <c r="B1356" s="1">
        <v>45442</v>
      </c>
      <c r="C1356" t="s">
        <v>205</v>
      </c>
      <c r="D1356" t="s">
        <v>18</v>
      </c>
      <c r="E1356">
        <v>1</v>
      </c>
      <c r="F1356" s="2">
        <v>129.99</v>
      </c>
      <c r="G1356">
        <v>5</v>
      </c>
      <c r="H1356" s="2">
        <v>123.49</v>
      </c>
      <c r="I1356" s="2">
        <v>123.49</v>
      </c>
      <c r="J1356" t="s">
        <v>62</v>
      </c>
      <c r="K1356" t="s">
        <v>52</v>
      </c>
      <c r="L1356" t="s">
        <v>45</v>
      </c>
      <c r="M1356" t="s">
        <v>73</v>
      </c>
      <c r="N1356" t="s">
        <v>74</v>
      </c>
      <c r="O1356" t="s">
        <v>35</v>
      </c>
      <c r="Q1356" s="2">
        <f>Ventas[[#This Row],[precio_base]]*Ventas[[#This Row],[cantidad]]</f>
        <v>129.99</v>
      </c>
      <c r="R1356" s="2">
        <f>Ventas[[#This Row],[Total bruto (antes de descuento)]]-Ventas[[#This Row],[total_venta]]</f>
        <v>6.5000000000000142</v>
      </c>
    </row>
    <row r="1357" spans="1:18" x14ac:dyDescent="0.25">
      <c r="A1357" t="s">
        <v>1450</v>
      </c>
      <c r="B1357" s="1">
        <v>45655</v>
      </c>
      <c r="C1357" t="s">
        <v>143</v>
      </c>
      <c r="D1357" t="s">
        <v>43</v>
      </c>
      <c r="E1357">
        <v>3</v>
      </c>
      <c r="F1357" s="2">
        <v>34.99</v>
      </c>
      <c r="G1357">
        <v>10</v>
      </c>
      <c r="H1357" s="2">
        <v>31.49</v>
      </c>
      <c r="I1357" s="2">
        <v>94.47</v>
      </c>
      <c r="J1357" t="s">
        <v>19</v>
      </c>
      <c r="K1357" t="s">
        <v>20</v>
      </c>
      <c r="L1357" t="s">
        <v>152</v>
      </c>
      <c r="M1357" t="s">
        <v>84</v>
      </c>
      <c r="N1357" t="s">
        <v>85</v>
      </c>
      <c r="O1357" t="s">
        <v>35</v>
      </c>
      <c r="P1357">
        <v>3</v>
      </c>
      <c r="Q1357" s="2">
        <f>Ventas[[#This Row],[precio_base]]*Ventas[[#This Row],[cantidad]]</f>
        <v>104.97</v>
      </c>
      <c r="R1357" s="2">
        <f>Ventas[[#This Row],[Total bruto (antes de descuento)]]-Ventas[[#This Row],[total_venta]]</f>
        <v>10.5</v>
      </c>
    </row>
    <row r="1358" spans="1:18" x14ac:dyDescent="0.25">
      <c r="A1358" t="s">
        <v>1451</v>
      </c>
      <c r="B1358" s="1">
        <v>45021</v>
      </c>
      <c r="C1358" t="s">
        <v>87</v>
      </c>
      <c r="D1358" t="s">
        <v>27</v>
      </c>
      <c r="E1358">
        <v>4</v>
      </c>
      <c r="F1358" s="2">
        <v>249.99</v>
      </c>
      <c r="G1358">
        <v>0</v>
      </c>
      <c r="H1358" s="2">
        <v>249.99</v>
      </c>
      <c r="I1358" s="2">
        <v>999.96</v>
      </c>
      <c r="J1358" t="s">
        <v>51</v>
      </c>
      <c r="K1358" t="s">
        <v>44</v>
      </c>
      <c r="L1358" t="s">
        <v>21</v>
      </c>
      <c r="M1358" t="s">
        <v>120</v>
      </c>
      <c r="N1358" t="s">
        <v>23</v>
      </c>
      <c r="O1358" t="s">
        <v>24</v>
      </c>
      <c r="Q1358" s="2">
        <f>Ventas[[#This Row],[precio_base]]*Ventas[[#This Row],[cantidad]]</f>
        <v>999.96</v>
      </c>
      <c r="R1358" s="2">
        <f>Ventas[[#This Row],[Total bruto (antes de descuento)]]-Ventas[[#This Row],[total_venta]]</f>
        <v>0</v>
      </c>
    </row>
    <row r="1359" spans="1:18" x14ac:dyDescent="0.25">
      <c r="A1359" t="s">
        <v>1452</v>
      </c>
      <c r="B1359" s="1">
        <v>45115</v>
      </c>
      <c r="C1359" t="s">
        <v>143</v>
      </c>
      <c r="D1359" t="s">
        <v>43</v>
      </c>
      <c r="E1359">
        <v>5</v>
      </c>
      <c r="F1359" s="2">
        <v>34.99</v>
      </c>
      <c r="G1359">
        <v>10</v>
      </c>
      <c r="H1359" s="2">
        <v>31.49</v>
      </c>
      <c r="I1359" s="2">
        <v>157.44999999999999</v>
      </c>
      <c r="J1359" t="s">
        <v>62</v>
      </c>
      <c r="K1359" t="s">
        <v>44</v>
      </c>
      <c r="L1359" t="s">
        <v>45</v>
      </c>
      <c r="M1359" t="s">
        <v>67</v>
      </c>
      <c r="N1359" t="s">
        <v>68</v>
      </c>
      <c r="O1359" t="s">
        <v>35</v>
      </c>
      <c r="Q1359" s="2">
        <f>Ventas[[#This Row],[precio_base]]*Ventas[[#This Row],[cantidad]]</f>
        <v>174.95000000000002</v>
      </c>
      <c r="R1359" s="2">
        <f>Ventas[[#This Row],[Total bruto (antes de descuento)]]-Ventas[[#This Row],[total_venta]]</f>
        <v>17.500000000000028</v>
      </c>
    </row>
    <row r="1360" spans="1:18" x14ac:dyDescent="0.25">
      <c r="A1360" t="s">
        <v>1453</v>
      </c>
      <c r="B1360" s="1">
        <v>45595</v>
      </c>
      <c r="C1360" t="s">
        <v>72</v>
      </c>
      <c r="D1360" t="s">
        <v>31</v>
      </c>
      <c r="E1360">
        <v>4</v>
      </c>
      <c r="F1360" s="2">
        <v>29.99</v>
      </c>
      <c r="G1360">
        <v>20</v>
      </c>
      <c r="H1360" s="2">
        <v>23.99</v>
      </c>
      <c r="I1360" s="2">
        <v>95.96</v>
      </c>
      <c r="J1360" t="s">
        <v>19</v>
      </c>
      <c r="K1360" t="s">
        <v>52</v>
      </c>
      <c r="L1360" t="s">
        <v>28</v>
      </c>
      <c r="M1360" t="s">
        <v>46</v>
      </c>
      <c r="N1360" t="s">
        <v>47</v>
      </c>
      <c r="O1360" t="s">
        <v>48</v>
      </c>
      <c r="P1360">
        <v>2</v>
      </c>
      <c r="Q1360" s="2">
        <f>Ventas[[#This Row],[precio_base]]*Ventas[[#This Row],[cantidad]]</f>
        <v>119.96</v>
      </c>
      <c r="R1360" s="2">
        <f>Ventas[[#This Row],[Total bruto (antes de descuento)]]-Ventas[[#This Row],[total_venta]]</f>
        <v>24</v>
      </c>
    </row>
    <row r="1361" spans="1:18" x14ac:dyDescent="0.25">
      <c r="A1361" t="s">
        <v>1454</v>
      </c>
      <c r="B1361" s="1">
        <v>45203</v>
      </c>
      <c r="C1361" t="s">
        <v>17</v>
      </c>
      <c r="D1361" t="s">
        <v>18</v>
      </c>
      <c r="E1361">
        <v>1</v>
      </c>
      <c r="F1361" s="2">
        <v>45.99</v>
      </c>
      <c r="G1361">
        <v>0</v>
      </c>
      <c r="H1361" s="2">
        <v>45.99</v>
      </c>
      <c r="I1361" s="2">
        <v>45.99</v>
      </c>
      <c r="J1361" t="s">
        <v>19</v>
      </c>
      <c r="K1361" t="s">
        <v>52</v>
      </c>
      <c r="L1361" t="s">
        <v>21</v>
      </c>
      <c r="M1361" t="s">
        <v>39</v>
      </c>
      <c r="N1361" t="s">
        <v>40</v>
      </c>
      <c r="O1361" t="s">
        <v>35</v>
      </c>
      <c r="P1361">
        <v>3</v>
      </c>
      <c r="Q1361" s="2">
        <f>Ventas[[#This Row],[precio_base]]*Ventas[[#This Row],[cantidad]]</f>
        <v>45.99</v>
      </c>
      <c r="R1361" s="2">
        <f>Ventas[[#This Row],[Total bruto (antes de descuento)]]-Ventas[[#This Row],[total_venta]]</f>
        <v>0</v>
      </c>
    </row>
    <row r="1362" spans="1:18" x14ac:dyDescent="0.25">
      <c r="A1362" t="s">
        <v>1455</v>
      </c>
      <c r="B1362" s="1">
        <v>45093</v>
      </c>
      <c r="C1362" t="s">
        <v>50</v>
      </c>
      <c r="D1362" t="s">
        <v>27</v>
      </c>
      <c r="E1362">
        <v>1</v>
      </c>
      <c r="F1362" s="2">
        <v>149.99</v>
      </c>
      <c r="G1362">
        <v>0</v>
      </c>
      <c r="H1362" s="2">
        <v>149.99</v>
      </c>
      <c r="I1362" s="2">
        <v>149.99</v>
      </c>
      <c r="J1362" t="s">
        <v>19</v>
      </c>
      <c r="K1362" t="s">
        <v>52</v>
      </c>
      <c r="L1362" t="s">
        <v>21</v>
      </c>
      <c r="M1362" t="s">
        <v>46</v>
      </c>
      <c r="N1362" t="s">
        <v>47</v>
      </c>
      <c r="O1362" t="s">
        <v>48</v>
      </c>
      <c r="P1362">
        <v>5</v>
      </c>
      <c r="Q1362" s="2">
        <f>Ventas[[#This Row],[precio_base]]*Ventas[[#This Row],[cantidad]]</f>
        <v>149.99</v>
      </c>
      <c r="R1362" s="2">
        <f>Ventas[[#This Row],[Total bruto (antes de descuento)]]-Ventas[[#This Row],[total_venta]]</f>
        <v>0</v>
      </c>
    </row>
    <row r="1363" spans="1:18" x14ac:dyDescent="0.25">
      <c r="A1363" t="s">
        <v>1456</v>
      </c>
      <c r="B1363" s="1">
        <v>45133</v>
      </c>
      <c r="C1363" t="s">
        <v>72</v>
      </c>
      <c r="D1363" t="s">
        <v>31</v>
      </c>
      <c r="E1363">
        <v>1</v>
      </c>
      <c r="F1363" s="2">
        <v>29.99</v>
      </c>
      <c r="G1363">
        <v>0</v>
      </c>
      <c r="H1363" s="2">
        <v>29.99</v>
      </c>
      <c r="I1363" s="2">
        <v>29.99</v>
      </c>
      <c r="J1363" t="s">
        <v>19</v>
      </c>
      <c r="K1363" t="s">
        <v>44</v>
      </c>
      <c r="L1363" t="s">
        <v>45</v>
      </c>
      <c r="M1363" t="s">
        <v>33</v>
      </c>
      <c r="N1363" t="s">
        <v>34</v>
      </c>
      <c r="O1363" t="s">
        <v>35</v>
      </c>
      <c r="P1363">
        <v>4</v>
      </c>
      <c r="Q1363" s="2">
        <f>Ventas[[#This Row],[precio_base]]*Ventas[[#This Row],[cantidad]]</f>
        <v>29.99</v>
      </c>
      <c r="R1363" s="2">
        <f>Ventas[[#This Row],[Total bruto (antes de descuento)]]-Ventas[[#This Row],[total_venta]]</f>
        <v>0</v>
      </c>
    </row>
    <row r="1364" spans="1:18" x14ac:dyDescent="0.25">
      <c r="A1364" t="s">
        <v>1457</v>
      </c>
      <c r="B1364" s="1">
        <v>44973</v>
      </c>
      <c r="C1364" t="s">
        <v>94</v>
      </c>
      <c r="D1364" t="s">
        <v>18</v>
      </c>
      <c r="E1364">
        <v>3</v>
      </c>
      <c r="F1364" s="2">
        <v>899.99</v>
      </c>
      <c r="G1364">
        <v>0</v>
      </c>
      <c r="H1364" s="2">
        <v>899.99</v>
      </c>
      <c r="I1364" s="2">
        <v>2699.97</v>
      </c>
      <c r="J1364" t="s">
        <v>90</v>
      </c>
      <c r="K1364" t="s">
        <v>57</v>
      </c>
      <c r="L1364" t="s">
        <v>28</v>
      </c>
      <c r="M1364" t="s">
        <v>46</v>
      </c>
      <c r="N1364" t="s">
        <v>47</v>
      </c>
      <c r="O1364" t="s">
        <v>48</v>
      </c>
      <c r="Q1364" s="2">
        <f>Ventas[[#This Row],[precio_base]]*Ventas[[#This Row],[cantidad]]</f>
        <v>2699.9700000000003</v>
      </c>
      <c r="R1364" s="2">
        <f>Ventas[[#This Row],[Total bruto (antes de descuento)]]-Ventas[[#This Row],[total_venta]]</f>
        <v>0</v>
      </c>
    </row>
    <row r="1365" spans="1:18" x14ac:dyDescent="0.25">
      <c r="A1365" t="s">
        <v>1458</v>
      </c>
      <c r="B1365" s="1">
        <v>45334</v>
      </c>
      <c r="C1365" t="s">
        <v>87</v>
      </c>
      <c r="D1365" t="s">
        <v>27</v>
      </c>
      <c r="E1365">
        <v>2</v>
      </c>
      <c r="F1365" s="2">
        <v>249.99</v>
      </c>
      <c r="G1365">
        <v>0</v>
      </c>
      <c r="H1365" s="2">
        <v>249.99</v>
      </c>
      <c r="I1365" s="2">
        <v>499.98</v>
      </c>
      <c r="J1365" t="s">
        <v>51</v>
      </c>
      <c r="K1365" t="s">
        <v>20</v>
      </c>
      <c r="L1365" t="s">
        <v>21</v>
      </c>
      <c r="M1365" t="s">
        <v>84</v>
      </c>
      <c r="N1365" t="s">
        <v>85</v>
      </c>
      <c r="O1365" t="s">
        <v>35</v>
      </c>
      <c r="Q1365" s="2">
        <f>Ventas[[#This Row],[precio_base]]*Ventas[[#This Row],[cantidad]]</f>
        <v>499.98</v>
      </c>
      <c r="R1365" s="2">
        <f>Ventas[[#This Row],[Total bruto (antes de descuento)]]-Ventas[[#This Row],[total_venta]]</f>
        <v>0</v>
      </c>
    </row>
    <row r="1366" spans="1:18" x14ac:dyDescent="0.25">
      <c r="A1366" t="s">
        <v>1459</v>
      </c>
      <c r="B1366" s="1">
        <v>45617</v>
      </c>
      <c r="C1366" t="s">
        <v>17</v>
      </c>
      <c r="D1366" t="s">
        <v>18</v>
      </c>
      <c r="E1366">
        <v>3</v>
      </c>
      <c r="F1366" s="2">
        <v>45.99</v>
      </c>
      <c r="G1366">
        <v>5</v>
      </c>
      <c r="H1366" s="2">
        <v>43.69</v>
      </c>
      <c r="I1366" s="2">
        <v>131.07</v>
      </c>
      <c r="J1366" t="s">
        <v>62</v>
      </c>
      <c r="K1366" t="s">
        <v>20</v>
      </c>
      <c r="L1366" t="s">
        <v>32</v>
      </c>
      <c r="M1366" t="s">
        <v>65</v>
      </c>
      <c r="N1366" t="s">
        <v>54</v>
      </c>
      <c r="O1366" t="s">
        <v>35</v>
      </c>
      <c r="Q1366" s="2">
        <f>Ventas[[#This Row],[precio_base]]*Ventas[[#This Row],[cantidad]]</f>
        <v>137.97</v>
      </c>
      <c r="R1366" s="2">
        <f>Ventas[[#This Row],[Total bruto (antes de descuento)]]-Ventas[[#This Row],[total_venta]]</f>
        <v>6.9000000000000057</v>
      </c>
    </row>
    <row r="1367" spans="1:18" x14ac:dyDescent="0.25">
      <c r="A1367" t="s">
        <v>1460</v>
      </c>
      <c r="B1367" s="1">
        <v>45080</v>
      </c>
      <c r="C1367" t="s">
        <v>104</v>
      </c>
      <c r="D1367" t="s">
        <v>18</v>
      </c>
      <c r="E1367">
        <v>5</v>
      </c>
      <c r="F1367" s="2">
        <v>1199.99</v>
      </c>
      <c r="G1367">
        <v>20</v>
      </c>
      <c r="H1367" s="2">
        <v>959.99</v>
      </c>
      <c r="I1367" s="2">
        <v>4799.95</v>
      </c>
      <c r="J1367" t="s">
        <v>19</v>
      </c>
      <c r="K1367" t="s">
        <v>52</v>
      </c>
      <c r="L1367" t="s">
        <v>21</v>
      </c>
      <c r="M1367" t="s">
        <v>33</v>
      </c>
      <c r="N1367" t="s">
        <v>34</v>
      </c>
      <c r="O1367" t="s">
        <v>35</v>
      </c>
      <c r="P1367">
        <v>2</v>
      </c>
      <c r="Q1367" s="2">
        <f>Ventas[[#This Row],[precio_base]]*Ventas[[#This Row],[cantidad]]</f>
        <v>5999.95</v>
      </c>
      <c r="R1367" s="2">
        <f>Ventas[[#This Row],[Total bruto (antes de descuento)]]-Ventas[[#This Row],[total_venta]]</f>
        <v>1200</v>
      </c>
    </row>
    <row r="1368" spans="1:18" x14ac:dyDescent="0.25">
      <c r="A1368" t="s">
        <v>1461</v>
      </c>
      <c r="B1368" s="1">
        <v>45082</v>
      </c>
      <c r="C1368" t="s">
        <v>81</v>
      </c>
      <c r="D1368" t="s">
        <v>31</v>
      </c>
      <c r="E1368">
        <v>4</v>
      </c>
      <c r="F1368" s="2">
        <v>189.99</v>
      </c>
      <c r="G1368">
        <v>0</v>
      </c>
      <c r="H1368" s="2">
        <v>189.99</v>
      </c>
      <c r="I1368" s="2">
        <v>759.96</v>
      </c>
      <c r="J1368" t="s">
        <v>62</v>
      </c>
      <c r="K1368" t="s">
        <v>57</v>
      </c>
      <c r="L1368" t="s">
        <v>21</v>
      </c>
      <c r="M1368" t="s">
        <v>95</v>
      </c>
      <c r="N1368" t="s">
        <v>96</v>
      </c>
      <c r="O1368" t="s">
        <v>48</v>
      </c>
      <c r="Q1368" s="2">
        <f>Ventas[[#This Row],[precio_base]]*Ventas[[#This Row],[cantidad]]</f>
        <v>759.96</v>
      </c>
      <c r="R1368" s="2">
        <f>Ventas[[#This Row],[Total bruto (antes de descuento)]]-Ventas[[#This Row],[total_venta]]</f>
        <v>0</v>
      </c>
    </row>
    <row r="1369" spans="1:18" x14ac:dyDescent="0.25">
      <c r="A1369" t="s">
        <v>1462</v>
      </c>
      <c r="B1369" s="1">
        <v>45147</v>
      </c>
      <c r="C1369" t="s">
        <v>70</v>
      </c>
      <c r="D1369" t="s">
        <v>31</v>
      </c>
      <c r="E1369">
        <v>2</v>
      </c>
      <c r="F1369" s="2">
        <v>59.99</v>
      </c>
      <c r="G1369">
        <v>20</v>
      </c>
      <c r="H1369" s="2">
        <v>47.99</v>
      </c>
      <c r="I1369" s="2">
        <v>95.98</v>
      </c>
      <c r="J1369" t="s">
        <v>51</v>
      </c>
      <c r="K1369" t="s">
        <v>44</v>
      </c>
      <c r="L1369" t="s">
        <v>28</v>
      </c>
      <c r="M1369" t="s">
        <v>65</v>
      </c>
      <c r="N1369" t="s">
        <v>54</v>
      </c>
      <c r="O1369" t="s">
        <v>35</v>
      </c>
      <c r="Q1369" s="2">
        <f>Ventas[[#This Row],[precio_base]]*Ventas[[#This Row],[cantidad]]</f>
        <v>119.98</v>
      </c>
      <c r="R1369" s="2">
        <f>Ventas[[#This Row],[Total bruto (antes de descuento)]]-Ventas[[#This Row],[total_venta]]</f>
        <v>24</v>
      </c>
    </row>
    <row r="1370" spans="1:18" x14ac:dyDescent="0.25">
      <c r="A1370" t="s">
        <v>1463</v>
      </c>
      <c r="B1370" s="1">
        <v>45594</v>
      </c>
      <c r="C1370" t="s">
        <v>87</v>
      </c>
      <c r="D1370" t="s">
        <v>27</v>
      </c>
      <c r="E1370">
        <v>3</v>
      </c>
      <c r="F1370" s="2">
        <v>249.99</v>
      </c>
      <c r="G1370">
        <v>5</v>
      </c>
      <c r="H1370" s="2">
        <v>237.49</v>
      </c>
      <c r="I1370" s="2">
        <v>712.47</v>
      </c>
      <c r="J1370" t="s">
        <v>51</v>
      </c>
      <c r="K1370" t="s">
        <v>20</v>
      </c>
      <c r="L1370" t="s">
        <v>28</v>
      </c>
      <c r="M1370" t="s">
        <v>123</v>
      </c>
      <c r="N1370" t="s">
        <v>124</v>
      </c>
      <c r="O1370" t="s">
        <v>24</v>
      </c>
      <c r="Q1370" s="2">
        <f>Ventas[[#This Row],[precio_base]]*Ventas[[#This Row],[cantidad]]</f>
        <v>749.97</v>
      </c>
      <c r="R1370" s="2">
        <f>Ventas[[#This Row],[Total bruto (antes de descuento)]]-Ventas[[#This Row],[total_venta]]</f>
        <v>37.5</v>
      </c>
    </row>
    <row r="1371" spans="1:18" x14ac:dyDescent="0.25">
      <c r="A1371" t="s">
        <v>1464</v>
      </c>
      <c r="B1371" s="1">
        <v>45368</v>
      </c>
      <c r="C1371" t="s">
        <v>94</v>
      </c>
      <c r="D1371" t="s">
        <v>18</v>
      </c>
      <c r="E1371">
        <v>4</v>
      </c>
      <c r="F1371" s="2">
        <v>899.99</v>
      </c>
      <c r="G1371">
        <v>0</v>
      </c>
      <c r="H1371" s="2">
        <v>899.99</v>
      </c>
      <c r="I1371" s="2">
        <v>3599.96</v>
      </c>
      <c r="J1371" t="s">
        <v>19</v>
      </c>
      <c r="K1371" t="s">
        <v>44</v>
      </c>
      <c r="L1371" t="s">
        <v>152</v>
      </c>
      <c r="M1371" t="s">
        <v>33</v>
      </c>
      <c r="N1371" t="s">
        <v>34</v>
      </c>
      <c r="O1371" t="s">
        <v>35</v>
      </c>
      <c r="P1371">
        <v>5</v>
      </c>
      <c r="Q1371" s="2">
        <f>Ventas[[#This Row],[precio_base]]*Ventas[[#This Row],[cantidad]]</f>
        <v>3599.96</v>
      </c>
      <c r="R1371" s="2">
        <f>Ventas[[#This Row],[Total bruto (antes de descuento)]]-Ventas[[#This Row],[total_venta]]</f>
        <v>0</v>
      </c>
    </row>
    <row r="1372" spans="1:18" x14ac:dyDescent="0.25">
      <c r="A1372" t="s">
        <v>1465</v>
      </c>
      <c r="B1372" s="1">
        <v>45569</v>
      </c>
      <c r="C1372" t="s">
        <v>92</v>
      </c>
      <c r="D1372" t="s">
        <v>27</v>
      </c>
      <c r="E1372">
        <v>1</v>
      </c>
      <c r="F1372" s="2">
        <v>79.989999999999995</v>
      </c>
      <c r="G1372">
        <v>20</v>
      </c>
      <c r="H1372" s="2">
        <v>63.99</v>
      </c>
      <c r="I1372" s="2">
        <v>63.99</v>
      </c>
      <c r="J1372" t="s">
        <v>19</v>
      </c>
      <c r="K1372" t="s">
        <v>52</v>
      </c>
      <c r="L1372" t="s">
        <v>45</v>
      </c>
      <c r="M1372" t="s">
        <v>39</v>
      </c>
      <c r="N1372" t="s">
        <v>40</v>
      </c>
      <c r="O1372" t="s">
        <v>35</v>
      </c>
      <c r="P1372">
        <v>1</v>
      </c>
      <c r="Q1372" s="2">
        <f>Ventas[[#This Row],[precio_base]]*Ventas[[#This Row],[cantidad]]</f>
        <v>79.989999999999995</v>
      </c>
      <c r="R1372" s="2">
        <f>Ventas[[#This Row],[Total bruto (antes de descuento)]]-Ventas[[#This Row],[total_venta]]</f>
        <v>15.999999999999993</v>
      </c>
    </row>
    <row r="1373" spans="1:18" x14ac:dyDescent="0.25">
      <c r="A1373" t="s">
        <v>1466</v>
      </c>
      <c r="B1373" s="1">
        <v>45437</v>
      </c>
      <c r="C1373" t="s">
        <v>17</v>
      </c>
      <c r="D1373" t="s">
        <v>18</v>
      </c>
      <c r="E1373">
        <v>4</v>
      </c>
      <c r="F1373" s="2">
        <v>45.99</v>
      </c>
      <c r="G1373">
        <v>0</v>
      </c>
      <c r="H1373" s="2">
        <v>45.99</v>
      </c>
      <c r="I1373" s="2">
        <v>183.96</v>
      </c>
      <c r="J1373" t="s">
        <v>19</v>
      </c>
      <c r="K1373" t="s">
        <v>20</v>
      </c>
      <c r="L1373" t="s">
        <v>21</v>
      </c>
      <c r="M1373" t="s">
        <v>58</v>
      </c>
      <c r="N1373" t="s">
        <v>59</v>
      </c>
      <c r="O1373" t="s">
        <v>24</v>
      </c>
      <c r="P1373">
        <v>3</v>
      </c>
      <c r="Q1373" s="2">
        <f>Ventas[[#This Row],[precio_base]]*Ventas[[#This Row],[cantidad]]</f>
        <v>183.96</v>
      </c>
      <c r="R1373" s="2">
        <f>Ventas[[#This Row],[Total bruto (antes de descuento)]]-Ventas[[#This Row],[total_venta]]</f>
        <v>0</v>
      </c>
    </row>
    <row r="1374" spans="1:18" x14ac:dyDescent="0.25">
      <c r="A1374" t="s">
        <v>1467</v>
      </c>
      <c r="B1374" s="1">
        <v>45288</v>
      </c>
      <c r="C1374" t="s">
        <v>56</v>
      </c>
      <c r="D1374" t="s">
        <v>18</v>
      </c>
      <c r="E1374">
        <v>1</v>
      </c>
      <c r="F1374" s="2">
        <v>89.99</v>
      </c>
      <c r="G1374">
        <v>0</v>
      </c>
      <c r="H1374" s="2">
        <v>89.99</v>
      </c>
      <c r="I1374" s="2">
        <v>89.99</v>
      </c>
      <c r="J1374" t="s">
        <v>51</v>
      </c>
      <c r="K1374" t="s">
        <v>20</v>
      </c>
      <c r="L1374" t="s">
        <v>45</v>
      </c>
      <c r="M1374" t="s">
        <v>101</v>
      </c>
      <c r="N1374" t="s">
        <v>102</v>
      </c>
      <c r="O1374" t="s">
        <v>35</v>
      </c>
      <c r="Q1374" s="2">
        <f>Ventas[[#This Row],[precio_base]]*Ventas[[#This Row],[cantidad]]</f>
        <v>89.99</v>
      </c>
      <c r="R1374" s="2">
        <f>Ventas[[#This Row],[Total bruto (antes de descuento)]]-Ventas[[#This Row],[total_venta]]</f>
        <v>0</v>
      </c>
    </row>
    <row r="1375" spans="1:18" x14ac:dyDescent="0.25">
      <c r="A1375" t="s">
        <v>1468</v>
      </c>
      <c r="B1375" s="1">
        <v>45189</v>
      </c>
      <c r="C1375" t="s">
        <v>98</v>
      </c>
      <c r="D1375" t="s">
        <v>31</v>
      </c>
      <c r="E1375">
        <v>4</v>
      </c>
      <c r="F1375" s="2">
        <v>99.99</v>
      </c>
      <c r="G1375">
        <v>15</v>
      </c>
      <c r="H1375" s="2">
        <v>84.99</v>
      </c>
      <c r="I1375" s="2">
        <v>339.96</v>
      </c>
      <c r="J1375" t="s">
        <v>90</v>
      </c>
      <c r="K1375" t="s">
        <v>57</v>
      </c>
      <c r="L1375" t="s">
        <v>45</v>
      </c>
      <c r="M1375" t="s">
        <v>95</v>
      </c>
      <c r="N1375" t="s">
        <v>96</v>
      </c>
      <c r="O1375" t="s">
        <v>48</v>
      </c>
      <c r="Q1375" s="2">
        <f>Ventas[[#This Row],[precio_base]]*Ventas[[#This Row],[cantidad]]</f>
        <v>399.96</v>
      </c>
      <c r="R1375" s="2">
        <f>Ventas[[#This Row],[Total bruto (antes de descuento)]]-Ventas[[#This Row],[total_venta]]</f>
        <v>60</v>
      </c>
    </row>
    <row r="1376" spans="1:18" x14ac:dyDescent="0.25">
      <c r="A1376" t="s">
        <v>1469</v>
      </c>
      <c r="B1376" s="1">
        <v>45299</v>
      </c>
      <c r="C1376" t="s">
        <v>42</v>
      </c>
      <c r="D1376" t="s">
        <v>43</v>
      </c>
      <c r="E1376">
        <v>3</v>
      </c>
      <c r="F1376" s="2">
        <v>349.99</v>
      </c>
      <c r="G1376">
        <v>5</v>
      </c>
      <c r="H1376" s="2">
        <v>332.49</v>
      </c>
      <c r="I1376" s="2">
        <v>997.47</v>
      </c>
      <c r="J1376" t="s">
        <v>19</v>
      </c>
      <c r="K1376" t="s">
        <v>52</v>
      </c>
      <c r="L1376" t="s">
        <v>21</v>
      </c>
      <c r="M1376" t="s">
        <v>33</v>
      </c>
      <c r="N1376" t="s">
        <v>34</v>
      </c>
      <c r="O1376" t="s">
        <v>35</v>
      </c>
      <c r="P1376">
        <v>3</v>
      </c>
      <c r="Q1376" s="2">
        <f>Ventas[[#This Row],[precio_base]]*Ventas[[#This Row],[cantidad]]</f>
        <v>1049.97</v>
      </c>
      <c r="R1376" s="2">
        <f>Ventas[[#This Row],[Total bruto (antes de descuento)]]-Ventas[[#This Row],[total_venta]]</f>
        <v>52.5</v>
      </c>
    </row>
    <row r="1377" spans="1:18" x14ac:dyDescent="0.25">
      <c r="A1377" t="s">
        <v>1470</v>
      </c>
      <c r="B1377" s="1">
        <v>45451</v>
      </c>
      <c r="C1377" t="s">
        <v>42</v>
      </c>
      <c r="D1377" t="s">
        <v>43</v>
      </c>
      <c r="E1377">
        <v>5</v>
      </c>
      <c r="F1377" s="2">
        <v>349.99</v>
      </c>
      <c r="G1377">
        <v>0</v>
      </c>
      <c r="H1377" s="2">
        <v>349.99</v>
      </c>
      <c r="I1377" s="2">
        <v>1749.95</v>
      </c>
      <c r="J1377" t="s">
        <v>19</v>
      </c>
      <c r="K1377" t="s">
        <v>20</v>
      </c>
      <c r="L1377" t="s">
        <v>45</v>
      </c>
      <c r="M1377" t="s">
        <v>73</v>
      </c>
      <c r="N1377" t="s">
        <v>74</v>
      </c>
      <c r="O1377" t="s">
        <v>35</v>
      </c>
      <c r="P1377">
        <v>1</v>
      </c>
      <c r="Q1377" s="2">
        <f>Ventas[[#This Row],[precio_base]]*Ventas[[#This Row],[cantidad]]</f>
        <v>1749.95</v>
      </c>
      <c r="R1377" s="2">
        <f>Ventas[[#This Row],[Total bruto (antes de descuento)]]-Ventas[[#This Row],[total_venta]]</f>
        <v>0</v>
      </c>
    </row>
    <row r="1378" spans="1:18" x14ac:dyDescent="0.25">
      <c r="A1378" t="s">
        <v>1471</v>
      </c>
      <c r="B1378" s="1">
        <v>45562</v>
      </c>
      <c r="C1378" t="s">
        <v>72</v>
      </c>
      <c r="D1378" t="s">
        <v>31</v>
      </c>
      <c r="E1378">
        <v>1</v>
      </c>
      <c r="F1378" s="2">
        <v>29.99</v>
      </c>
      <c r="G1378">
        <v>15</v>
      </c>
      <c r="H1378" s="2">
        <v>25.49</v>
      </c>
      <c r="I1378" s="2">
        <v>25.49</v>
      </c>
      <c r="J1378" t="s">
        <v>51</v>
      </c>
      <c r="K1378" t="s">
        <v>52</v>
      </c>
      <c r="L1378" t="s">
        <v>21</v>
      </c>
      <c r="M1378" t="s">
        <v>84</v>
      </c>
      <c r="N1378" t="s">
        <v>85</v>
      </c>
      <c r="O1378" t="s">
        <v>35</v>
      </c>
      <c r="Q1378" s="2">
        <f>Ventas[[#This Row],[precio_base]]*Ventas[[#This Row],[cantidad]]</f>
        <v>29.99</v>
      </c>
      <c r="R1378" s="2">
        <f>Ventas[[#This Row],[Total bruto (antes de descuento)]]-Ventas[[#This Row],[total_venta]]</f>
        <v>4.5</v>
      </c>
    </row>
    <row r="1379" spans="1:18" x14ac:dyDescent="0.25">
      <c r="A1379" t="s">
        <v>1472</v>
      </c>
      <c r="B1379" s="1">
        <v>45034</v>
      </c>
      <c r="C1379" t="s">
        <v>83</v>
      </c>
      <c r="D1379" t="s">
        <v>38</v>
      </c>
      <c r="E1379">
        <v>4</v>
      </c>
      <c r="F1379" s="2">
        <v>49.99</v>
      </c>
      <c r="G1379">
        <v>0</v>
      </c>
      <c r="H1379" s="2">
        <v>49.99</v>
      </c>
      <c r="I1379" s="2">
        <v>199.96</v>
      </c>
      <c r="J1379" t="s">
        <v>19</v>
      </c>
      <c r="K1379" t="s">
        <v>20</v>
      </c>
      <c r="L1379" t="s">
        <v>45</v>
      </c>
      <c r="M1379" t="s">
        <v>67</v>
      </c>
      <c r="N1379" t="s">
        <v>68</v>
      </c>
      <c r="O1379" t="s">
        <v>35</v>
      </c>
      <c r="P1379">
        <v>4</v>
      </c>
      <c r="Q1379" s="2">
        <f>Ventas[[#This Row],[precio_base]]*Ventas[[#This Row],[cantidad]]</f>
        <v>199.96</v>
      </c>
      <c r="R1379" s="2">
        <f>Ventas[[#This Row],[Total bruto (antes de descuento)]]-Ventas[[#This Row],[total_venta]]</f>
        <v>0</v>
      </c>
    </row>
    <row r="1380" spans="1:18" x14ac:dyDescent="0.25">
      <c r="A1380" t="s">
        <v>1473</v>
      </c>
      <c r="B1380" s="1">
        <v>45612</v>
      </c>
      <c r="C1380" t="s">
        <v>56</v>
      </c>
      <c r="D1380" t="s">
        <v>18</v>
      </c>
      <c r="E1380">
        <v>3</v>
      </c>
      <c r="F1380" s="2">
        <v>89.99</v>
      </c>
      <c r="G1380">
        <v>5</v>
      </c>
      <c r="H1380" s="2">
        <v>85.49</v>
      </c>
      <c r="I1380" s="2">
        <v>256.47000000000003</v>
      </c>
      <c r="J1380" t="s">
        <v>19</v>
      </c>
      <c r="K1380" t="s">
        <v>52</v>
      </c>
      <c r="L1380" t="s">
        <v>45</v>
      </c>
      <c r="M1380" t="s">
        <v>65</v>
      </c>
      <c r="N1380" t="s">
        <v>54</v>
      </c>
      <c r="O1380" t="s">
        <v>35</v>
      </c>
      <c r="P1380">
        <v>1</v>
      </c>
      <c r="Q1380" s="2">
        <f>Ventas[[#This Row],[precio_base]]*Ventas[[#This Row],[cantidad]]</f>
        <v>269.96999999999997</v>
      </c>
      <c r="R1380" s="2">
        <f>Ventas[[#This Row],[Total bruto (antes de descuento)]]-Ventas[[#This Row],[total_venta]]</f>
        <v>13.499999999999943</v>
      </c>
    </row>
    <row r="1381" spans="1:18" x14ac:dyDescent="0.25">
      <c r="A1381" t="s">
        <v>1474</v>
      </c>
      <c r="B1381" s="1">
        <v>45111</v>
      </c>
      <c r="C1381" t="s">
        <v>76</v>
      </c>
      <c r="D1381" t="s">
        <v>31</v>
      </c>
      <c r="E1381">
        <v>1</v>
      </c>
      <c r="F1381" s="2">
        <v>69.989999999999995</v>
      </c>
      <c r="G1381">
        <v>5</v>
      </c>
      <c r="H1381" s="2">
        <v>66.489999999999995</v>
      </c>
      <c r="I1381" s="2">
        <v>66.489999999999995</v>
      </c>
      <c r="J1381" t="s">
        <v>51</v>
      </c>
      <c r="K1381" t="s">
        <v>20</v>
      </c>
      <c r="L1381" t="s">
        <v>21</v>
      </c>
      <c r="M1381" t="s">
        <v>22</v>
      </c>
      <c r="N1381" t="s">
        <v>23</v>
      </c>
      <c r="O1381" t="s">
        <v>24</v>
      </c>
      <c r="Q1381" s="2">
        <f>Ventas[[#This Row],[precio_base]]*Ventas[[#This Row],[cantidad]]</f>
        <v>69.989999999999995</v>
      </c>
      <c r="R1381" s="2">
        <f>Ventas[[#This Row],[Total bruto (antes de descuento)]]-Ventas[[#This Row],[total_venta]]</f>
        <v>3.5</v>
      </c>
    </row>
    <row r="1382" spans="1:18" x14ac:dyDescent="0.25">
      <c r="A1382" t="s">
        <v>1475</v>
      </c>
      <c r="B1382" s="1">
        <v>45277</v>
      </c>
      <c r="C1382" t="s">
        <v>156</v>
      </c>
      <c r="D1382" t="s">
        <v>27</v>
      </c>
      <c r="E1382">
        <v>4</v>
      </c>
      <c r="F1382" s="2">
        <v>49.99</v>
      </c>
      <c r="G1382">
        <v>0</v>
      </c>
      <c r="H1382" s="2">
        <v>49.99</v>
      </c>
      <c r="I1382" s="2">
        <v>199.96</v>
      </c>
      <c r="J1382" t="s">
        <v>51</v>
      </c>
      <c r="K1382" t="s">
        <v>20</v>
      </c>
      <c r="L1382" t="s">
        <v>45</v>
      </c>
      <c r="M1382" t="s">
        <v>101</v>
      </c>
      <c r="N1382" t="s">
        <v>102</v>
      </c>
      <c r="O1382" t="s">
        <v>35</v>
      </c>
      <c r="Q1382" s="2">
        <f>Ventas[[#This Row],[precio_base]]*Ventas[[#This Row],[cantidad]]</f>
        <v>199.96</v>
      </c>
      <c r="R1382" s="2">
        <f>Ventas[[#This Row],[Total bruto (antes de descuento)]]-Ventas[[#This Row],[total_venta]]</f>
        <v>0</v>
      </c>
    </row>
    <row r="1383" spans="1:18" x14ac:dyDescent="0.25">
      <c r="A1383" t="s">
        <v>1476</v>
      </c>
      <c r="B1383" s="1">
        <v>45485</v>
      </c>
      <c r="C1383" t="s">
        <v>78</v>
      </c>
      <c r="D1383" t="s">
        <v>18</v>
      </c>
      <c r="E1383">
        <v>4</v>
      </c>
      <c r="F1383" s="2">
        <v>349.99</v>
      </c>
      <c r="G1383">
        <v>0</v>
      </c>
      <c r="H1383" s="2">
        <v>349.99</v>
      </c>
      <c r="I1383" s="2">
        <v>1399.96</v>
      </c>
      <c r="J1383" t="s">
        <v>51</v>
      </c>
      <c r="K1383" t="s">
        <v>44</v>
      </c>
      <c r="L1383" t="s">
        <v>152</v>
      </c>
      <c r="M1383" t="s">
        <v>123</v>
      </c>
      <c r="N1383" t="s">
        <v>124</v>
      </c>
      <c r="O1383" t="s">
        <v>24</v>
      </c>
      <c r="Q1383" s="2">
        <f>Ventas[[#This Row],[precio_base]]*Ventas[[#This Row],[cantidad]]</f>
        <v>1399.96</v>
      </c>
      <c r="R1383" s="2">
        <f>Ventas[[#This Row],[Total bruto (antes de descuento)]]-Ventas[[#This Row],[total_venta]]</f>
        <v>0</v>
      </c>
    </row>
    <row r="1384" spans="1:18" x14ac:dyDescent="0.25">
      <c r="A1384" t="s">
        <v>1477</v>
      </c>
      <c r="B1384" s="1">
        <v>45316</v>
      </c>
      <c r="C1384" t="s">
        <v>94</v>
      </c>
      <c r="D1384" t="s">
        <v>18</v>
      </c>
      <c r="E1384">
        <v>3</v>
      </c>
      <c r="F1384" s="2">
        <v>899.99</v>
      </c>
      <c r="G1384">
        <v>20</v>
      </c>
      <c r="H1384" s="2">
        <v>719.99</v>
      </c>
      <c r="I1384" s="2">
        <v>2159.9699999999998</v>
      </c>
      <c r="J1384" t="s">
        <v>19</v>
      </c>
      <c r="K1384" t="s">
        <v>20</v>
      </c>
      <c r="L1384" t="s">
        <v>21</v>
      </c>
      <c r="M1384" t="s">
        <v>101</v>
      </c>
      <c r="N1384" t="s">
        <v>102</v>
      </c>
      <c r="O1384" t="s">
        <v>35</v>
      </c>
      <c r="P1384">
        <v>1</v>
      </c>
      <c r="Q1384" s="2">
        <f>Ventas[[#This Row],[precio_base]]*Ventas[[#This Row],[cantidad]]</f>
        <v>2699.9700000000003</v>
      </c>
      <c r="R1384" s="2">
        <f>Ventas[[#This Row],[Total bruto (antes de descuento)]]-Ventas[[#This Row],[total_venta]]</f>
        <v>540.00000000000045</v>
      </c>
    </row>
    <row r="1385" spans="1:18" x14ac:dyDescent="0.25">
      <c r="A1385" t="s">
        <v>1478</v>
      </c>
      <c r="B1385" s="1">
        <v>45627</v>
      </c>
      <c r="C1385" t="s">
        <v>37</v>
      </c>
      <c r="D1385" t="s">
        <v>38</v>
      </c>
      <c r="E1385">
        <v>3</v>
      </c>
      <c r="F1385" s="2">
        <v>34.99</v>
      </c>
      <c r="G1385">
        <v>0</v>
      </c>
      <c r="H1385" s="2">
        <v>34.99</v>
      </c>
      <c r="I1385" s="2">
        <v>104.97</v>
      </c>
      <c r="J1385" t="s">
        <v>51</v>
      </c>
      <c r="K1385" t="s">
        <v>20</v>
      </c>
      <c r="L1385" t="s">
        <v>21</v>
      </c>
      <c r="M1385" t="s">
        <v>95</v>
      </c>
      <c r="N1385" t="s">
        <v>96</v>
      </c>
      <c r="O1385" t="s">
        <v>48</v>
      </c>
      <c r="Q1385" s="2">
        <f>Ventas[[#This Row],[precio_base]]*Ventas[[#This Row],[cantidad]]</f>
        <v>104.97</v>
      </c>
      <c r="R1385" s="2">
        <f>Ventas[[#This Row],[Total bruto (antes de descuento)]]-Ventas[[#This Row],[total_venta]]</f>
        <v>0</v>
      </c>
    </row>
    <row r="1386" spans="1:18" x14ac:dyDescent="0.25">
      <c r="A1386" t="s">
        <v>1479</v>
      </c>
      <c r="B1386" s="1">
        <v>45010</v>
      </c>
      <c r="C1386" t="s">
        <v>83</v>
      </c>
      <c r="D1386" t="s">
        <v>38</v>
      </c>
      <c r="E1386">
        <v>4</v>
      </c>
      <c r="F1386" s="2">
        <v>49.99</v>
      </c>
      <c r="G1386">
        <v>20</v>
      </c>
      <c r="H1386" s="2">
        <v>39.99</v>
      </c>
      <c r="I1386" s="2">
        <v>159.96</v>
      </c>
      <c r="J1386" t="s">
        <v>19</v>
      </c>
      <c r="K1386" t="s">
        <v>44</v>
      </c>
      <c r="L1386" t="s">
        <v>21</v>
      </c>
      <c r="M1386" t="s">
        <v>22</v>
      </c>
      <c r="N1386" t="s">
        <v>23</v>
      </c>
      <c r="O1386" t="s">
        <v>24</v>
      </c>
      <c r="P1386">
        <v>1</v>
      </c>
      <c r="Q1386" s="2">
        <f>Ventas[[#This Row],[precio_base]]*Ventas[[#This Row],[cantidad]]</f>
        <v>199.96</v>
      </c>
      <c r="R1386" s="2">
        <f>Ventas[[#This Row],[Total bruto (antes de descuento)]]-Ventas[[#This Row],[total_venta]]</f>
        <v>40</v>
      </c>
    </row>
    <row r="1387" spans="1:18" x14ac:dyDescent="0.25">
      <c r="A1387" t="s">
        <v>1480</v>
      </c>
      <c r="B1387" s="1">
        <v>45021</v>
      </c>
      <c r="C1387" t="s">
        <v>130</v>
      </c>
      <c r="D1387" t="s">
        <v>43</v>
      </c>
      <c r="E1387">
        <v>4</v>
      </c>
      <c r="F1387" s="2">
        <v>24.99</v>
      </c>
      <c r="G1387">
        <v>0</v>
      </c>
      <c r="H1387" s="2">
        <v>24.99</v>
      </c>
      <c r="I1387" s="2">
        <v>99.96</v>
      </c>
      <c r="J1387" t="s">
        <v>116</v>
      </c>
      <c r="K1387" t="s">
        <v>20</v>
      </c>
      <c r="L1387" t="s">
        <v>21</v>
      </c>
      <c r="M1387" t="s">
        <v>58</v>
      </c>
      <c r="N1387" t="s">
        <v>59</v>
      </c>
      <c r="O1387" t="s">
        <v>24</v>
      </c>
      <c r="Q1387" s="2">
        <f>Ventas[[#This Row],[precio_base]]*Ventas[[#This Row],[cantidad]]</f>
        <v>99.96</v>
      </c>
      <c r="R1387" s="2">
        <f>Ventas[[#This Row],[Total bruto (antes de descuento)]]-Ventas[[#This Row],[total_venta]]</f>
        <v>0</v>
      </c>
    </row>
    <row r="1388" spans="1:18" x14ac:dyDescent="0.25">
      <c r="A1388" t="s">
        <v>1481</v>
      </c>
      <c r="B1388" s="1">
        <v>45356</v>
      </c>
      <c r="C1388" t="s">
        <v>92</v>
      </c>
      <c r="D1388" t="s">
        <v>27</v>
      </c>
      <c r="E1388">
        <v>4</v>
      </c>
      <c r="F1388" s="2">
        <v>79.989999999999995</v>
      </c>
      <c r="G1388">
        <v>10</v>
      </c>
      <c r="H1388" s="2">
        <v>71.989999999999995</v>
      </c>
      <c r="I1388" s="2">
        <v>287.95999999999998</v>
      </c>
      <c r="J1388" t="s">
        <v>51</v>
      </c>
      <c r="K1388" t="s">
        <v>57</v>
      </c>
      <c r="L1388" t="s">
        <v>45</v>
      </c>
      <c r="M1388" t="s">
        <v>63</v>
      </c>
      <c r="N1388" t="s">
        <v>34</v>
      </c>
      <c r="O1388" t="s">
        <v>24</v>
      </c>
      <c r="Q1388" s="2">
        <f>Ventas[[#This Row],[precio_base]]*Ventas[[#This Row],[cantidad]]</f>
        <v>319.95999999999998</v>
      </c>
      <c r="R1388" s="2">
        <f>Ventas[[#This Row],[Total bruto (antes de descuento)]]-Ventas[[#This Row],[total_venta]]</f>
        <v>32</v>
      </c>
    </row>
    <row r="1389" spans="1:18" x14ac:dyDescent="0.25">
      <c r="A1389" t="s">
        <v>1482</v>
      </c>
      <c r="B1389" s="1">
        <v>45636</v>
      </c>
      <c r="C1389" t="s">
        <v>26</v>
      </c>
      <c r="D1389" t="s">
        <v>27</v>
      </c>
      <c r="E1389">
        <v>4</v>
      </c>
      <c r="F1389" s="2">
        <v>399.99</v>
      </c>
      <c r="G1389">
        <v>20</v>
      </c>
      <c r="H1389" s="2">
        <v>319.99</v>
      </c>
      <c r="I1389" s="2">
        <v>1279.96</v>
      </c>
      <c r="J1389" t="s">
        <v>19</v>
      </c>
      <c r="K1389" t="s">
        <v>52</v>
      </c>
      <c r="L1389" t="s">
        <v>21</v>
      </c>
      <c r="M1389" t="s">
        <v>39</v>
      </c>
      <c r="N1389" t="s">
        <v>40</v>
      </c>
      <c r="O1389" t="s">
        <v>35</v>
      </c>
      <c r="P1389">
        <v>5</v>
      </c>
      <c r="Q1389" s="2">
        <f>Ventas[[#This Row],[precio_base]]*Ventas[[#This Row],[cantidad]]</f>
        <v>1599.96</v>
      </c>
      <c r="R1389" s="2">
        <f>Ventas[[#This Row],[Total bruto (antes de descuento)]]-Ventas[[#This Row],[total_venta]]</f>
        <v>320</v>
      </c>
    </row>
    <row r="1390" spans="1:18" x14ac:dyDescent="0.25">
      <c r="A1390" t="s">
        <v>1483</v>
      </c>
      <c r="B1390" s="1">
        <v>45558</v>
      </c>
      <c r="C1390" t="s">
        <v>78</v>
      </c>
      <c r="D1390" t="s">
        <v>18</v>
      </c>
      <c r="E1390">
        <v>3</v>
      </c>
      <c r="F1390" s="2">
        <v>349.99</v>
      </c>
      <c r="G1390">
        <v>15</v>
      </c>
      <c r="H1390" s="2">
        <v>297.49</v>
      </c>
      <c r="I1390" s="2">
        <v>892.47</v>
      </c>
      <c r="J1390" t="s">
        <v>116</v>
      </c>
      <c r="K1390" t="s">
        <v>44</v>
      </c>
      <c r="L1390" t="s">
        <v>28</v>
      </c>
      <c r="M1390" t="s">
        <v>84</v>
      </c>
      <c r="N1390" t="s">
        <v>85</v>
      </c>
      <c r="O1390" t="s">
        <v>35</v>
      </c>
      <c r="Q1390" s="2">
        <f>Ventas[[#This Row],[precio_base]]*Ventas[[#This Row],[cantidad]]</f>
        <v>1049.97</v>
      </c>
      <c r="R1390" s="2">
        <f>Ventas[[#This Row],[Total bruto (antes de descuento)]]-Ventas[[#This Row],[total_venta]]</f>
        <v>157.5</v>
      </c>
    </row>
    <row r="1391" spans="1:18" x14ac:dyDescent="0.25">
      <c r="A1391" t="s">
        <v>1484</v>
      </c>
      <c r="B1391" s="1">
        <v>45251</v>
      </c>
      <c r="C1391" t="s">
        <v>104</v>
      </c>
      <c r="D1391" t="s">
        <v>18</v>
      </c>
      <c r="E1391">
        <v>2</v>
      </c>
      <c r="F1391" s="2">
        <v>1199.99</v>
      </c>
      <c r="G1391">
        <v>5</v>
      </c>
      <c r="H1391" s="2">
        <v>1139.99</v>
      </c>
      <c r="I1391" s="2">
        <v>2279.98</v>
      </c>
      <c r="J1391" t="s">
        <v>90</v>
      </c>
      <c r="K1391" t="s">
        <v>52</v>
      </c>
      <c r="L1391" t="s">
        <v>21</v>
      </c>
      <c r="M1391" t="s">
        <v>101</v>
      </c>
      <c r="N1391" t="s">
        <v>102</v>
      </c>
      <c r="O1391" t="s">
        <v>35</v>
      </c>
      <c r="Q1391" s="2">
        <f>Ventas[[#This Row],[precio_base]]*Ventas[[#This Row],[cantidad]]</f>
        <v>2399.98</v>
      </c>
      <c r="R1391" s="2">
        <f>Ventas[[#This Row],[Total bruto (antes de descuento)]]-Ventas[[#This Row],[total_venta]]</f>
        <v>120</v>
      </c>
    </row>
    <row r="1392" spans="1:18" x14ac:dyDescent="0.25">
      <c r="A1392" t="s">
        <v>1485</v>
      </c>
      <c r="B1392" s="1">
        <v>45617</v>
      </c>
      <c r="C1392" t="s">
        <v>37</v>
      </c>
      <c r="D1392" t="s">
        <v>38</v>
      </c>
      <c r="E1392">
        <v>3</v>
      </c>
      <c r="F1392" s="2">
        <v>34.99</v>
      </c>
      <c r="G1392">
        <v>10</v>
      </c>
      <c r="H1392" s="2">
        <v>31.49</v>
      </c>
      <c r="I1392" s="2">
        <v>94.47</v>
      </c>
      <c r="J1392" t="s">
        <v>51</v>
      </c>
      <c r="K1392" t="s">
        <v>52</v>
      </c>
      <c r="L1392" t="s">
        <v>32</v>
      </c>
      <c r="M1392" t="s">
        <v>101</v>
      </c>
      <c r="N1392" t="s">
        <v>102</v>
      </c>
      <c r="O1392" t="s">
        <v>35</v>
      </c>
      <c r="Q1392" s="2">
        <f>Ventas[[#This Row],[precio_base]]*Ventas[[#This Row],[cantidad]]</f>
        <v>104.97</v>
      </c>
      <c r="R1392" s="2">
        <f>Ventas[[#This Row],[Total bruto (antes de descuento)]]-Ventas[[#This Row],[total_venta]]</f>
        <v>10.5</v>
      </c>
    </row>
    <row r="1393" spans="1:18" x14ac:dyDescent="0.25">
      <c r="A1393" t="s">
        <v>1486</v>
      </c>
      <c r="B1393" s="1">
        <v>45576</v>
      </c>
      <c r="C1393" t="s">
        <v>151</v>
      </c>
      <c r="D1393" t="s">
        <v>27</v>
      </c>
      <c r="E1393">
        <v>5</v>
      </c>
      <c r="F1393" s="2">
        <v>599.99</v>
      </c>
      <c r="G1393">
        <v>0</v>
      </c>
      <c r="H1393" s="2">
        <v>599.99</v>
      </c>
      <c r="I1393" s="2">
        <v>2999.95</v>
      </c>
      <c r="J1393" t="s">
        <v>19</v>
      </c>
      <c r="K1393" t="s">
        <v>57</v>
      </c>
      <c r="L1393" t="s">
        <v>45</v>
      </c>
      <c r="M1393" t="s">
        <v>84</v>
      </c>
      <c r="N1393" t="s">
        <v>85</v>
      </c>
      <c r="O1393" t="s">
        <v>35</v>
      </c>
      <c r="P1393">
        <v>5</v>
      </c>
      <c r="Q1393" s="2">
        <f>Ventas[[#This Row],[precio_base]]*Ventas[[#This Row],[cantidad]]</f>
        <v>2999.95</v>
      </c>
      <c r="R1393" s="2">
        <f>Ventas[[#This Row],[Total bruto (antes de descuento)]]-Ventas[[#This Row],[total_venta]]</f>
        <v>0</v>
      </c>
    </row>
    <row r="1394" spans="1:18" x14ac:dyDescent="0.25">
      <c r="A1394" t="s">
        <v>1487</v>
      </c>
      <c r="B1394" s="1">
        <v>45097</v>
      </c>
      <c r="C1394" t="s">
        <v>156</v>
      </c>
      <c r="D1394" t="s">
        <v>27</v>
      </c>
      <c r="E1394">
        <v>4</v>
      </c>
      <c r="F1394" s="2">
        <v>49.99</v>
      </c>
      <c r="G1394">
        <v>0</v>
      </c>
      <c r="H1394" s="2">
        <v>49.99</v>
      </c>
      <c r="I1394" s="2">
        <v>199.96</v>
      </c>
      <c r="J1394" t="s">
        <v>19</v>
      </c>
      <c r="K1394" t="s">
        <v>57</v>
      </c>
      <c r="L1394" t="s">
        <v>45</v>
      </c>
      <c r="M1394" t="s">
        <v>22</v>
      </c>
      <c r="N1394" t="s">
        <v>23</v>
      </c>
      <c r="O1394" t="s">
        <v>24</v>
      </c>
      <c r="P1394">
        <v>1</v>
      </c>
      <c r="Q1394" s="2">
        <f>Ventas[[#This Row],[precio_base]]*Ventas[[#This Row],[cantidad]]</f>
        <v>199.96</v>
      </c>
      <c r="R1394" s="2">
        <f>Ventas[[#This Row],[Total bruto (antes de descuento)]]-Ventas[[#This Row],[total_venta]]</f>
        <v>0</v>
      </c>
    </row>
    <row r="1395" spans="1:18" x14ac:dyDescent="0.25">
      <c r="A1395" t="s">
        <v>1488</v>
      </c>
      <c r="B1395" s="1">
        <v>45306</v>
      </c>
      <c r="C1395" t="s">
        <v>143</v>
      </c>
      <c r="D1395" t="s">
        <v>43</v>
      </c>
      <c r="E1395">
        <v>3</v>
      </c>
      <c r="F1395" s="2">
        <v>34.99</v>
      </c>
      <c r="G1395">
        <v>0</v>
      </c>
      <c r="H1395" s="2">
        <v>34.99</v>
      </c>
      <c r="I1395" s="2">
        <v>104.97</v>
      </c>
      <c r="J1395" t="s">
        <v>19</v>
      </c>
      <c r="K1395" t="s">
        <v>44</v>
      </c>
      <c r="L1395" t="s">
        <v>32</v>
      </c>
      <c r="M1395" t="s">
        <v>58</v>
      </c>
      <c r="N1395" t="s">
        <v>59</v>
      </c>
      <c r="O1395" t="s">
        <v>24</v>
      </c>
      <c r="P1395">
        <v>4</v>
      </c>
      <c r="Q1395" s="2">
        <f>Ventas[[#This Row],[precio_base]]*Ventas[[#This Row],[cantidad]]</f>
        <v>104.97</v>
      </c>
      <c r="R1395" s="2">
        <f>Ventas[[#This Row],[Total bruto (antes de descuento)]]-Ventas[[#This Row],[total_venta]]</f>
        <v>0</v>
      </c>
    </row>
    <row r="1396" spans="1:18" x14ac:dyDescent="0.25">
      <c r="A1396" t="s">
        <v>1489</v>
      </c>
      <c r="B1396" s="1">
        <v>45591</v>
      </c>
      <c r="C1396" t="s">
        <v>151</v>
      </c>
      <c r="D1396" t="s">
        <v>27</v>
      </c>
      <c r="E1396">
        <v>4</v>
      </c>
      <c r="F1396" s="2">
        <v>599.99</v>
      </c>
      <c r="G1396">
        <v>5</v>
      </c>
      <c r="H1396" s="2">
        <v>569.99</v>
      </c>
      <c r="I1396" s="2">
        <v>2279.96</v>
      </c>
      <c r="J1396" t="s">
        <v>19</v>
      </c>
      <c r="K1396" t="s">
        <v>44</v>
      </c>
      <c r="L1396" t="s">
        <v>45</v>
      </c>
      <c r="M1396" t="s">
        <v>67</v>
      </c>
      <c r="N1396" t="s">
        <v>68</v>
      </c>
      <c r="O1396" t="s">
        <v>35</v>
      </c>
      <c r="P1396">
        <v>3</v>
      </c>
      <c r="Q1396" s="2">
        <f>Ventas[[#This Row],[precio_base]]*Ventas[[#This Row],[cantidad]]</f>
        <v>2399.96</v>
      </c>
      <c r="R1396" s="2">
        <f>Ventas[[#This Row],[Total bruto (antes de descuento)]]-Ventas[[#This Row],[total_venta]]</f>
        <v>120</v>
      </c>
    </row>
    <row r="1397" spans="1:18" x14ac:dyDescent="0.25">
      <c r="A1397" t="s">
        <v>1490</v>
      </c>
      <c r="B1397" s="1">
        <v>45043</v>
      </c>
      <c r="C1397" t="s">
        <v>122</v>
      </c>
      <c r="D1397" t="s">
        <v>43</v>
      </c>
      <c r="E1397">
        <v>2</v>
      </c>
      <c r="F1397" s="2">
        <v>44.99</v>
      </c>
      <c r="G1397">
        <v>5</v>
      </c>
      <c r="H1397" s="2">
        <v>42.74</v>
      </c>
      <c r="I1397" s="2">
        <v>85.48</v>
      </c>
      <c r="J1397" t="s">
        <v>19</v>
      </c>
      <c r="K1397" t="s">
        <v>44</v>
      </c>
      <c r="L1397" t="s">
        <v>21</v>
      </c>
      <c r="M1397" t="s">
        <v>63</v>
      </c>
      <c r="N1397" t="s">
        <v>34</v>
      </c>
      <c r="O1397" t="s">
        <v>24</v>
      </c>
      <c r="P1397">
        <v>4</v>
      </c>
      <c r="Q1397" s="2">
        <f>Ventas[[#This Row],[precio_base]]*Ventas[[#This Row],[cantidad]]</f>
        <v>89.98</v>
      </c>
      <c r="R1397" s="2">
        <f>Ventas[[#This Row],[Total bruto (antes de descuento)]]-Ventas[[#This Row],[total_venta]]</f>
        <v>4.5</v>
      </c>
    </row>
    <row r="1398" spans="1:18" x14ac:dyDescent="0.25">
      <c r="A1398" t="s">
        <v>1491</v>
      </c>
      <c r="B1398" s="1">
        <v>45317</v>
      </c>
      <c r="C1398" t="s">
        <v>83</v>
      </c>
      <c r="D1398" t="s">
        <v>38</v>
      </c>
      <c r="E1398">
        <v>4</v>
      </c>
      <c r="F1398" s="2">
        <v>49.99</v>
      </c>
      <c r="G1398">
        <v>15</v>
      </c>
      <c r="H1398" s="2">
        <v>42.49</v>
      </c>
      <c r="I1398" s="2">
        <v>169.96</v>
      </c>
      <c r="J1398" t="s">
        <v>19</v>
      </c>
      <c r="K1398" t="s">
        <v>52</v>
      </c>
      <c r="L1398" t="s">
        <v>152</v>
      </c>
      <c r="M1398" t="s">
        <v>33</v>
      </c>
      <c r="N1398" t="s">
        <v>34</v>
      </c>
      <c r="O1398" t="s">
        <v>35</v>
      </c>
      <c r="P1398">
        <v>1</v>
      </c>
      <c r="Q1398" s="2">
        <f>Ventas[[#This Row],[precio_base]]*Ventas[[#This Row],[cantidad]]</f>
        <v>199.96</v>
      </c>
      <c r="R1398" s="2">
        <f>Ventas[[#This Row],[Total bruto (antes de descuento)]]-Ventas[[#This Row],[total_venta]]</f>
        <v>30</v>
      </c>
    </row>
    <row r="1399" spans="1:18" x14ac:dyDescent="0.25">
      <c r="A1399" t="s">
        <v>1492</v>
      </c>
      <c r="B1399" s="1">
        <v>45016</v>
      </c>
      <c r="C1399" t="s">
        <v>70</v>
      </c>
      <c r="D1399" t="s">
        <v>31</v>
      </c>
      <c r="E1399">
        <v>1</v>
      </c>
      <c r="F1399" s="2">
        <v>59.99</v>
      </c>
      <c r="G1399">
        <v>0</v>
      </c>
      <c r="H1399" s="2">
        <v>59.99</v>
      </c>
      <c r="I1399" s="2">
        <v>59.99</v>
      </c>
      <c r="J1399" t="s">
        <v>51</v>
      </c>
      <c r="K1399" t="s">
        <v>52</v>
      </c>
      <c r="L1399" t="s">
        <v>21</v>
      </c>
      <c r="M1399" t="s">
        <v>33</v>
      </c>
      <c r="N1399" t="s">
        <v>34</v>
      </c>
      <c r="O1399" t="s">
        <v>35</v>
      </c>
      <c r="Q1399" s="2">
        <f>Ventas[[#This Row],[precio_base]]*Ventas[[#This Row],[cantidad]]</f>
        <v>59.99</v>
      </c>
      <c r="R1399" s="2">
        <f>Ventas[[#This Row],[Total bruto (antes de descuento)]]-Ventas[[#This Row],[total_venta]]</f>
        <v>0</v>
      </c>
    </row>
    <row r="1400" spans="1:18" x14ac:dyDescent="0.25">
      <c r="A1400" t="s">
        <v>1493</v>
      </c>
      <c r="B1400" s="1">
        <v>45565</v>
      </c>
      <c r="C1400" t="s">
        <v>122</v>
      </c>
      <c r="D1400" t="s">
        <v>43</v>
      </c>
      <c r="E1400">
        <v>5</v>
      </c>
      <c r="F1400" s="2">
        <v>44.99</v>
      </c>
      <c r="G1400">
        <v>0</v>
      </c>
      <c r="H1400" s="2">
        <v>44.99</v>
      </c>
      <c r="I1400" s="2">
        <v>224.95</v>
      </c>
      <c r="J1400" t="s">
        <v>51</v>
      </c>
      <c r="K1400" t="s">
        <v>44</v>
      </c>
      <c r="L1400" t="s">
        <v>21</v>
      </c>
      <c r="M1400" t="s">
        <v>65</v>
      </c>
      <c r="N1400" t="s">
        <v>54</v>
      </c>
      <c r="O1400" t="s">
        <v>35</v>
      </c>
      <c r="Q1400" s="2">
        <f>Ventas[[#This Row],[precio_base]]*Ventas[[#This Row],[cantidad]]</f>
        <v>224.95000000000002</v>
      </c>
      <c r="R1400" s="2">
        <f>Ventas[[#This Row],[Total bruto (antes de descuento)]]-Ventas[[#This Row],[total_venta]]</f>
        <v>0</v>
      </c>
    </row>
    <row r="1401" spans="1:18" x14ac:dyDescent="0.25">
      <c r="A1401" t="s">
        <v>1494</v>
      </c>
      <c r="B1401" s="1">
        <v>45223</v>
      </c>
      <c r="C1401" t="s">
        <v>42</v>
      </c>
      <c r="D1401" t="s">
        <v>43</v>
      </c>
      <c r="E1401">
        <v>4</v>
      </c>
      <c r="F1401" s="2">
        <v>349.99</v>
      </c>
      <c r="G1401">
        <v>0</v>
      </c>
      <c r="H1401" s="2">
        <v>349.99</v>
      </c>
      <c r="I1401" s="2">
        <v>1399.96</v>
      </c>
      <c r="J1401" t="s">
        <v>19</v>
      </c>
      <c r="K1401" t="s">
        <v>44</v>
      </c>
      <c r="L1401" t="s">
        <v>21</v>
      </c>
      <c r="M1401" t="s">
        <v>101</v>
      </c>
      <c r="N1401" t="s">
        <v>102</v>
      </c>
      <c r="O1401" t="s">
        <v>35</v>
      </c>
      <c r="P1401">
        <v>4</v>
      </c>
      <c r="Q1401" s="2">
        <f>Ventas[[#This Row],[precio_base]]*Ventas[[#This Row],[cantidad]]</f>
        <v>1399.96</v>
      </c>
      <c r="R1401" s="2">
        <f>Ventas[[#This Row],[Total bruto (antes de descuento)]]-Ventas[[#This Row],[total_venta]]</f>
        <v>0</v>
      </c>
    </row>
    <row r="1402" spans="1:18" x14ac:dyDescent="0.25">
      <c r="A1402" t="s">
        <v>1495</v>
      </c>
      <c r="B1402" s="1">
        <v>45054</v>
      </c>
      <c r="C1402" t="s">
        <v>89</v>
      </c>
      <c r="D1402" t="s">
        <v>38</v>
      </c>
      <c r="E1402">
        <v>4</v>
      </c>
      <c r="F1402" s="2">
        <v>69.989999999999995</v>
      </c>
      <c r="G1402">
        <v>5</v>
      </c>
      <c r="H1402" s="2">
        <v>66.489999999999995</v>
      </c>
      <c r="I1402" s="2">
        <v>265.95999999999998</v>
      </c>
      <c r="J1402" t="s">
        <v>90</v>
      </c>
      <c r="K1402" t="s">
        <v>44</v>
      </c>
      <c r="L1402" t="s">
        <v>28</v>
      </c>
      <c r="M1402" t="s">
        <v>73</v>
      </c>
      <c r="N1402" t="s">
        <v>74</v>
      </c>
      <c r="O1402" t="s">
        <v>35</v>
      </c>
      <c r="Q1402" s="2">
        <f>Ventas[[#This Row],[precio_base]]*Ventas[[#This Row],[cantidad]]</f>
        <v>279.95999999999998</v>
      </c>
      <c r="R1402" s="2">
        <f>Ventas[[#This Row],[Total bruto (antes de descuento)]]-Ventas[[#This Row],[total_venta]]</f>
        <v>14</v>
      </c>
    </row>
    <row r="1403" spans="1:18" x14ac:dyDescent="0.25">
      <c r="A1403" t="s">
        <v>1496</v>
      </c>
      <c r="B1403" s="1">
        <v>44934</v>
      </c>
      <c r="C1403" t="s">
        <v>89</v>
      </c>
      <c r="D1403" t="s">
        <v>38</v>
      </c>
      <c r="E1403">
        <v>2</v>
      </c>
      <c r="F1403" s="2">
        <v>69.989999999999995</v>
      </c>
      <c r="G1403">
        <v>10</v>
      </c>
      <c r="H1403" s="2">
        <v>62.99</v>
      </c>
      <c r="I1403" s="2">
        <v>125.98</v>
      </c>
      <c r="J1403" t="s">
        <v>19</v>
      </c>
      <c r="K1403" t="s">
        <v>44</v>
      </c>
      <c r="L1403" t="s">
        <v>21</v>
      </c>
      <c r="M1403" t="s">
        <v>53</v>
      </c>
      <c r="N1403" t="s">
        <v>54</v>
      </c>
      <c r="O1403" t="s">
        <v>35</v>
      </c>
      <c r="P1403">
        <v>4</v>
      </c>
      <c r="Q1403" s="2">
        <f>Ventas[[#This Row],[precio_base]]*Ventas[[#This Row],[cantidad]]</f>
        <v>139.97999999999999</v>
      </c>
      <c r="R1403" s="2">
        <f>Ventas[[#This Row],[Total bruto (antes de descuento)]]-Ventas[[#This Row],[total_venta]]</f>
        <v>13.999999999999986</v>
      </c>
    </row>
    <row r="1404" spans="1:18" x14ac:dyDescent="0.25">
      <c r="A1404" t="s">
        <v>1497</v>
      </c>
      <c r="B1404" s="1">
        <v>45616</v>
      </c>
      <c r="C1404" t="s">
        <v>163</v>
      </c>
      <c r="D1404" t="s">
        <v>18</v>
      </c>
      <c r="E1404">
        <v>1</v>
      </c>
      <c r="F1404" s="2">
        <v>499.99</v>
      </c>
      <c r="G1404">
        <v>5</v>
      </c>
      <c r="H1404" s="2">
        <v>474.99</v>
      </c>
      <c r="I1404" s="2">
        <v>474.99</v>
      </c>
      <c r="J1404" t="s">
        <v>19</v>
      </c>
      <c r="K1404" t="s">
        <v>20</v>
      </c>
      <c r="L1404" t="s">
        <v>45</v>
      </c>
      <c r="M1404" t="s">
        <v>46</v>
      </c>
      <c r="N1404" t="s">
        <v>47</v>
      </c>
      <c r="O1404" t="s">
        <v>48</v>
      </c>
      <c r="P1404">
        <v>5</v>
      </c>
      <c r="Q1404" s="2">
        <f>Ventas[[#This Row],[precio_base]]*Ventas[[#This Row],[cantidad]]</f>
        <v>499.99</v>
      </c>
      <c r="R1404" s="2">
        <f>Ventas[[#This Row],[Total bruto (antes de descuento)]]-Ventas[[#This Row],[total_venta]]</f>
        <v>25</v>
      </c>
    </row>
    <row r="1405" spans="1:18" x14ac:dyDescent="0.25">
      <c r="A1405" t="s">
        <v>1498</v>
      </c>
      <c r="B1405" s="1">
        <v>45541</v>
      </c>
      <c r="C1405" t="s">
        <v>141</v>
      </c>
      <c r="D1405" t="s">
        <v>38</v>
      </c>
      <c r="E1405">
        <v>3</v>
      </c>
      <c r="F1405" s="2">
        <v>89.99</v>
      </c>
      <c r="G1405">
        <v>0</v>
      </c>
      <c r="H1405" s="2">
        <v>89.99</v>
      </c>
      <c r="I1405" s="2">
        <v>269.97000000000003</v>
      </c>
      <c r="J1405" t="s">
        <v>90</v>
      </c>
      <c r="K1405" t="s">
        <v>20</v>
      </c>
      <c r="L1405" t="s">
        <v>152</v>
      </c>
      <c r="M1405" t="s">
        <v>120</v>
      </c>
      <c r="N1405" t="s">
        <v>23</v>
      </c>
      <c r="O1405" t="s">
        <v>24</v>
      </c>
      <c r="Q1405" s="2">
        <f>Ventas[[#This Row],[precio_base]]*Ventas[[#This Row],[cantidad]]</f>
        <v>269.96999999999997</v>
      </c>
      <c r="R1405" s="2">
        <f>Ventas[[#This Row],[Total bruto (antes de descuento)]]-Ventas[[#This Row],[total_venta]]</f>
        <v>0</v>
      </c>
    </row>
    <row r="1406" spans="1:18" x14ac:dyDescent="0.25">
      <c r="A1406" t="s">
        <v>1499</v>
      </c>
      <c r="B1406" s="1">
        <v>45124</v>
      </c>
      <c r="C1406" t="s">
        <v>156</v>
      </c>
      <c r="D1406" t="s">
        <v>27</v>
      </c>
      <c r="E1406">
        <v>4</v>
      </c>
      <c r="F1406" s="2">
        <v>49.99</v>
      </c>
      <c r="G1406">
        <v>20</v>
      </c>
      <c r="H1406" s="2">
        <v>39.99</v>
      </c>
      <c r="I1406" s="2">
        <v>159.96</v>
      </c>
      <c r="J1406" t="s">
        <v>19</v>
      </c>
      <c r="K1406" t="s">
        <v>44</v>
      </c>
      <c r="L1406" t="s">
        <v>21</v>
      </c>
      <c r="M1406" t="s">
        <v>53</v>
      </c>
      <c r="N1406" t="s">
        <v>54</v>
      </c>
      <c r="O1406" t="s">
        <v>35</v>
      </c>
      <c r="P1406">
        <v>4</v>
      </c>
      <c r="Q1406" s="2">
        <f>Ventas[[#This Row],[precio_base]]*Ventas[[#This Row],[cantidad]]</f>
        <v>199.96</v>
      </c>
      <c r="R1406" s="2">
        <f>Ventas[[#This Row],[Total bruto (antes de descuento)]]-Ventas[[#This Row],[total_venta]]</f>
        <v>40</v>
      </c>
    </row>
    <row r="1407" spans="1:18" x14ac:dyDescent="0.25">
      <c r="A1407" t="s">
        <v>1500</v>
      </c>
      <c r="B1407" s="1">
        <v>45104</v>
      </c>
      <c r="C1407" t="s">
        <v>109</v>
      </c>
      <c r="D1407" t="s">
        <v>38</v>
      </c>
      <c r="E1407">
        <v>3</v>
      </c>
      <c r="F1407" s="2">
        <v>39.99</v>
      </c>
      <c r="G1407">
        <v>10</v>
      </c>
      <c r="H1407" s="2">
        <v>35.99</v>
      </c>
      <c r="I1407" s="2">
        <v>107.97</v>
      </c>
      <c r="J1407" t="s">
        <v>19</v>
      </c>
      <c r="K1407" t="s">
        <v>20</v>
      </c>
      <c r="L1407" t="s">
        <v>32</v>
      </c>
      <c r="M1407" t="s">
        <v>22</v>
      </c>
      <c r="N1407" t="s">
        <v>23</v>
      </c>
      <c r="O1407" t="s">
        <v>24</v>
      </c>
      <c r="P1407">
        <v>5</v>
      </c>
      <c r="Q1407" s="2">
        <f>Ventas[[#This Row],[precio_base]]*Ventas[[#This Row],[cantidad]]</f>
        <v>119.97</v>
      </c>
      <c r="R1407" s="2">
        <f>Ventas[[#This Row],[Total bruto (antes de descuento)]]-Ventas[[#This Row],[total_venta]]</f>
        <v>12</v>
      </c>
    </row>
    <row r="1408" spans="1:18" x14ac:dyDescent="0.25">
      <c r="A1408" t="s">
        <v>1501</v>
      </c>
      <c r="B1408" s="1">
        <v>45048</v>
      </c>
      <c r="C1408" t="s">
        <v>72</v>
      </c>
      <c r="D1408" t="s">
        <v>31</v>
      </c>
      <c r="E1408">
        <v>5</v>
      </c>
      <c r="F1408" s="2">
        <v>29.99</v>
      </c>
      <c r="G1408">
        <v>20</v>
      </c>
      <c r="H1408" s="2">
        <v>23.99</v>
      </c>
      <c r="I1408" s="2">
        <v>119.95</v>
      </c>
      <c r="J1408" t="s">
        <v>19</v>
      </c>
      <c r="K1408" t="s">
        <v>44</v>
      </c>
      <c r="L1408" t="s">
        <v>21</v>
      </c>
      <c r="M1408" t="s">
        <v>39</v>
      </c>
      <c r="N1408" t="s">
        <v>40</v>
      </c>
      <c r="O1408" t="s">
        <v>35</v>
      </c>
      <c r="P1408">
        <v>5</v>
      </c>
      <c r="Q1408" s="2">
        <f>Ventas[[#This Row],[precio_base]]*Ventas[[#This Row],[cantidad]]</f>
        <v>149.94999999999999</v>
      </c>
      <c r="R1408" s="2">
        <f>Ventas[[#This Row],[Total bruto (antes de descuento)]]-Ventas[[#This Row],[total_venta]]</f>
        <v>29.999999999999986</v>
      </c>
    </row>
    <row r="1409" spans="1:18" x14ac:dyDescent="0.25">
      <c r="A1409" t="s">
        <v>1502</v>
      </c>
      <c r="B1409" s="1">
        <v>45089</v>
      </c>
      <c r="C1409" t="s">
        <v>141</v>
      </c>
      <c r="D1409" t="s">
        <v>38</v>
      </c>
      <c r="E1409">
        <v>2</v>
      </c>
      <c r="F1409" s="2">
        <v>89.99</v>
      </c>
      <c r="G1409">
        <v>0</v>
      </c>
      <c r="H1409" s="2">
        <v>89.99</v>
      </c>
      <c r="I1409" s="2">
        <v>179.98</v>
      </c>
      <c r="J1409" t="s">
        <v>19</v>
      </c>
      <c r="K1409" t="s">
        <v>20</v>
      </c>
      <c r="L1409" t="s">
        <v>28</v>
      </c>
      <c r="M1409" t="s">
        <v>120</v>
      </c>
      <c r="N1409" t="s">
        <v>23</v>
      </c>
      <c r="O1409" t="s">
        <v>24</v>
      </c>
      <c r="P1409">
        <v>2</v>
      </c>
      <c r="Q1409" s="2">
        <f>Ventas[[#This Row],[precio_base]]*Ventas[[#This Row],[cantidad]]</f>
        <v>179.98</v>
      </c>
      <c r="R1409" s="2">
        <f>Ventas[[#This Row],[Total bruto (antes de descuento)]]-Ventas[[#This Row],[total_venta]]</f>
        <v>0</v>
      </c>
    </row>
    <row r="1410" spans="1:18" x14ac:dyDescent="0.25">
      <c r="A1410" t="s">
        <v>1503</v>
      </c>
      <c r="B1410" s="1">
        <v>44955</v>
      </c>
      <c r="C1410" t="s">
        <v>156</v>
      </c>
      <c r="D1410" t="s">
        <v>27</v>
      </c>
      <c r="E1410">
        <v>5</v>
      </c>
      <c r="F1410" s="2">
        <v>49.99</v>
      </c>
      <c r="G1410">
        <v>0</v>
      </c>
      <c r="H1410" s="2">
        <v>49.99</v>
      </c>
      <c r="I1410" s="2">
        <v>249.95</v>
      </c>
      <c r="J1410" t="s">
        <v>19</v>
      </c>
      <c r="K1410" t="s">
        <v>44</v>
      </c>
      <c r="L1410" t="s">
        <v>21</v>
      </c>
      <c r="M1410" t="s">
        <v>46</v>
      </c>
      <c r="N1410" t="s">
        <v>47</v>
      </c>
      <c r="O1410" t="s">
        <v>48</v>
      </c>
      <c r="P1410">
        <v>4</v>
      </c>
      <c r="Q1410" s="2">
        <f>Ventas[[#This Row],[precio_base]]*Ventas[[#This Row],[cantidad]]</f>
        <v>249.95000000000002</v>
      </c>
      <c r="R1410" s="2">
        <f>Ventas[[#This Row],[Total bruto (antes de descuento)]]-Ventas[[#This Row],[total_venta]]</f>
        <v>0</v>
      </c>
    </row>
    <row r="1411" spans="1:18" x14ac:dyDescent="0.25">
      <c r="A1411" t="s">
        <v>1504</v>
      </c>
      <c r="B1411" s="1">
        <v>45576</v>
      </c>
      <c r="C1411" t="s">
        <v>72</v>
      </c>
      <c r="D1411" t="s">
        <v>31</v>
      </c>
      <c r="E1411">
        <v>3</v>
      </c>
      <c r="F1411" s="2">
        <v>29.99</v>
      </c>
      <c r="G1411">
        <v>0</v>
      </c>
      <c r="H1411" s="2">
        <v>29.99</v>
      </c>
      <c r="I1411" s="2">
        <v>89.97</v>
      </c>
      <c r="J1411" t="s">
        <v>19</v>
      </c>
      <c r="K1411" t="s">
        <v>20</v>
      </c>
      <c r="L1411" t="s">
        <v>21</v>
      </c>
      <c r="M1411" t="s">
        <v>53</v>
      </c>
      <c r="N1411" t="s">
        <v>54</v>
      </c>
      <c r="O1411" t="s">
        <v>35</v>
      </c>
      <c r="P1411">
        <v>2</v>
      </c>
      <c r="Q1411" s="2">
        <f>Ventas[[#This Row],[precio_base]]*Ventas[[#This Row],[cantidad]]</f>
        <v>89.97</v>
      </c>
      <c r="R1411" s="2">
        <f>Ventas[[#This Row],[Total bruto (antes de descuento)]]-Ventas[[#This Row],[total_venta]]</f>
        <v>0</v>
      </c>
    </row>
    <row r="1412" spans="1:18" x14ac:dyDescent="0.25">
      <c r="A1412" t="s">
        <v>1505</v>
      </c>
      <c r="B1412" s="1">
        <v>45314</v>
      </c>
      <c r="C1412" t="s">
        <v>98</v>
      </c>
      <c r="D1412" t="s">
        <v>31</v>
      </c>
      <c r="E1412">
        <v>3</v>
      </c>
      <c r="F1412" s="2">
        <v>99.99</v>
      </c>
      <c r="G1412">
        <v>15</v>
      </c>
      <c r="H1412" s="2">
        <v>84.99</v>
      </c>
      <c r="I1412" s="2">
        <v>254.97</v>
      </c>
      <c r="J1412" t="s">
        <v>19</v>
      </c>
      <c r="K1412" t="s">
        <v>52</v>
      </c>
      <c r="L1412" t="s">
        <v>28</v>
      </c>
      <c r="M1412" t="s">
        <v>95</v>
      </c>
      <c r="N1412" t="s">
        <v>96</v>
      </c>
      <c r="O1412" t="s">
        <v>48</v>
      </c>
      <c r="P1412">
        <v>5</v>
      </c>
      <c r="Q1412" s="2">
        <f>Ventas[[#This Row],[precio_base]]*Ventas[[#This Row],[cantidad]]</f>
        <v>299.96999999999997</v>
      </c>
      <c r="R1412" s="2">
        <f>Ventas[[#This Row],[Total bruto (antes de descuento)]]-Ventas[[#This Row],[total_venta]]</f>
        <v>44.999999999999972</v>
      </c>
    </row>
    <row r="1413" spans="1:18" x14ac:dyDescent="0.25">
      <c r="A1413" t="s">
        <v>1506</v>
      </c>
      <c r="B1413" s="1">
        <v>45032</v>
      </c>
      <c r="C1413" t="s">
        <v>17</v>
      </c>
      <c r="D1413" t="s">
        <v>18</v>
      </c>
      <c r="E1413">
        <v>4</v>
      </c>
      <c r="F1413" s="2">
        <v>45.99</v>
      </c>
      <c r="G1413">
        <v>10</v>
      </c>
      <c r="H1413" s="2">
        <v>41.39</v>
      </c>
      <c r="I1413" s="2">
        <v>165.56</v>
      </c>
      <c r="J1413" t="s">
        <v>19</v>
      </c>
      <c r="K1413" t="s">
        <v>20</v>
      </c>
      <c r="L1413" t="s">
        <v>32</v>
      </c>
      <c r="M1413" t="s">
        <v>63</v>
      </c>
      <c r="N1413" t="s">
        <v>34</v>
      </c>
      <c r="O1413" t="s">
        <v>24</v>
      </c>
      <c r="P1413">
        <v>1</v>
      </c>
      <c r="Q1413" s="2">
        <f>Ventas[[#This Row],[precio_base]]*Ventas[[#This Row],[cantidad]]</f>
        <v>183.96</v>
      </c>
      <c r="R1413" s="2">
        <f>Ventas[[#This Row],[Total bruto (antes de descuento)]]-Ventas[[#This Row],[total_venta]]</f>
        <v>18.400000000000006</v>
      </c>
    </row>
    <row r="1414" spans="1:18" x14ac:dyDescent="0.25">
      <c r="A1414" t="s">
        <v>1507</v>
      </c>
      <c r="B1414" s="1">
        <v>45006</v>
      </c>
      <c r="C1414" t="s">
        <v>92</v>
      </c>
      <c r="D1414" t="s">
        <v>27</v>
      </c>
      <c r="E1414">
        <v>3</v>
      </c>
      <c r="F1414" s="2">
        <v>79.989999999999995</v>
      </c>
      <c r="G1414">
        <v>20</v>
      </c>
      <c r="H1414" s="2">
        <v>63.99</v>
      </c>
      <c r="I1414" s="2">
        <v>191.97</v>
      </c>
      <c r="J1414" t="s">
        <v>19</v>
      </c>
      <c r="K1414" t="s">
        <v>44</v>
      </c>
      <c r="L1414" t="s">
        <v>21</v>
      </c>
      <c r="M1414" t="s">
        <v>95</v>
      </c>
      <c r="N1414" t="s">
        <v>96</v>
      </c>
      <c r="O1414" t="s">
        <v>48</v>
      </c>
      <c r="P1414">
        <v>1</v>
      </c>
      <c r="Q1414" s="2">
        <f>Ventas[[#This Row],[precio_base]]*Ventas[[#This Row],[cantidad]]</f>
        <v>239.96999999999997</v>
      </c>
      <c r="R1414" s="2">
        <f>Ventas[[#This Row],[Total bruto (antes de descuento)]]-Ventas[[#This Row],[total_venta]]</f>
        <v>47.999999999999972</v>
      </c>
    </row>
    <row r="1415" spans="1:18" x14ac:dyDescent="0.25">
      <c r="A1415" t="s">
        <v>1508</v>
      </c>
      <c r="B1415" s="1">
        <v>45425</v>
      </c>
      <c r="C1415" t="s">
        <v>72</v>
      </c>
      <c r="D1415" t="s">
        <v>31</v>
      </c>
      <c r="E1415">
        <v>1</v>
      </c>
      <c r="F1415" s="2">
        <v>29.99</v>
      </c>
      <c r="G1415">
        <v>0</v>
      </c>
      <c r="H1415" s="2">
        <v>29.99</v>
      </c>
      <c r="I1415" s="2">
        <v>29.99</v>
      </c>
      <c r="J1415" t="s">
        <v>51</v>
      </c>
      <c r="K1415" t="s">
        <v>52</v>
      </c>
      <c r="L1415" t="s">
        <v>28</v>
      </c>
      <c r="M1415" t="s">
        <v>120</v>
      </c>
      <c r="N1415" t="s">
        <v>23</v>
      </c>
      <c r="O1415" t="s">
        <v>24</v>
      </c>
      <c r="Q1415" s="2">
        <f>Ventas[[#This Row],[precio_base]]*Ventas[[#This Row],[cantidad]]</f>
        <v>29.99</v>
      </c>
      <c r="R1415" s="2">
        <f>Ventas[[#This Row],[Total bruto (antes de descuento)]]-Ventas[[#This Row],[total_venta]]</f>
        <v>0</v>
      </c>
    </row>
    <row r="1416" spans="1:18" x14ac:dyDescent="0.25">
      <c r="A1416" t="s">
        <v>1509</v>
      </c>
      <c r="B1416" s="1">
        <v>45388</v>
      </c>
      <c r="C1416" t="s">
        <v>70</v>
      </c>
      <c r="D1416" t="s">
        <v>31</v>
      </c>
      <c r="E1416">
        <v>2</v>
      </c>
      <c r="F1416" s="2">
        <v>59.99</v>
      </c>
      <c r="G1416">
        <v>0</v>
      </c>
      <c r="H1416" s="2">
        <v>59.99</v>
      </c>
      <c r="I1416" s="2">
        <v>119.98</v>
      </c>
      <c r="J1416" t="s">
        <v>19</v>
      </c>
      <c r="K1416" t="s">
        <v>20</v>
      </c>
      <c r="L1416" t="s">
        <v>45</v>
      </c>
      <c r="M1416" t="s">
        <v>53</v>
      </c>
      <c r="N1416" t="s">
        <v>54</v>
      </c>
      <c r="O1416" t="s">
        <v>35</v>
      </c>
      <c r="P1416">
        <v>5</v>
      </c>
      <c r="Q1416" s="2">
        <f>Ventas[[#This Row],[precio_base]]*Ventas[[#This Row],[cantidad]]</f>
        <v>119.98</v>
      </c>
      <c r="R1416" s="2">
        <f>Ventas[[#This Row],[Total bruto (antes de descuento)]]-Ventas[[#This Row],[total_venta]]</f>
        <v>0</v>
      </c>
    </row>
    <row r="1417" spans="1:18" x14ac:dyDescent="0.25">
      <c r="A1417" t="s">
        <v>1510</v>
      </c>
      <c r="B1417" s="1">
        <v>44959</v>
      </c>
      <c r="C1417" t="s">
        <v>17</v>
      </c>
      <c r="D1417" t="s">
        <v>18</v>
      </c>
      <c r="E1417">
        <v>3</v>
      </c>
      <c r="F1417" s="2">
        <v>45.99</v>
      </c>
      <c r="G1417">
        <v>0</v>
      </c>
      <c r="H1417" s="2">
        <v>45.99</v>
      </c>
      <c r="I1417" s="2">
        <v>137.97</v>
      </c>
      <c r="J1417" t="s">
        <v>19</v>
      </c>
      <c r="K1417" t="s">
        <v>44</v>
      </c>
      <c r="L1417" t="s">
        <v>21</v>
      </c>
      <c r="M1417" t="s">
        <v>33</v>
      </c>
      <c r="N1417" t="s">
        <v>34</v>
      </c>
      <c r="O1417" t="s">
        <v>35</v>
      </c>
      <c r="P1417">
        <v>5</v>
      </c>
      <c r="Q1417" s="2">
        <f>Ventas[[#This Row],[precio_base]]*Ventas[[#This Row],[cantidad]]</f>
        <v>137.97</v>
      </c>
      <c r="R1417" s="2">
        <f>Ventas[[#This Row],[Total bruto (antes de descuento)]]-Ventas[[#This Row],[total_venta]]</f>
        <v>0</v>
      </c>
    </row>
    <row r="1418" spans="1:18" x14ac:dyDescent="0.25">
      <c r="A1418" t="s">
        <v>1511</v>
      </c>
      <c r="B1418" s="1">
        <v>45187</v>
      </c>
      <c r="C1418" t="s">
        <v>122</v>
      </c>
      <c r="D1418" t="s">
        <v>43</v>
      </c>
      <c r="E1418">
        <v>1</v>
      </c>
      <c r="F1418" s="2">
        <v>44.99</v>
      </c>
      <c r="G1418">
        <v>0</v>
      </c>
      <c r="H1418" s="2">
        <v>44.99</v>
      </c>
      <c r="I1418" s="2">
        <v>44.99</v>
      </c>
      <c r="J1418" t="s">
        <v>51</v>
      </c>
      <c r="K1418" t="s">
        <v>20</v>
      </c>
      <c r="L1418" t="s">
        <v>45</v>
      </c>
      <c r="M1418" t="s">
        <v>65</v>
      </c>
      <c r="N1418" t="s">
        <v>54</v>
      </c>
      <c r="O1418" t="s">
        <v>35</v>
      </c>
      <c r="Q1418" s="2">
        <f>Ventas[[#This Row],[precio_base]]*Ventas[[#This Row],[cantidad]]</f>
        <v>44.99</v>
      </c>
      <c r="R1418" s="2">
        <f>Ventas[[#This Row],[Total bruto (antes de descuento)]]-Ventas[[#This Row],[total_venta]]</f>
        <v>0</v>
      </c>
    </row>
    <row r="1419" spans="1:18" x14ac:dyDescent="0.25">
      <c r="A1419" t="s">
        <v>1512</v>
      </c>
      <c r="B1419" s="1">
        <v>45083</v>
      </c>
      <c r="C1419" t="s">
        <v>115</v>
      </c>
      <c r="D1419" t="s">
        <v>18</v>
      </c>
      <c r="E1419">
        <v>3</v>
      </c>
      <c r="F1419" s="2">
        <v>799.99</v>
      </c>
      <c r="G1419">
        <v>0</v>
      </c>
      <c r="H1419" s="2">
        <v>799.99</v>
      </c>
      <c r="I1419" s="2">
        <v>2399.9699999999998</v>
      </c>
      <c r="J1419" t="s">
        <v>62</v>
      </c>
      <c r="K1419" t="s">
        <v>20</v>
      </c>
      <c r="L1419" t="s">
        <v>21</v>
      </c>
      <c r="M1419" t="s">
        <v>46</v>
      </c>
      <c r="N1419" t="s">
        <v>47</v>
      </c>
      <c r="O1419" t="s">
        <v>48</v>
      </c>
      <c r="Q1419" s="2">
        <f>Ventas[[#This Row],[precio_base]]*Ventas[[#This Row],[cantidad]]</f>
        <v>2399.9700000000003</v>
      </c>
      <c r="R1419" s="2">
        <f>Ventas[[#This Row],[Total bruto (antes de descuento)]]-Ventas[[#This Row],[total_venta]]</f>
        <v>0</v>
      </c>
    </row>
    <row r="1420" spans="1:18" x14ac:dyDescent="0.25">
      <c r="A1420" t="s">
        <v>1513</v>
      </c>
      <c r="B1420" s="1">
        <v>45635</v>
      </c>
      <c r="C1420" t="s">
        <v>78</v>
      </c>
      <c r="D1420" t="s">
        <v>18</v>
      </c>
      <c r="E1420">
        <v>3</v>
      </c>
      <c r="F1420" s="2">
        <v>349.99</v>
      </c>
      <c r="G1420">
        <v>0</v>
      </c>
      <c r="H1420" s="2">
        <v>349.99</v>
      </c>
      <c r="I1420" s="2">
        <v>1049.97</v>
      </c>
      <c r="J1420" t="s">
        <v>19</v>
      </c>
      <c r="K1420" t="s">
        <v>20</v>
      </c>
      <c r="L1420" t="s">
        <v>45</v>
      </c>
      <c r="M1420" t="s">
        <v>95</v>
      </c>
      <c r="N1420" t="s">
        <v>96</v>
      </c>
      <c r="O1420" t="s">
        <v>48</v>
      </c>
      <c r="P1420">
        <v>3</v>
      </c>
      <c r="Q1420" s="2">
        <f>Ventas[[#This Row],[precio_base]]*Ventas[[#This Row],[cantidad]]</f>
        <v>1049.97</v>
      </c>
      <c r="R1420" s="2">
        <f>Ventas[[#This Row],[Total bruto (antes de descuento)]]-Ventas[[#This Row],[total_venta]]</f>
        <v>0</v>
      </c>
    </row>
    <row r="1421" spans="1:18" x14ac:dyDescent="0.25">
      <c r="A1421" t="s">
        <v>1514</v>
      </c>
      <c r="B1421" s="1">
        <v>45405</v>
      </c>
      <c r="C1421" t="s">
        <v>76</v>
      </c>
      <c r="D1421" t="s">
        <v>31</v>
      </c>
      <c r="E1421">
        <v>4</v>
      </c>
      <c r="F1421" s="2">
        <v>69.989999999999995</v>
      </c>
      <c r="G1421">
        <v>5</v>
      </c>
      <c r="H1421" s="2">
        <v>66.489999999999995</v>
      </c>
      <c r="I1421" s="2">
        <v>265.95999999999998</v>
      </c>
      <c r="J1421" t="s">
        <v>19</v>
      </c>
      <c r="K1421" t="s">
        <v>52</v>
      </c>
      <c r="L1421" t="s">
        <v>21</v>
      </c>
      <c r="M1421" t="s">
        <v>120</v>
      </c>
      <c r="N1421" t="s">
        <v>23</v>
      </c>
      <c r="O1421" t="s">
        <v>24</v>
      </c>
      <c r="P1421">
        <v>2</v>
      </c>
      <c r="Q1421" s="2">
        <f>Ventas[[#This Row],[precio_base]]*Ventas[[#This Row],[cantidad]]</f>
        <v>279.95999999999998</v>
      </c>
      <c r="R1421" s="2">
        <f>Ventas[[#This Row],[Total bruto (antes de descuento)]]-Ventas[[#This Row],[total_venta]]</f>
        <v>14</v>
      </c>
    </row>
    <row r="1422" spans="1:18" x14ac:dyDescent="0.25">
      <c r="A1422" t="s">
        <v>1515</v>
      </c>
      <c r="B1422" s="1">
        <v>45630</v>
      </c>
      <c r="C1422" t="s">
        <v>42</v>
      </c>
      <c r="D1422" t="s">
        <v>43</v>
      </c>
      <c r="E1422">
        <v>3</v>
      </c>
      <c r="F1422" s="2">
        <v>349.99</v>
      </c>
      <c r="G1422">
        <v>5</v>
      </c>
      <c r="H1422" s="2">
        <v>332.49</v>
      </c>
      <c r="I1422" s="2">
        <v>997.47</v>
      </c>
      <c r="J1422" t="s">
        <v>19</v>
      </c>
      <c r="K1422" t="s">
        <v>52</v>
      </c>
      <c r="L1422" t="s">
        <v>21</v>
      </c>
      <c r="M1422" t="s">
        <v>39</v>
      </c>
      <c r="N1422" t="s">
        <v>40</v>
      </c>
      <c r="O1422" t="s">
        <v>35</v>
      </c>
      <c r="P1422">
        <v>2</v>
      </c>
      <c r="Q1422" s="2">
        <f>Ventas[[#This Row],[precio_base]]*Ventas[[#This Row],[cantidad]]</f>
        <v>1049.97</v>
      </c>
      <c r="R1422" s="2">
        <f>Ventas[[#This Row],[Total bruto (antes de descuento)]]-Ventas[[#This Row],[total_venta]]</f>
        <v>52.5</v>
      </c>
    </row>
    <row r="1423" spans="1:18" x14ac:dyDescent="0.25">
      <c r="A1423" t="s">
        <v>1516</v>
      </c>
      <c r="B1423" s="1">
        <v>45426</v>
      </c>
      <c r="C1423" t="s">
        <v>37</v>
      </c>
      <c r="D1423" t="s">
        <v>38</v>
      </c>
      <c r="E1423">
        <v>4</v>
      </c>
      <c r="F1423" s="2">
        <v>34.99</v>
      </c>
      <c r="G1423">
        <v>5</v>
      </c>
      <c r="H1423" s="2">
        <v>33.24</v>
      </c>
      <c r="I1423" s="2">
        <v>132.96</v>
      </c>
      <c r="J1423" t="s">
        <v>19</v>
      </c>
      <c r="K1423" t="s">
        <v>52</v>
      </c>
      <c r="L1423" t="s">
        <v>28</v>
      </c>
      <c r="M1423" t="s">
        <v>58</v>
      </c>
      <c r="N1423" t="s">
        <v>59</v>
      </c>
      <c r="O1423" t="s">
        <v>24</v>
      </c>
      <c r="P1423">
        <v>5</v>
      </c>
      <c r="Q1423" s="2">
        <f>Ventas[[#This Row],[precio_base]]*Ventas[[#This Row],[cantidad]]</f>
        <v>139.96</v>
      </c>
      <c r="R1423" s="2">
        <f>Ventas[[#This Row],[Total bruto (antes de descuento)]]-Ventas[[#This Row],[total_venta]]</f>
        <v>7</v>
      </c>
    </row>
    <row r="1424" spans="1:18" x14ac:dyDescent="0.25">
      <c r="A1424" t="s">
        <v>1517</v>
      </c>
      <c r="B1424" s="1">
        <v>45319</v>
      </c>
      <c r="C1424" t="s">
        <v>37</v>
      </c>
      <c r="D1424" t="s">
        <v>38</v>
      </c>
      <c r="E1424">
        <v>2</v>
      </c>
      <c r="F1424" s="2">
        <v>34.99</v>
      </c>
      <c r="G1424">
        <v>10</v>
      </c>
      <c r="H1424" s="2">
        <v>31.49</v>
      </c>
      <c r="I1424" s="2">
        <v>62.98</v>
      </c>
      <c r="J1424" t="s">
        <v>19</v>
      </c>
      <c r="K1424" t="s">
        <v>44</v>
      </c>
      <c r="L1424" t="s">
        <v>21</v>
      </c>
      <c r="M1424" t="s">
        <v>53</v>
      </c>
      <c r="N1424" t="s">
        <v>54</v>
      </c>
      <c r="O1424" t="s">
        <v>35</v>
      </c>
      <c r="P1424">
        <v>2</v>
      </c>
      <c r="Q1424" s="2">
        <f>Ventas[[#This Row],[precio_base]]*Ventas[[#This Row],[cantidad]]</f>
        <v>69.98</v>
      </c>
      <c r="R1424" s="2">
        <f>Ventas[[#This Row],[Total bruto (antes de descuento)]]-Ventas[[#This Row],[total_venta]]</f>
        <v>7.0000000000000071</v>
      </c>
    </row>
    <row r="1425" spans="1:18" x14ac:dyDescent="0.25">
      <c r="A1425" t="s">
        <v>1518</v>
      </c>
      <c r="B1425" s="1">
        <v>44961</v>
      </c>
      <c r="C1425" t="s">
        <v>87</v>
      </c>
      <c r="D1425" t="s">
        <v>27</v>
      </c>
      <c r="E1425">
        <v>3</v>
      </c>
      <c r="F1425" s="2">
        <v>249.99</v>
      </c>
      <c r="G1425">
        <v>10</v>
      </c>
      <c r="H1425" s="2">
        <v>224.99</v>
      </c>
      <c r="I1425" s="2">
        <v>674.97</v>
      </c>
      <c r="J1425" t="s">
        <v>19</v>
      </c>
      <c r="K1425" t="s">
        <v>52</v>
      </c>
      <c r="L1425" t="s">
        <v>28</v>
      </c>
      <c r="M1425" t="s">
        <v>33</v>
      </c>
      <c r="N1425" t="s">
        <v>34</v>
      </c>
      <c r="O1425" t="s">
        <v>35</v>
      </c>
      <c r="P1425">
        <v>5</v>
      </c>
      <c r="Q1425" s="2">
        <f>Ventas[[#This Row],[precio_base]]*Ventas[[#This Row],[cantidad]]</f>
        <v>749.97</v>
      </c>
      <c r="R1425" s="2">
        <f>Ventas[[#This Row],[Total bruto (antes de descuento)]]-Ventas[[#This Row],[total_venta]]</f>
        <v>75</v>
      </c>
    </row>
    <row r="1426" spans="1:18" x14ac:dyDescent="0.25">
      <c r="A1426" t="s">
        <v>1519</v>
      </c>
      <c r="B1426" s="1">
        <v>45287</v>
      </c>
      <c r="C1426" t="s">
        <v>109</v>
      </c>
      <c r="D1426" t="s">
        <v>38</v>
      </c>
      <c r="E1426">
        <v>1</v>
      </c>
      <c r="F1426" s="2">
        <v>39.99</v>
      </c>
      <c r="G1426">
        <v>0</v>
      </c>
      <c r="H1426" s="2">
        <v>39.99</v>
      </c>
      <c r="I1426" s="2">
        <v>39.99</v>
      </c>
      <c r="J1426" t="s">
        <v>19</v>
      </c>
      <c r="K1426" t="s">
        <v>20</v>
      </c>
      <c r="L1426" t="s">
        <v>21</v>
      </c>
      <c r="M1426" t="s">
        <v>123</v>
      </c>
      <c r="N1426" t="s">
        <v>124</v>
      </c>
      <c r="O1426" t="s">
        <v>24</v>
      </c>
      <c r="P1426">
        <v>2</v>
      </c>
      <c r="Q1426" s="2">
        <f>Ventas[[#This Row],[precio_base]]*Ventas[[#This Row],[cantidad]]</f>
        <v>39.99</v>
      </c>
      <c r="R1426" s="2">
        <f>Ventas[[#This Row],[Total bruto (antes de descuento)]]-Ventas[[#This Row],[total_venta]]</f>
        <v>0</v>
      </c>
    </row>
    <row r="1427" spans="1:18" x14ac:dyDescent="0.25">
      <c r="A1427" t="s">
        <v>1520</v>
      </c>
      <c r="B1427" s="1">
        <v>45001</v>
      </c>
      <c r="C1427" t="s">
        <v>115</v>
      </c>
      <c r="D1427" t="s">
        <v>18</v>
      </c>
      <c r="E1427">
        <v>3</v>
      </c>
      <c r="F1427" s="2">
        <v>799.99</v>
      </c>
      <c r="G1427">
        <v>0</v>
      </c>
      <c r="H1427" s="2">
        <v>799.99</v>
      </c>
      <c r="I1427" s="2">
        <v>2399.9699999999998</v>
      </c>
      <c r="J1427" t="s">
        <v>19</v>
      </c>
      <c r="K1427" t="s">
        <v>20</v>
      </c>
      <c r="L1427" t="s">
        <v>21</v>
      </c>
      <c r="M1427" t="s">
        <v>123</v>
      </c>
      <c r="N1427" t="s">
        <v>124</v>
      </c>
      <c r="O1427" t="s">
        <v>24</v>
      </c>
      <c r="P1427">
        <v>1</v>
      </c>
      <c r="Q1427" s="2">
        <f>Ventas[[#This Row],[precio_base]]*Ventas[[#This Row],[cantidad]]</f>
        <v>2399.9700000000003</v>
      </c>
      <c r="R1427" s="2">
        <f>Ventas[[#This Row],[Total bruto (antes de descuento)]]-Ventas[[#This Row],[total_venta]]</f>
        <v>0</v>
      </c>
    </row>
    <row r="1428" spans="1:18" x14ac:dyDescent="0.25">
      <c r="A1428" t="s">
        <v>1521</v>
      </c>
      <c r="B1428" s="1">
        <v>45263</v>
      </c>
      <c r="C1428" t="s">
        <v>115</v>
      </c>
      <c r="D1428" t="s">
        <v>18</v>
      </c>
      <c r="E1428">
        <v>4</v>
      </c>
      <c r="F1428" s="2">
        <v>799.99</v>
      </c>
      <c r="G1428">
        <v>10</v>
      </c>
      <c r="H1428" s="2">
        <v>719.99</v>
      </c>
      <c r="I1428" s="2">
        <v>2879.96</v>
      </c>
      <c r="J1428" t="s">
        <v>51</v>
      </c>
      <c r="K1428" t="s">
        <v>20</v>
      </c>
      <c r="L1428" t="s">
        <v>21</v>
      </c>
      <c r="M1428" t="s">
        <v>53</v>
      </c>
      <c r="N1428" t="s">
        <v>54</v>
      </c>
      <c r="O1428" t="s">
        <v>35</v>
      </c>
      <c r="Q1428" s="2">
        <f>Ventas[[#This Row],[precio_base]]*Ventas[[#This Row],[cantidad]]</f>
        <v>3199.96</v>
      </c>
      <c r="R1428" s="2">
        <f>Ventas[[#This Row],[Total bruto (antes de descuento)]]-Ventas[[#This Row],[total_venta]]</f>
        <v>320</v>
      </c>
    </row>
    <row r="1429" spans="1:18" x14ac:dyDescent="0.25">
      <c r="A1429" t="s">
        <v>1522</v>
      </c>
      <c r="B1429" s="1">
        <v>45217</v>
      </c>
      <c r="C1429" t="s">
        <v>156</v>
      </c>
      <c r="D1429" t="s">
        <v>27</v>
      </c>
      <c r="E1429">
        <v>2</v>
      </c>
      <c r="F1429" s="2">
        <v>49.99</v>
      </c>
      <c r="G1429">
        <v>10</v>
      </c>
      <c r="H1429" s="2">
        <v>44.99</v>
      </c>
      <c r="I1429" s="2">
        <v>89.98</v>
      </c>
      <c r="J1429" t="s">
        <v>19</v>
      </c>
      <c r="K1429" t="s">
        <v>20</v>
      </c>
      <c r="L1429" t="s">
        <v>28</v>
      </c>
      <c r="M1429" t="s">
        <v>65</v>
      </c>
      <c r="N1429" t="s">
        <v>54</v>
      </c>
      <c r="O1429" t="s">
        <v>35</v>
      </c>
      <c r="P1429">
        <v>1</v>
      </c>
      <c r="Q1429" s="2">
        <f>Ventas[[#This Row],[precio_base]]*Ventas[[#This Row],[cantidad]]</f>
        <v>99.98</v>
      </c>
      <c r="R1429" s="2">
        <f>Ventas[[#This Row],[Total bruto (antes de descuento)]]-Ventas[[#This Row],[total_venta]]</f>
        <v>10</v>
      </c>
    </row>
    <row r="1430" spans="1:18" x14ac:dyDescent="0.25">
      <c r="A1430" t="s">
        <v>1523</v>
      </c>
      <c r="B1430" s="1">
        <v>45514</v>
      </c>
      <c r="C1430" t="s">
        <v>130</v>
      </c>
      <c r="D1430" t="s">
        <v>43</v>
      </c>
      <c r="E1430">
        <v>4</v>
      </c>
      <c r="F1430" s="2">
        <v>24.99</v>
      </c>
      <c r="G1430">
        <v>15</v>
      </c>
      <c r="H1430" s="2">
        <v>21.24</v>
      </c>
      <c r="I1430" s="2">
        <v>84.96</v>
      </c>
      <c r="J1430" t="s">
        <v>51</v>
      </c>
      <c r="K1430" t="s">
        <v>52</v>
      </c>
      <c r="L1430" t="s">
        <v>21</v>
      </c>
      <c r="M1430" t="s">
        <v>123</v>
      </c>
      <c r="N1430" t="s">
        <v>124</v>
      </c>
      <c r="O1430" t="s">
        <v>24</v>
      </c>
      <c r="Q1430" s="2">
        <f>Ventas[[#This Row],[precio_base]]*Ventas[[#This Row],[cantidad]]</f>
        <v>99.96</v>
      </c>
      <c r="R1430" s="2">
        <f>Ventas[[#This Row],[Total bruto (antes de descuento)]]-Ventas[[#This Row],[total_venta]]</f>
        <v>15</v>
      </c>
    </row>
    <row r="1431" spans="1:18" x14ac:dyDescent="0.25">
      <c r="A1431" t="s">
        <v>1524</v>
      </c>
      <c r="B1431" s="1">
        <v>44977</v>
      </c>
      <c r="C1431" t="s">
        <v>70</v>
      </c>
      <c r="D1431" t="s">
        <v>31</v>
      </c>
      <c r="E1431">
        <v>4</v>
      </c>
      <c r="F1431" s="2">
        <v>59.99</v>
      </c>
      <c r="G1431">
        <v>5</v>
      </c>
      <c r="H1431" s="2">
        <v>56.99</v>
      </c>
      <c r="I1431" s="2">
        <v>227.96</v>
      </c>
      <c r="J1431" t="s">
        <v>19</v>
      </c>
      <c r="K1431" t="s">
        <v>20</v>
      </c>
      <c r="L1431" t="s">
        <v>21</v>
      </c>
      <c r="M1431" t="s">
        <v>58</v>
      </c>
      <c r="N1431" t="s">
        <v>59</v>
      </c>
      <c r="O1431" t="s">
        <v>24</v>
      </c>
      <c r="P1431">
        <v>2</v>
      </c>
      <c r="Q1431" s="2">
        <f>Ventas[[#This Row],[precio_base]]*Ventas[[#This Row],[cantidad]]</f>
        <v>239.96</v>
      </c>
      <c r="R1431" s="2">
        <f>Ventas[[#This Row],[Total bruto (antes de descuento)]]-Ventas[[#This Row],[total_venta]]</f>
        <v>12</v>
      </c>
    </row>
    <row r="1432" spans="1:18" x14ac:dyDescent="0.25">
      <c r="A1432" t="s">
        <v>1525</v>
      </c>
      <c r="B1432" s="1">
        <v>45542</v>
      </c>
      <c r="C1432" t="s">
        <v>141</v>
      </c>
      <c r="D1432" t="s">
        <v>38</v>
      </c>
      <c r="E1432">
        <v>5</v>
      </c>
      <c r="F1432" s="2">
        <v>89.99</v>
      </c>
      <c r="G1432">
        <v>5</v>
      </c>
      <c r="H1432" s="2">
        <v>85.49</v>
      </c>
      <c r="I1432" s="2">
        <v>427.45</v>
      </c>
      <c r="J1432" t="s">
        <v>19</v>
      </c>
      <c r="K1432" t="s">
        <v>20</v>
      </c>
      <c r="L1432" t="s">
        <v>28</v>
      </c>
      <c r="M1432" t="s">
        <v>46</v>
      </c>
      <c r="N1432" t="s">
        <v>47</v>
      </c>
      <c r="O1432" t="s">
        <v>48</v>
      </c>
      <c r="P1432">
        <v>5</v>
      </c>
      <c r="Q1432" s="2">
        <f>Ventas[[#This Row],[precio_base]]*Ventas[[#This Row],[cantidad]]</f>
        <v>449.95</v>
      </c>
      <c r="R1432" s="2">
        <f>Ventas[[#This Row],[Total bruto (antes de descuento)]]-Ventas[[#This Row],[total_venta]]</f>
        <v>22.5</v>
      </c>
    </row>
    <row r="1433" spans="1:18" x14ac:dyDescent="0.25">
      <c r="A1433" t="s">
        <v>1526</v>
      </c>
      <c r="B1433" s="1">
        <v>44931</v>
      </c>
      <c r="C1433" t="s">
        <v>122</v>
      </c>
      <c r="D1433" t="s">
        <v>43</v>
      </c>
      <c r="E1433">
        <v>4</v>
      </c>
      <c r="F1433" s="2">
        <v>44.99</v>
      </c>
      <c r="G1433">
        <v>0</v>
      </c>
      <c r="H1433" s="2">
        <v>44.99</v>
      </c>
      <c r="I1433" s="2">
        <v>179.96</v>
      </c>
      <c r="J1433" t="s">
        <v>19</v>
      </c>
      <c r="K1433" t="s">
        <v>20</v>
      </c>
      <c r="L1433" t="s">
        <v>45</v>
      </c>
      <c r="M1433" t="s">
        <v>120</v>
      </c>
      <c r="N1433" t="s">
        <v>23</v>
      </c>
      <c r="O1433" t="s">
        <v>24</v>
      </c>
      <c r="P1433">
        <v>5</v>
      </c>
      <c r="Q1433" s="2">
        <f>Ventas[[#This Row],[precio_base]]*Ventas[[#This Row],[cantidad]]</f>
        <v>179.96</v>
      </c>
      <c r="R1433" s="2">
        <f>Ventas[[#This Row],[Total bruto (antes de descuento)]]-Ventas[[#This Row],[total_venta]]</f>
        <v>0</v>
      </c>
    </row>
    <row r="1434" spans="1:18" x14ac:dyDescent="0.25">
      <c r="A1434" t="s">
        <v>1527</v>
      </c>
      <c r="B1434" s="1">
        <v>44967</v>
      </c>
      <c r="C1434" t="s">
        <v>141</v>
      </c>
      <c r="D1434" t="s">
        <v>38</v>
      </c>
      <c r="E1434">
        <v>1</v>
      </c>
      <c r="F1434" s="2">
        <v>89.99</v>
      </c>
      <c r="G1434">
        <v>0</v>
      </c>
      <c r="H1434" s="2">
        <v>89.99</v>
      </c>
      <c r="I1434" s="2">
        <v>89.99</v>
      </c>
      <c r="J1434" t="s">
        <v>19</v>
      </c>
      <c r="K1434" t="s">
        <v>52</v>
      </c>
      <c r="L1434" t="s">
        <v>28</v>
      </c>
      <c r="M1434" t="s">
        <v>67</v>
      </c>
      <c r="N1434" t="s">
        <v>68</v>
      </c>
      <c r="O1434" t="s">
        <v>35</v>
      </c>
      <c r="P1434">
        <v>3</v>
      </c>
      <c r="Q1434" s="2">
        <f>Ventas[[#This Row],[precio_base]]*Ventas[[#This Row],[cantidad]]</f>
        <v>89.99</v>
      </c>
      <c r="R1434" s="2">
        <f>Ventas[[#This Row],[Total bruto (antes de descuento)]]-Ventas[[#This Row],[total_venta]]</f>
        <v>0</v>
      </c>
    </row>
    <row r="1435" spans="1:18" x14ac:dyDescent="0.25">
      <c r="A1435" t="s">
        <v>1528</v>
      </c>
      <c r="B1435" s="1">
        <v>45251</v>
      </c>
      <c r="C1435" t="s">
        <v>98</v>
      </c>
      <c r="D1435" t="s">
        <v>31</v>
      </c>
      <c r="E1435">
        <v>3</v>
      </c>
      <c r="F1435" s="2">
        <v>99.99</v>
      </c>
      <c r="G1435">
        <v>5</v>
      </c>
      <c r="H1435" s="2">
        <v>94.99</v>
      </c>
      <c r="I1435" s="2">
        <v>284.97000000000003</v>
      </c>
      <c r="J1435" t="s">
        <v>19</v>
      </c>
      <c r="K1435" t="s">
        <v>20</v>
      </c>
      <c r="L1435" t="s">
        <v>28</v>
      </c>
      <c r="M1435" t="s">
        <v>39</v>
      </c>
      <c r="N1435" t="s">
        <v>40</v>
      </c>
      <c r="O1435" t="s">
        <v>35</v>
      </c>
      <c r="P1435">
        <v>4</v>
      </c>
      <c r="Q1435" s="2">
        <f>Ventas[[#This Row],[precio_base]]*Ventas[[#This Row],[cantidad]]</f>
        <v>299.96999999999997</v>
      </c>
      <c r="R1435" s="2">
        <f>Ventas[[#This Row],[Total bruto (antes de descuento)]]-Ventas[[#This Row],[total_venta]]</f>
        <v>14.999999999999943</v>
      </c>
    </row>
    <row r="1436" spans="1:18" x14ac:dyDescent="0.25">
      <c r="A1436" t="s">
        <v>1529</v>
      </c>
      <c r="B1436" s="1">
        <v>45232</v>
      </c>
      <c r="C1436" t="s">
        <v>30</v>
      </c>
      <c r="D1436" t="s">
        <v>31</v>
      </c>
      <c r="E1436">
        <v>4</v>
      </c>
      <c r="F1436" s="2">
        <v>299.99</v>
      </c>
      <c r="G1436">
        <v>5</v>
      </c>
      <c r="H1436" s="2">
        <v>284.99</v>
      </c>
      <c r="I1436" s="2">
        <v>1139.96</v>
      </c>
      <c r="J1436" t="s">
        <v>62</v>
      </c>
      <c r="K1436" t="s">
        <v>20</v>
      </c>
      <c r="L1436" t="s">
        <v>45</v>
      </c>
      <c r="M1436" t="s">
        <v>53</v>
      </c>
      <c r="N1436" t="s">
        <v>54</v>
      </c>
      <c r="O1436" t="s">
        <v>35</v>
      </c>
      <c r="Q1436" s="2">
        <f>Ventas[[#This Row],[precio_base]]*Ventas[[#This Row],[cantidad]]</f>
        <v>1199.96</v>
      </c>
      <c r="R1436" s="2">
        <f>Ventas[[#This Row],[Total bruto (antes de descuento)]]-Ventas[[#This Row],[total_venta]]</f>
        <v>60</v>
      </c>
    </row>
    <row r="1437" spans="1:18" x14ac:dyDescent="0.25">
      <c r="A1437" t="s">
        <v>1530</v>
      </c>
      <c r="B1437" s="1">
        <v>45559</v>
      </c>
      <c r="C1437" t="s">
        <v>17</v>
      </c>
      <c r="D1437" t="s">
        <v>18</v>
      </c>
      <c r="E1437">
        <v>1</v>
      </c>
      <c r="F1437" s="2">
        <v>45.99</v>
      </c>
      <c r="G1437">
        <v>0</v>
      </c>
      <c r="H1437" s="2">
        <v>45.99</v>
      </c>
      <c r="I1437" s="2">
        <v>45.99</v>
      </c>
      <c r="J1437" t="s">
        <v>19</v>
      </c>
      <c r="K1437" t="s">
        <v>20</v>
      </c>
      <c r="L1437" t="s">
        <v>152</v>
      </c>
      <c r="M1437" t="s">
        <v>46</v>
      </c>
      <c r="N1437" t="s">
        <v>47</v>
      </c>
      <c r="O1437" t="s">
        <v>48</v>
      </c>
      <c r="P1437">
        <v>4</v>
      </c>
      <c r="Q1437" s="2">
        <f>Ventas[[#This Row],[precio_base]]*Ventas[[#This Row],[cantidad]]</f>
        <v>45.99</v>
      </c>
      <c r="R1437" s="2">
        <f>Ventas[[#This Row],[Total bruto (antes de descuento)]]-Ventas[[#This Row],[total_venta]]</f>
        <v>0</v>
      </c>
    </row>
    <row r="1438" spans="1:18" x14ac:dyDescent="0.25">
      <c r="A1438" t="s">
        <v>1531</v>
      </c>
      <c r="B1438" s="1">
        <v>45158</v>
      </c>
      <c r="C1438" t="s">
        <v>205</v>
      </c>
      <c r="D1438" t="s">
        <v>18</v>
      </c>
      <c r="E1438">
        <v>1</v>
      </c>
      <c r="F1438" s="2">
        <v>129.99</v>
      </c>
      <c r="G1438">
        <v>0</v>
      </c>
      <c r="H1438" s="2">
        <v>129.99</v>
      </c>
      <c r="I1438" s="2">
        <v>129.99</v>
      </c>
      <c r="J1438" t="s">
        <v>51</v>
      </c>
      <c r="K1438" t="s">
        <v>20</v>
      </c>
      <c r="L1438" t="s">
        <v>152</v>
      </c>
      <c r="M1438" t="s">
        <v>39</v>
      </c>
      <c r="N1438" t="s">
        <v>40</v>
      </c>
      <c r="O1438" t="s">
        <v>35</v>
      </c>
      <c r="Q1438" s="2">
        <f>Ventas[[#This Row],[precio_base]]*Ventas[[#This Row],[cantidad]]</f>
        <v>129.99</v>
      </c>
      <c r="R1438" s="2">
        <f>Ventas[[#This Row],[Total bruto (antes de descuento)]]-Ventas[[#This Row],[total_venta]]</f>
        <v>0</v>
      </c>
    </row>
    <row r="1439" spans="1:18" x14ac:dyDescent="0.25">
      <c r="A1439" t="s">
        <v>1532</v>
      </c>
      <c r="B1439" s="1">
        <v>44932</v>
      </c>
      <c r="C1439" t="s">
        <v>122</v>
      </c>
      <c r="D1439" t="s">
        <v>43</v>
      </c>
      <c r="E1439">
        <v>1</v>
      </c>
      <c r="F1439" s="2">
        <v>44.99</v>
      </c>
      <c r="G1439">
        <v>0</v>
      </c>
      <c r="H1439" s="2">
        <v>44.99</v>
      </c>
      <c r="I1439" s="2">
        <v>44.99</v>
      </c>
      <c r="J1439" t="s">
        <v>62</v>
      </c>
      <c r="K1439" t="s">
        <v>20</v>
      </c>
      <c r="L1439" t="s">
        <v>152</v>
      </c>
      <c r="M1439" t="s">
        <v>46</v>
      </c>
      <c r="N1439" t="s">
        <v>47</v>
      </c>
      <c r="O1439" t="s">
        <v>48</v>
      </c>
      <c r="Q1439" s="2">
        <f>Ventas[[#This Row],[precio_base]]*Ventas[[#This Row],[cantidad]]</f>
        <v>44.99</v>
      </c>
      <c r="R1439" s="2">
        <f>Ventas[[#This Row],[Total bruto (antes de descuento)]]-Ventas[[#This Row],[total_venta]]</f>
        <v>0</v>
      </c>
    </row>
    <row r="1440" spans="1:18" x14ac:dyDescent="0.25">
      <c r="A1440" t="s">
        <v>1533</v>
      </c>
      <c r="B1440" s="1">
        <v>45003</v>
      </c>
      <c r="C1440" t="s">
        <v>61</v>
      </c>
      <c r="D1440" t="s">
        <v>38</v>
      </c>
      <c r="E1440">
        <v>3</v>
      </c>
      <c r="F1440" s="2">
        <v>19.989999999999998</v>
      </c>
      <c r="G1440">
        <v>15</v>
      </c>
      <c r="H1440" s="2">
        <v>16.989999999999998</v>
      </c>
      <c r="I1440" s="2">
        <v>50.97</v>
      </c>
      <c r="J1440" t="s">
        <v>51</v>
      </c>
      <c r="K1440" t="s">
        <v>20</v>
      </c>
      <c r="L1440" t="s">
        <v>28</v>
      </c>
      <c r="M1440" t="s">
        <v>39</v>
      </c>
      <c r="N1440" t="s">
        <v>40</v>
      </c>
      <c r="O1440" t="s">
        <v>35</v>
      </c>
      <c r="Q1440" s="2">
        <f>Ventas[[#This Row],[precio_base]]*Ventas[[#This Row],[cantidad]]</f>
        <v>59.97</v>
      </c>
      <c r="R1440" s="2">
        <f>Ventas[[#This Row],[Total bruto (antes de descuento)]]-Ventas[[#This Row],[total_venta]]</f>
        <v>9</v>
      </c>
    </row>
    <row r="1441" spans="1:18" x14ac:dyDescent="0.25">
      <c r="A1441" t="s">
        <v>1534</v>
      </c>
      <c r="B1441" s="1">
        <v>45068</v>
      </c>
      <c r="C1441" t="s">
        <v>26</v>
      </c>
      <c r="D1441" t="s">
        <v>27</v>
      </c>
      <c r="E1441">
        <v>4</v>
      </c>
      <c r="F1441" s="2">
        <v>399.99</v>
      </c>
      <c r="G1441">
        <v>0</v>
      </c>
      <c r="H1441" s="2">
        <v>399.99</v>
      </c>
      <c r="I1441" s="2">
        <v>1599.96</v>
      </c>
      <c r="J1441" t="s">
        <v>19</v>
      </c>
      <c r="K1441" t="s">
        <v>20</v>
      </c>
      <c r="L1441" t="s">
        <v>45</v>
      </c>
      <c r="M1441" t="s">
        <v>67</v>
      </c>
      <c r="N1441" t="s">
        <v>68</v>
      </c>
      <c r="O1441" t="s">
        <v>35</v>
      </c>
      <c r="P1441">
        <v>4</v>
      </c>
      <c r="Q1441" s="2">
        <f>Ventas[[#This Row],[precio_base]]*Ventas[[#This Row],[cantidad]]</f>
        <v>1599.96</v>
      </c>
      <c r="R1441" s="2">
        <f>Ventas[[#This Row],[Total bruto (antes de descuento)]]-Ventas[[#This Row],[total_venta]]</f>
        <v>0</v>
      </c>
    </row>
    <row r="1442" spans="1:18" x14ac:dyDescent="0.25">
      <c r="A1442" t="s">
        <v>1535</v>
      </c>
      <c r="B1442" s="1">
        <v>45579</v>
      </c>
      <c r="C1442" t="s">
        <v>151</v>
      </c>
      <c r="D1442" t="s">
        <v>27</v>
      </c>
      <c r="E1442">
        <v>1</v>
      </c>
      <c r="F1442" s="2">
        <v>599.99</v>
      </c>
      <c r="G1442">
        <v>10</v>
      </c>
      <c r="H1442" s="2">
        <v>539.99</v>
      </c>
      <c r="I1442" s="2">
        <v>539.99</v>
      </c>
      <c r="J1442" t="s">
        <v>19</v>
      </c>
      <c r="K1442" t="s">
        <v>44</v>
      </c>
      <c r="L1442" t="s">
        <v>45</v>
      </c>
      <c r="M1442" t="s">
        <v>33</v>
      </c>
      <c r="N1442" t="s">
        <v>34</v>
      </c>
      <c r="O1442" t="s">
        <v>35</v>
      </c>
      <c r="P1442">
        <v>3</v>
      </c>
      <c r="Q1442" s="2">
        <f>Ventas[[#This Row],[precio_base]]*Ventas[[#This Row],[cantidad]]</f>
        <v>599.99</v>
      </c>
      <c r="R1442" s="2">
        <f>Ventas[[#This Row],[Total bruto (antes de descuento)]]-Ventas[[#This Row],[total_venta]]</f>
        <v>60</v>
      </c>
    </row>
    <row r="1443" spans="1:18" x14ac:dyDescent="0.25">
      <c r="A1443" t="s">
        <v>1536</v>
      </c>
      <c r="B1443" s="1">
        <v>45256</v>
      </c>
      <c r="C1443" t="s">
        <v>98</v>
      </c>
      <c r="D1443" t="s">
        <v>31</v>
      </c>
      <c r="E1443">
        <v>4</v>
      </c>
      <c r="F1443" s="2">
        <v>99.99</v>
      </c>
      <c r="G1443">
        <v>0</v>
      </c>
      <c r="H1443" s="2">
        <v>99.99</v>
      </c>
      <c r="I1443" s="2">
        <v>399.96</v>
      </c>
      <c r="J1443" t="s">
        <v>19</v>
      </c>
      <c r="K1443" t="s">
        <v>20</v>
      </c>
      <c r="L1443" t="s">
        <v>21</v>
      </c>
      <c r="M1443" t="s">
        <v>39</v>
      </c>
      <c r="N1443" t="s">
        <v>40</v>
      </c>
      <c r="O1443" t="s">
        <v>35</v>
      </c>
      <c r="P1443">
        <v>5</v>
      </c>
      <c r="Q1443" s="2">
        <f>Ventas[[#This Row],[precio_base]]*Ventas[[#This Row],[cantidad]]</f>
        <v>399.96</v>
      </c>
      <c r="R1443" s="2">
        <f>Ventas[[#This Row],[Total bruto (antes de descuento)]]-Ventas[[#This Row],[total_venta]]</f>
        <v>0</v>
      </c>
    </row>
    <row r="1444" spans="1:18" x14ac:dyDescent="0.25">
      <c r="A1444" t="s">
        <v>1537</v>
      </c>
      <c r="B1444" s="1">
        <v>45175</v>
      </c>
      <c r="C1444" t="s">
        <v>81</v>
      </c>
      <c r="D1444" t="s">
        <v>31</v>
      </c>
      <c r="E1444">
        <v>2</v>
      </c>
      <c r="F1444" s="2">
        <v>189.99</v>
      </c>
      <c r="G1444">
        <v>15</v>
      </c>
      <c r="H1444" s="2">
        <v>161.49</v>
      </c>
      <c r="I1444" s="2">
        <v>322.98</v>
      </c>
      <c r="J1444" t="s">
        <v>19</v>
      </c>
      <c r="K1444" t="s">
        <v>20</v>
      </c>
      <c r="L1444" t="s">
        <v>21</v>
      </c>
      <c r="M1444" t="s">
        <v>101</v>
      </c>
      <c r="N1444" t="s">
        <v>102</v>
      </c>
      <c r="O1444" t="s">
        <v>35</v>
      </c>
      <c r="P1444">
        <v>2</v>
      </c>
      <c r="Q1444" s="2">
        <f>Ventas[[#This Row],[precio_base]]*Ventas[[#This Row],[cantidad]]</f>
        <v>379.98</v>
      </c>
      <c r="R1444" s="2">
        <f>Ventas[[#This Row],[Total bruto (antes de descuento)]]-Ventas[[#This Row],[total_venta]]</f>
        <v>57</v>
      </c>
    </row>
    <row r="1445" spans="1:18" x14ac:dyDescent="0.25">
      <c r="A1445" t="s">
        <v>1538</v>
      </c>
      <c r="B1445" s="1">
        <v>45406</v>
      </c>
      <c r="C1445" t="s">
        <v>143</v>
      </c>
      <c r="D1445" t="s">
        <v>43</v>
      </c>
      <c r="E1445">
        <v>4</v>
      </c>
      <c r="F1445" s="2">
        <v>34.99</v>
      </c>
      <c r="G1445">
        <v>0</v>
      </c>
      <c r="H1445" s="2">
        <v>34.99</v>
      </c>
      <c r="I1445" s="2">
        <v>139.96</v>
      </c>
      <c r="J1445" t="s">
        <v>19</v>
      </c>
      <c r="K1445" t="s">
        <v>20</v>
      </c>
      <c r="L1445" t="s">
        <v>45</v>
      </c>
      <c r="M1445" t="s">
        <v>123</v>
      </c>
      <c r="N1445" t="s">
        <v>124</v>
      </c>
      <c r="O1445" t="s">
        <v>24</v>
      </c>
      <c r="P1445">
        <v>5</v>
      </c>
      <c r="Q1445" s="2">
        <f>Ventas[[#This Row],[precio_base]]*Ventas[[#This Row],[cantidad]]</f>
        <v>139.96</v>
      </c>
      <c r="R1445" s="2">
        <f>Ventas[[#This Row],[Total bruto (antes de descuento)]]-Ventas[[#This Row],[total_venta]]</f>
        <v>0</v>
      </c>
    </row>
    <row r="1446" spans="1:18" x14ac:dyDescent="0.25">
      <c r="A1446" t="s">
        <v>1539</v>
      </c>
      <c r="B1446" s="1">
        <v>45453</v>
      </c>
      <c r="C1446" t="s">
        <v>42</v>
      </c>
      <c r="D1446" t="s">
        <v>43</v>
      </c>
      <c r="E1446">
        <v>3</v>
      </c>
      <c r="F1446" s="2">
        <v>349.99</v>
      </c>
      <c r="G1446">
        <v>20</v>
      </c>
      <c r="H1446" s="2">
        <v>279.99</v>
      </c>
      <c r="I1446" s="2">
        <v>839.97</v>
      </c>
      <c r="J1446" t="s">
        <v>90</v>
      </c>
      <c r="K1446" t="s">
        <v>44</v>
      </c>
      <c r="L1446" t="s">
        <v>21</v>
      </c>
      <c r="M1446" t="s">
        <v>84</v>
      </c>
      <c r="N1446" t="s">
        <v>85</v>
      </c>
      <c r="O1446" t="s">
        <v>35</v>
      </c>
      <c r="Q1446" s="2">
        <f>Ventas[[#This Row],[precio_base]]*Ventas[[#This Row],[cantidad]]</f>
        <v>1049.97</v>
      </c>
      <c r="R1446" s="2">
        <f>Ventas[[#This Row],[Total bruto (antes de descuento)]]-Ventas[[#This Row],[total_venta]]</f>
        <v>210</v>
      </c>
    </row>
    <row r="1447" spans="1:18" x14ac:dyDescent="0.25">
      <c r="A1447" t="s">
        <v>1540</v>
      </c>
      <c r="B1447" s="1">
        <v>45443</v>
      </c>
      <c r="C1447" t="s">
        <v>17</v>
      </c>
      <c r="D1447" t="s">
        <v>18</v>
      </c>
      <c r="E1447">
        <v>2</v>
      </c>
      <c r="F1447" s="2">
        <v>45.99</v>
      </c>
      <c r="G1447">
        <v>0</v>
      </c>
      <c r="H1447" s="2">
        <v>45.99</v>
      </c>
      <c r="I1447" s="2">
        <v>91.98</v>
      </c>
      <c r="J1447" t="s">
        <v>90</v>
      </c>
      <c r="K1447" t="s">
        <v>57</v>
      </c>
      <c r="L1447" t="s">
        <v>32</v>
      </c>
      <c r="M1447" t="s">
        <v>120</v>
      </c>
      <c r="N1447" t="s">
        <v>23</v>
      </c>
      <c r="O1447" t="s">
        <v>24</v>
      </c>
      <c r="Q1447" s="2">
        <f>Ventas[[#This Row],[precio_base]]*Ventas[[#This Row],[cantidad]]</f>
        <v>91.98</v>
      </c>
      <c r="R1447" s="2">
        <f>Ventas[[#This Row],[Total bruto (antes de descuento)]]-Ventas[[#This Row],[total_venta]]</f>
        <v>0</v>
      </c>
    </row>
    <row r="1448" spans="1:18" x14ac:dyDescent="0.25">
      <c r="A1448" t="s">
        <v>1541</v>
      </c>
      <c r="B1448" s="1">
        <v>45452</v>
      </c>
      <c r="C1448" t="s">
        <v>115</v>
      </c>
      <c r="D1448" t="s">
        <v>18</v>
      </c>
      <c r="E1448">
        <v>4</v>
      </c>
      <c r="F1448" s="2">
        <v>799.99</v>
      </c>
      <c r="G1448">
        <v>0</v>
      </c>
      <c r="H1448" s="2">
        <v>799.99</v>
      </c>
      <c r="I1448" s="2">
        <v>3199.96</v>
      </c>
      <c r="J1448" t="s">
        <v>19</v>
      </c>
      <c r="K1448" t="s">
        <v>20</v>
      </c>
      <c r="L1448" t="s">
        <v>21</v>
      </c>
      <c r="M1448" t="s">
        <v>120</v>
      </c>
      <c r="N1448" t="s">
        <v>23</v>
      </c>
      <c r="O1448" t="s">
        <v>24</v>
      </c>
      <c r="P1448">
        <v>5</v>
      </c>
      <c r="Q1448" s="2">
        <f>Ventas[[#This Row],[precio_base]]*Ventas[[#This Row],[cantidad]]</f>
        <v>3199.96</v>
      </c>
      <c r="R1448" s="2">
        <f>Ventas[[#This Row],[Total bruto (antes de descuento)]]-Ventas[[#This Row],[total_venta]]</f>
        <v>0</v>
      </c>
    </row>
    <row r="1449" spans="1:18" x14ac:dyDescent="0.25">
      <c r="A1449" t="s">
        <v>1542</v>
      </c>
      <c r="B1449" s="1">
        <v>45590</v>
      </c>
      <c r="C1449" t="s">
        <v>17</v>
      </c>
      <c r="D1449" t="s">
        <v>18</v>
      </c>
      <c r="E1449">
        <v>2</v>
      </c>
      <c r="F1449" s="2">
        <v>45.99</v>
      </c>
      <c r="G1449">
        <v>5</v>
      </c>
      <c r="H1449" s="2">
        <v>43.69</v>
      </c>
      <c r="I1449" s="2">
        <v>87.38</v>
      </c>
      <c r="J1449" t="s">
        <v>62</v>
      </c>
      <c r="K1449" t="s">
        <v>20</v>
      </c>
      <c r="L1449" t="s">
        <v>21</v>
      </c>
      <c r="M1449" t="s">
        <v>84</v>
      </c>
      <c r="N1449" t="s">
        <v>85</v>
      </c>
      <c r="O1449" t="s">
        <v>35</v>
      </c>
      <c r="Q1449" s="2">
        <f>Ventas[[#This Row],[precio_base]]*Ventas[[#This Row],[cantidad]]</f>
        <v>91.98</v>
      </c>
      <c r="R1449" s="2">
        <f>Ventas[[#This Row],[Total bruto (antes de descuento)]]-Ventas[[#This Row],[total_venta]]</f>
        <v>4.6000000000000085</v>
      </c>
    </row>
    <row r="1450" spans="1:18" x14ac:dyDescent="0.25">
      <c r="A1450" t="s">
        <v>1543</v>
      </c>
      <c r="B1450" s="1">
        <v>45398</v>
      </c>
      <c r="C1450" t="s">
        <v>205</v>
      </c>
      <c r="D1450" t="s">
        <v>18</v>
      </c>
      <c r="E1450">
        <v>3</v>
      </c>
      <c r="F1450" s="2">
        <v>129.99</v>
      </c>
      <c r="G1450">
        <v>0</v>
      </c>
      <c r="H1450" s="2">
        <v>129.99</v>
      </c>
      <c r="I1450" s="2">
        <v>389.97</v>
      </c>
      <c r="J1450" t="s">
        <v>19</v>
      </c>
      <c r="K1450" t="s">
        <v>44</v>
      </c>
      <c r="L1450" t="s">
        <v>21</v>
      </c>
      <c r="M1450" t="s">
        <v>65</v>
      </c>
      <c r="N1450" t="s">
        <v>54</v>
      </c>
      <c r="O1450" t="s">
        <v>35</v>
      </c>
      <c r="P1450">
        <v>5</v>
      </c>
      <c r="Q1450" s="2">
        <f>Ventas[[#This Row],[precio_base]]*Ventas[[#This Row],[cantidad]]</f>
        <v>389.97</v>
      </c>
      <c r="R1450" s="2">
        <f>Ventas[[#This Row],[Total bruto (antes de descuento)]]-Ventas[[#This Row],[total_venta]]</f>
        <v>0</v>
      </c>
    </row>
    <row r="1451" spans="1:18" x14ac:dyDescent="0.25">
      <c r="A1451" t="s">
        <v>1544</v>
      </c>
      <c r="B1451" s="1">
        <v>45013</v>
      </c>
      <c r="C1451" t="s">
        <v>89</v>
      </c>
      <c r="D1451" t="s">
        <v>38</v>
      </c>
      <c r="E1451">
        <v>4</v>
      </c>
      <c r="F1451" s="2">
        <v>69.989999999999995</v>
      </c>
      <c r="G1451">
        <v>0</v>
      </c>
      <c r="H1451" s="2">
        <v>69.989999999999995</v>
      </c>
      <c r="I1451" s="2">
        <v>279.95999999999998</v>
      </c>
      <c r="J1451" t="s">
        <v>19</v>
      </c>
      <c r="K1451" t="s">
        <v>20</v>
      </c>
      <c r="L1451" t="s">
        <v>21</v>
      </c>
      <c r="M1451" t="s">
        <v>65</v>
      </c>
      <c r="N1451" t="s">
        <v>54</v>
      </c>
      <c r="O1451" t="s">
        <v>35</v>
      </c>
      <c r="P1451">
        <v>4</v>
      </c>
      <c r="Q1451" s="2">
        <f>Ventas[[#This Row],[precio_base]]*Ventas[[#This Row],[cantidad]]</f>
        <v>279.95999999999998</v>
      </c>
      <c r="R1451" s="2">
        <f>Ventas[[#This Row],[Total bruto (antes de descuento)]]-Ventas[[#This Row],[total_venta]]</f>
        <v>0</v>
      </c>
    </row>
    <row r="1452" spans="1:18" x14ac:dyDescent="0.25">
      <c r="A1452" t="s">
        <v>1545</v>
      </c>
      <c r="B1452" s="1">
        <v>45206</v>
      </c>
      <c r="C1452" t="s">
        <v>89</v>
      </c>
      <c r="D1452" t="s">
        <v>38</v>
      </c>
      <c r="E1452">
        <v>1</v>
      </c>
      <c r="F1452" s="2">
        <v>69.989999999999995</v>
      </c>
      <c r="G1452">
        <v>0</v>
      </c>
      <c r="H1452" s="2">
        <v>69.989999999999995</v>
      </c>
      <c r="I1452" s="2">
        <v>69.989999999999995</v>
      </c>
      <c r="J1452" t="s">
        <v>51</v>
      </c>
      <c r="K1452" t="s">
        <v>52</v>
      </c>
      <c r="L1452" t="s">
        <v>21</v>
      </c>
      <c r="M1452" t="s">
        <v>84</v>
      </c>
      <c r="N1452" t="s">
        <v>85</v>
      </c>
      <c r="O1452" t="s">
        <v>35</v>
      </c>
      <c r="Q1452" s="2">
        <f>Ventas[[#This Row],[precio_base]]*Ventas[[#This Row],[cantidad]]</f>
        <v>69.989999999999995</v>
      </c>
      <c r="R1452" s="2">
        <f>Ventas[[#This Row],[Total bruto (antes de descuento)]]-Ventas[[#This Row],[total_venta]]</f>
        <v>0</v>
      </c>
    </row>
    <row r="1453" spans="1:18" x14ac:dyDescent="0.25">
      <c r="A1453" t="s">
        <v>1546</v>
      </c>
      <c r="B1453" s="1">
        <v>45120</v>
      </c>
      <c r="C1453" t="s">
        <v>109</v>
      </c>
      <c r="D1453" t="s">
        <v>38</v>
      </c>
      <c r="E1453">
        <v>2</v>
      </c>
      <c r="F1453" s="2">
        <v>39.99</v>
      </c>
      <c r="G1453">
        <v>10</v>
      </c>
      <c r="H1453" s="2">
        <v>35.99</v>
      </c>
      <c r="I1453" s="2">
        <v>71.98</v>
      </c>
      <c r="J1453" t="s">
        <v>19</v>
      </c>
      <c r="K1453" t="s">
        <v>44</v>
      </c>
      <c r="L1453" t="s">
        <v>45</v>
      </c>
      <c r="M1453" t="s">
        <v>33</v>
      </c>
      <c r="N1453" t="s">
        <v>34</v>
      </c>
      <c r="O1453" t="s">
        <v>35</v>
      </c>
      <c r="P1453">
        <v>1</v>
      </c>
      <c r="Q1453" s="2">
        <f>Ventas[[#This Row],[precio_base]]*Ventas[[#This Row],[cantidad]]</f>
        <v>79.98</v>
      </c>
      <c r="R1453" s="2">
        <f>Ventas[[#This Row],[Total bruto (antes de descuento)]]-Ventas[[#This Row],[total_venta]]</f>
        <v>8</v>
      </c>
    </row>
    <row r="1454" spans="1:18" x14ac:dyDescent="0.25">
      <c r="A1454" t="s">
        <v>1547</v>
      </c>
      <c r="B1454" s="1">
        <v>45588</v>
      </c>
      <c r="C1454" t="s">
        <v>163</v>
      </c>
      <c r="D1454" t="s">
        <v>18</v>
      </c>
      <c r="E1454">
        <v>1</v>
      </c>
      <c r="F1454" s="2">
        <v>499.99</v>
      </c>
      <c r="G1454">
        <v>0</v>
      </c>
      <c r="H1454" s="2">
        <v>499.99</v>
      </c>
      <c r="I1454" s="2">
        <v>499.99</v>
      </c>
      <c r="J1454" t="s">
        <v>19</v>
      </c>
      <c r="K1454" t="s">
        <v>20</v>
      </c>
      <c r="L1454" t="s">
        <v>21</v>
      </c>
      <c r="M1454" t="s">
        <v>53</v>
      </c>
      <c r="N1454" t="s">
        <v>54</v>
      </c>
      <c r="O1454" t="s">
        <v>35</v>
      </c>
      <c r="P1454">
        <v>1</v>
      </c>
      <c r="Q1454" s="2">
        <f>Ventas[[#This Row],[precio_base]]*Ventas[[#This Row],[cantidad]]</f>
        <v>499.99</v>
      </c>
      <c r="R1454" s="2">
        <f>Ventas[[#This Row],[Total bruto (antes de descuento)]]-Ventas[[#This Row],[total_venta]]</f>
        <v>0</v>
      </c>
    </row>
    <row r="1455" spans="1:18" x14ac:dyDescent="0.25">
      <c r="A1455" t="s">
        <v>1548</v>
      </c>
      <c r="B1455" s="1">
        <v>45471</v>
      </c>
      <c r="C1455" t="s">
        <v>17</v>
      </c>
      <c r="D1455" t="s">
        <v>18</v>
      </c>
      <c r="E1455">
        <v>3</v>
      </c>
      <c r="F1455" s="2">
        <v>45.99</v>
      </c>
      <c r="G1455">
        <v>0</v>
      </c>
      <c r="H1455" s="2">
        <v>45.99</v>
      </c>
      <c r="I1455" s="2">
        <v>137.97</v>
      </c>
      <c r="J1455" t="s">
        <v>62</v>
      </c>
      <c r="K1455" t="s">
        <v>44</v>
      </c>
      <c r="L1455" t="s">
        <v>45</v>
      </c>
      <c r="M1455" t="s">
        <v>84</v>
      </c>
      <c r="N1455" t="s">
        <v>85</v>
      </c>
      <c r="O1455" t="s">
        <v>35</v>
      </c>
      <c r="Q1455" s="2">
        <f>Ventas[[#This Row],[precio_base]]*Ventas[[#This Row],[cantidad]]</f>
        <v>137.97</v>
      </c>
      <c r="R1455" s="2">
        <f>Ventas[[#This Row],[Total bruto (antes de descuento)]]-Ventas[[#This Row],[total_venta]]</f>
        <v>0</v>
      </c>
    </row>
    <row r="1456" spans="1:18" x14ac:dyDescent="0.25">
      <c r="A1456" t="s">
        <v>1549</v>
      </c>
      <c r="B1456" s="1">
        <v>45030</v>
      </c>
      <c r="C1456" t="s">
        <v>163</v>
      </c>
      <c r="D1456" t="s">
        <v>18</v>
      </c>
      <c r="E1456">
        <v>3</v>
      </c>
      <c r="F1456" s="2">
        <v>499.99</v>
      </c>
      <c r="G1456">
        <v>5</v>
      </c>
      <c r="H1456" s="2">
        <v>474.99</v>
      </c>
      <c r="I1456" s="2">
        <v>1424.97</v>
      </c>
      <c r="J1456" t="s">
        <v>19</v>
      </c>
      <c r="K1456" t="s">
        <v>20</v>
      </c>
      <c r="L1456" t="s">
        <v>28</v>
      </c>
      <c r="M1456" t="s">
        <v>39</v>
      </c>
      <c r="N1456" t="s">
        <v>40</v>
      </c>
      <c r="O1456" t="s">
        <v>35</v>
      </c>
      <c r="P1456">
        <v>5</v>
      </c>
      <c r="Q1456" s="2">
        <f>Ventas[[#This Row],[precio_base]]*Ventas[[#This Row],[cantidad]]</f>
        <v>1499.97</v>
      </c>
      <c r="R1456" s="2">
        <f>Ventas[[#This Row],[Total bruto (antes de descuento)]]-Ventas[[#This Row],[total_venta]]</f>
        <v>75</v>
      </c>
    </row>
    <row r="1457" spans="1:18" x14ac:dyDescent="0.25">
      <c r="A1457" t="s">
        <v>1550</v>
      </c>
      <c r="B1457" s="1">
        <v>45221</v>
      </c>
      <c r="C1457" t="s">
        <v>76</v>
      </c>
      <c r="D1457" t="s">
        <v>31</v>
      </c>
      <c r="E1457">
        <v>1</v>
      </c>
      <c r="F1457" s="2">
        <v>69.989999999999995</v>
      </c>
      <c r="G1457">
        <v>0</v>
      </c>
      <c r="H1457" s="2">
        <v>69.989999999999995</v>
      </c>
      <c r="I1457" s="2">
        <v>69.989999999999995</v>
      </c>
      <c r="J1457" t="s">
        <v>19</v>
      </c>
      <c r="K1457" t="s">
        <v>44</v>
      </c>
      <c r="L1457" t="s">
        <v>45</v>
      </c>
      <c r="M1457" t="s">
        <v>53</v>
      </c>
      <c r="N1457" t="s">
        <v>54</v>
      </c>
      <c r="O1457" t="s">
        <v>35</v>
      </c>
      <c r="P1457">
        <v>3</v>
      </c>
      <c r="Q1457" s="2">
        <f>Ventas[[#This Row],[precio_base]]*Ventas[[#This Row],[cantidad]]</f>
        <v>69.989999999999995</v>
      </c>
      <c r="R1457" s="2">
        <f>Ventas[[#This Row],[Total bruto (antes de descuento)]]-Ventas[[#This Row],[total_venta]]</f>
        <v>0</v>
      </c>
    </row>
    <row r="1458" spans="1:18" x14ac:dyDescent="0.25">
      <c r="A1458" t="s">
        <v>1551</v>
      </c>
      <c r="B1458" s="1">
        <v>45631</v>
      </c>
      <c r="C1458" t="s">
        <v>163</v>
      </c>
      <c r="D1458" t="s">
        <v>18</v>
      </c>
      <c r="E1458">
        <v>2</v>
      </c>
      <c r="F1458" s="2">
        <v>499.99</v>
      </c>
      <c r="G1458">
        <v>0</v>
      </c>
      <c r="H1458" s="2">
        <v>499.99</v>
      </c>
      <c r="I1458" s="2">
        <v>999.98</v>
      </c>
      <c r="J1458" t="s">
        <v>51</v>
      </c>
      <c r="K1458" t="s">
        <v>20</v>
      </c>
      <c r="L1458" t="s">
        <v>32</v>
      </c>
      <c r="M1458" t="s">
        <v>63</v>
      </c>
      <c r="N1458" t="s">
        <v>34</v>
      </c>
      <c r="O1458" t="s">
        <v>24</v>
      </c>
      <c r="Q1458" s="2">
        <f>Ventas[[#This Row],[precio_base]]*Ventas[[#This Row],[cantidad]]</f>
        <v>999.98</v>
      </c>
      <c r="R1458" s="2">
        <f>Ventas[[#This Row],[Total bruto (antes de descuento)]]-Ventas[[#This Row],[total_venta]]</f>
        <v>0</v>
      </c>
    </row>
    <row r="1459" spans="1:18" x14ac:dyDescent="0.25">
      <c r="A1459" t="s">
        <v>1552</v>
      </c>
      <c r="B1459" s="1">
        <v>45072</v>
      </c>
      <c r="C1459" t="s">
        <v>104</v>
      </c>
      <c r="D1459" t="s">
        <v>18</v>
      </c>
      <c r="E1459">
        <v>4</v>
      </c>
      <c r="F1459" s="2">
        <v>1199.99</v>
      </c>
      <c r="G1459">
        <v>5</v>
      </c>
      <c r="H1459" s="2">
        <v>1139.99</v>
      </c>
      <c r="I1459" s="2">
        <v>4559.96</v>
      </c>
      <c r="J1459" t="s">
        <v>19</v>
      </c>
      <c r="K1459" t="s">
        <v>57</v>
      </c>
      <c r="L1459" t="s">
        <v>32</v>
      </c>
      <c r="M1459" t="s">
        <v>63</v>
      </c>
      <c r="N1459" t="s">
        <v>34</v>
      </c>
      <c r="O1459" t="s">
        <v>24</v>
      </c>
      <c r="P1459">
        <v>2</v>
      </c>
      <c r="Q1459" s="2">
        <f>Ventas[[#This Row],[precio_base]]*Ventas[[#This Row],[cantidad]]</f>
        <v>4799.96</v>
      </c>
      <c r="R1459" s="2">
        <f>Ventas[[#This Row],[Total bruto (antes de descuento)]]-Ventas[[#This Row],[total_venta]]</f>
        <v>240</v>
      </c>
    </row>
    <row r="1460" spans="1:18" x14ac:dyDescent="0.25">
      <c r="A1460" t="s">
        <v>1553</v>
      </c>
      <c r="B1460" s="1">
        <v>45622</v>
      </c>
      <c r="C1460" t="s">
        <v>98</v>
      </c>
      <c r="D1460" t="s">
        <v>31</v>
      </c>
      <c r="E1460">
        <v>1</v>
      </c>
      <c r="F1460" s="2">
        <v>99.99</v>
      </c>
      <c r="G1460">
        <v>10</v>
      </c>
      <c r="H1460" s="2">
        <v>89.99</v>
      </c>
      <c r="I1460" s="2">
        <v>89.99</v>
      </c>
      <c r="J1460" t="s">
        <v>19</v>
      </c>
      <c r="K1460" t="s">
        <v>44</v>
      </c>
      <c r="L1460" t="s">
        <v>45</v>
      </c>
      <c r="M1460" t="s">
        <v>101</v>
      </c>
      <c r="N1460" t="s">
        <v>102</v>
      </c>
      <c r="O1460" t="s">
        <v>35</v>
      </c>
      <c r="P1460">
        <v>2</v>
      </c>
      <c r="Q1460" s="2">
        <f>Ventas[[#This Row],[precio_base]]*Ventas[[#This Row],[cantidad]]</f>
        <v>99.99</v>
      </c>
      <c r="R1460" s="2">
        <f>Ventas[[#This Row],[Total bruto (antes de descuento)]]-Ventas[[#This Row],[total_venta]]</f>
        <v>10</v>
      </c>
    </row>
    <row r="1461" spans="1:18" x14ac:dyDescent="0.25">
      <c r="A1461" t="s">
        <v>1554</v>
      </c>
      <c r="B1461" s="1">
        <v>45410</v>
      </c>
      <c r="C1461" t="s">
        <v>17</v>
      </c>
      <c r="D1461" t="s">
        <v>18</v>
      </c>
      <c r="E1461">
        <v>1</v>
      </c>
      <c r="F1461" s="2">
        <v>45.99</v>
      </c>
      <c r="G1461">
        <v>20</v>
      </c>
      <c r="H1461" s="2">
        <v>36.79</v>
      </c>
      <c r="I1461" s="2">
        <v>36.79</v>
      </c>
      <c r="J1461" t="s">
        <v>19</v>
      </c>
      <c r="K1461" t="s">
        <v>57</v>
      </c>
      <c r="L1461" t="s">
        <v>32</v>
      </c>
      <c r="M1461" t="s">
        <v>73</v>
      </c>
      <c r="N1461" t="s">
        <v>74</v>
      </c>
      <c r="O1461" t="s">
        <v>35</v>
      </c>
      <c r="P1461">
        <v>5</v>
      </c>
      <c r="Q1461" s="2">
        <f>Ventas[[#This Row],[precio_base]]*Ventas[[#This Row],[cantidad]]</f>
        <v>45.99</v>
      </c>
      <c r="R1461" s="2">
        <f>Ventas[[#This Row],[Total bruto (antes de descuento)]]-Ventas[[#This Row],[total_venta]]</f>
        <v>9.2000000000000028</v>
      </c>
    </row>
    <row r="1462" spans="1:18" x14ac:dyDescent="0.25">
      <c r="A1462" t="s">
        <v>1555</v>
      </c>
      <c r="B1462" s="1">
        <v>45442</v>
      </c>
      <c r="C1462" t="s">
        <v>205</v>
      </c>
      <c r="D1462" t="s">
        <v>18</v>
      </c>
      <c r="E1462">
        <v>2</v>
      </c>
      <c r="F1462" s="2">
        <v>129.99</v>
      </c>
      <c r="G1462">
        <v>20</v>
      </c>
      <c r="H1462" s="2">
        <v>103.99</v>
      </c>
      <c r="I1462" s="2">
        <v>207.98</v>
      </c>
      <c r="J1462" t="s">
        <v>19</v>
      </c>
      <c r="K1462" t="s">
        <v>52</v>
      </c>
      <c r="L1462" t="s">
        <v>21</v>
      </c>
      <c r="M1462" t="s">
        <v>58</v>
      </c>
      <c r="N1462" t="s">
        <v>59</v>
      </c>
      <c r="O1462" t="s">
        <v>24</v>
      </c>
      <c r="P1462">
        <v>4</v>
      </c>
      <c r="Q1462" s="2">
        <f>Ventas[[#This Row],[precio_base]]*Ventas[[#This Row],[cantidad]]</f>
        <v>259.98</v>
      </c>
      <c r="R1462" s="2">
        <f>Ventas[[#This Row],[Total bruto (antes de descuento)]]-Ventas[[#This Row],[total_venta]]</f>
        <v>52.000000000000028</v>
      </c>
    </row>
    <row r="1463" spans="1:18" x14ac:dyDescent="0.25">
      <c r="A1463" t="s">
        <v>1556</v>
      </c>
      <c r="B1463" s="1">
        <v>45286</v>
      </c>
      <c r="C1463" t="s">
        <v>50</v>
      </c>
      <c r="D1463" t="s">
        <v>27</v>
      </c>
      <c r="E1463">
        <v>3</v>
      </c>
      <c r="F1463" s="2">
        <v>149.99</v>
      </c>
      <c r="G1463">
        <v>15</v>
      </c>
      <c r="H1463" s="2">
        <v>127.49</v>
      </c>
      <c r="I1463" s="2">
        <v>382.47</v>
      </c>
      <c r="J1463" t="s">
        <v>19</v>
      </c>
      <c r="K1463" t="s">
        <v>44</v>
      </c>
      <c r="L1463" t="s">
        <v>32</v>
      </c>
      <c r="M1463" t="s">
        <v>123</v>
      </c>
      <c r="N1463" t="s">
        <v>124</v>
      </c>
      <c r="O1463" t="s">
        <v>24</v>
      </c>
      <c r="P1463">
        <v>3</v>
      </c>
      <c r="Q1463" s="2">
        <f>Ventas[[#This Row],[precio_base]]*Ventas[[#This Row],[cantidad]]</f>
        <v>449.97</v>
      </c>
      <c r="R1463" s="2">
        <f>Ventas[[#This Row],[Total bruto (antes de descuento)]]-Ventas[[#This Row],[total_venta]]</f>
        <v>67.5</v>
      </c>
    </row>
    <row r="1464" spans="1:18" x14ac:dyDescent="0.25">
      <c r="A1464" t="s">
        <v>1557</v>
      </c>
      <c r="B1464" s="1">
        <v>45654</v>
      </c>
      <c r="C1464" t="s">
        <v>141</v>
      </c>
      <c r="D1464" t="s">
        <v>38</v>
      </c>
      <c r="E1464">
        <v>5</v>
      </c>
      <c r="F1464" s="2">
        <v>89.99</v>
      </c>
      <c r="G1464">
        <v>20</v>
      </c>
      <c r="H1464" s="2">
        <v>71.989999999999995</v>
      </c>
      <c r="I1464" s="2">
        <v>359.95</v>
      </c>
      <c r="J1464" t="s">
        <v>51</v>
      </c>
      <c r="K1464" t="s">
        <v>52</v>
      </c>
      <c r="L1464" t="s">
        <v>45</v>
      </c>
      <c r="M1464" t="s">
        <v>67</v>
      </c>
      <c r="N1464" t="s">
        <v>68</v>
      </c>
      <c r="O1464" t="s">
        <v>35</v>
      </c>
      <c r="Q1464" s="2">
        <f>Ventas[[#This Row],[precio_base]]*Ventas[[#This Row],[cantidad]]</f>
        <v>449.95</v>
      </c>
      <c r="R1464" s="2">
        <f>Ventas[[#This Row],[Total bruto (antes de descuento)]]-Ventas[[#This Row],[total_venta]]</f>
        <v>90</v>
      </c>
    </row>
    <row r="1465" spans="1:18" x14ac:dyDescent="0.25">
      <c r="A1465" t="s">
        <v>1558</v>
      </c>
      <c r="B1465" s="1">
        <v>45042</v>
      </c>
      <c r="C1465" t="s">
        <v>61</v>
      </c>
      <c r="D1465" t="s">
        <v>38</v>
      </c>
      <c r="E1465">
        <v>5</v>
      </c>
      <c r="F1465" s="2">
        <v>19.989999999999998</v>
      </c>
      <c r="G1465">
        <v>15</v>
      </c>
      <c r="H1465" s="2">
        <v>16.989999999999998</v>
      </c>
      <c r="I1465" s="2">
        <v>84.95</v>
      </c>
      <c r="J1465" t="s">
        <v>51</v>
      </c>
      <c r="K1465" t="s">
        <v>57</v>
      </c>
      <c r="L1465" t="s">
        <v>32</v>
      </c>
      <c r="M1465" t="s">
        <v>63</v>
      </c>
      <c r="N1465" t="s">
        <v>34</v>
      </c>
      <c r="O1465" t="s">
        <v>24</v>
      </c>
      <c r="Q1465" s="2">
        <f>Ventas[[#This Row],[precio_base]]*Ventas[[#This Row],[cantidad]]</f>
        <v>99.949999999999989</v>
      </c>
      <c r="R1465" s="2">
        <f>Ventas[[#This Row],[Total bruto (antes de descuento)]]-Ventas[[#This Row],[total_venta]]</f>
        <v>14.999999999999986</v>
      </c>
    </row>
    <row r="1466" spans="1:18" x14ac:dyDescent="0.25">
      <c r="A1466" t="s">
        <v>1559</v>
      </c>
      <c r="B1466" s="1">
        <v>45602</v>
      </c>
      <c r="C1466" t="s">
        <v>78</v>
      </c>
      <c r="D1466" t="s">
        <v>18</v>
      </c>
      <c r="E1466">
        <v>3</v>
      </c>
      <c r="F1466" s="2">
        <v>349.99</v>
      </c>
      <c r="G1466">
        <v>5</v>
      </c>
      <c r="H1466" s="2">
        <v>332.49</v>
      </c>
      <c r="I1466" s="2">
        <v>997.47</v>
      </c>
      <c r="J1466" t="s">
        <v>19</v>
      </c>
      <c r="K1466" t="s">
        <v>44</v>
      </c>
      <c r="L1466" t="s">
        <v>152</v>
      </c>
      <c r="M1466" t="s">
        <v>33</v>
      </c>
      <c r="N1466" t="s">
        <v>34</v>
      </c>
      <c r="O1466" t="s">
        <v>35</v>
      </c>
      <c r="P1466">
        <v>3</v>
      </c>
      <c r="Q1466" s="2">
        <f>Ventas[[#This Row],[precio_base]]*Ventas[[#This Row],[cantidad]]</f>
        <v>1049.97</v>
      </c>
      <c r="R1466" s="2">
        <f>Ventas[[#This Row],[Total bruto (antes de descuento)]]-Ventas[[#This Row],[total_venta]]</f>
        <v>52.5</v>
      </c>
    </row>
    <row r="1467" spans="1:18" x14ac:dyDescent="0.25">
      <c r="A1467" t="s">
        <v>1560</v>
      </c>
      <c r="B1467" s="1">
        <v>45138</v>
      </c>
      <c r="C1467" t="s">
        <v>76</v>
      </c>
      <c r="D1467" t="s">
        <v>31</v>
      </c>
      <c r="E1467">
        <v>1</v>
      </c>
      <c r="F1467" s="2">
        <v>69.989999999999995</v>
      </c>
      <c r="G1467">
        <v>0</v>
      </c>
      <c r="H1467" s="2">
        <v>69.989999999999995</v>
      </c>
      <c r="I1467" s="2">
        <v>69.989999999999995</v>
      </c>
      <c r="J1467" t="s">
        <v>90</v>
      </c>
      <c r="K1467" t="s">
        <v>44</v>
      </c>
      <c r="L1467" t="s">
        <v>152</v>
      </c>
      <c r="M1467" t="s">
        <v>120</v>
      </c>
      <c r="N1467" t="s">
        <v>23</v>
      </c>
      <c r="O1467" t="s">
        <v>24</v>
      </c>
      <c r="Q1467" s="2">
        <f>Ventas[[#This Row],[precio_base]]*Ventas[[#This Row],[cantidad]]</f>
        <v>69.989999999999995</v>
      </c>
      <c r="R1467" s="2">
        <f>Ventas[[#This Row],[Total bruto (antes de descuento)]]-Ventas[[#This Row],[total_venta]]</f>
        <v>0</v>
      </c>
    </row>
    <row r="1468" spans="1:18" x14ac:dyDescent="0.25">
      <c r="A1468" t="s">
        <v>1561</v>
      </c>
      <c r="B1468" s="1">
        <v>45568</v>
      </c>
      <c r="C1468" t="s">
        <v>81</v>
      </c>
      <c r="D1468" t="s">
        <v>31</v>
      </c>
      <c r="E1468">
        <v>5</v>
      </c>
      <c r="F1468" s="2">
        <v>189.99</v>
      </c>
      <c r="G1468">
        <v>5</v>
      </c>
      <c r="H1468" s="2">
        <v>180.49</v>
      </c>
      <c r="I1468" s="2">
        <v>902.45</v>
      </c>
      <c r="J1468" t="s">
        <v>116</v>
      </c>
      <c r="K1468" t="s">
        <v>44</v>
      </c>
      <c r="L1468" t="s">
        <v>21</v>
      </c>
      <c r="M1468" t="s">
        <v>53</v>
      </c>
      <c r="N1468" t="s">
        <v>54</v>
      </c>
      <c r="O1468" t="s">
        <v>35</v>
      </c>
      <c r="Q1468" s="2">
        <f>Ventas[[#This Row],[precio_base]]*Ventas[[#This Row],[cantidad]]</f>
        <v>949.95</v>
      </c>
      <c r="R1468" s="2">
        <f>Ventas[[#This Row],[Total bruto (antes de descuento)]]-Ventas[[#This Row],[total_venta]]</f>
        <v>47.5</v>
      </c>
    </row>
    <row r="1469" spans="1:18" x14ac:dyDescent="0.25">
      <c r="A1469" t="s">
        <v>1562</v>
      </c>
      <c r="B1469" s="1">
        <v>45622</v>
      </c>
      <c r="C1469" t="s">
        <v>89</v>
      </c>
      <c r="D1469" t="s">
        <v>38</v>
      </c>
      <c r="E1469">
        <v>3</v>
      </c>
      <c r="F1469" s="2">
        <v>69.989999999999995</v>
      </c>
      <c r="G1469">
        <v>5</v>
      </c>
      <c r="H1469" s="2">
        <v>66.489999999999995</v>
      </c>
      <c r="I1469" s="2">
        <v>199.47</v>
      </c>
      <c r="J1469" t="s">
        <v>19</v>
      </c>
      <c r="K1469" t="s">
        <v>20</v>
      </c>
      <c r="L1469" t="s">
        <v>21</v>
      </c>
      <c r="M1469" t="s">
        <v>58</v>
      </c>
      <c r="N1469" t="s">
        <v>59</v>
      </c>
      <c r="O1469" t="s">
        <v>24</v>
      </c>
      <c r="P1469">
        <v>5</v>
      </c>
      <c r="Q1469" s="2">
        <f>Ventas[[#This Row],[precio_base]]*Ventas[[#This Row],[cantidad]]</f>
        <v>209.96999999999997</v>
      </c>
      <c r="R1469" s="2">
        <f>Ventas[[#This Row],[Total bruto (antes de descuento)]]-Ventas[[#This Row],[total_venta]]</f>
        <v>10.499999999999972</v>
      </c>
    </row>
    <row r="1470" spans="1:18" x14ac:dyDescent="0.25">
      <c r="A1470" t="s">
        <v>1563</v>
      </c>
      <c r="B1470" s="1">
        <v>45645</v>
      </c>
      <c r="C1470" t="s">
        <v>141</v>
      </c>
      <c r="D1470" t="s">
        <v>38</v>
      </c>
      <c r="E1470">
        <v>5</v>
      </c>
      <c r="F1470" s="2">
        <v>89.99</v>
      </c>
      <c r="G1470">
        <v>0</v>
      </c>
      <c r="H1470" s="2">
        <v>89.99</v>
      </c>
      <c r="I1470" s="2">
        <v>449.95</v>
      </c>
      <c r="J1470" t="s">
        <v>19</v>
      </c>
      <c r="K1470" t="s">
        <v>44</v>
      </c>
      <c r="L1470" t="s">
        <v>28</v>
      </c>
      <c r="M1470" t="s">
        <v>101</v>
      </c>
      <c r="N1470" t="s">
        <v>102</v>
      </c>
      <c r="O1470" t="s">
        <v>35</v>
      </c>
      <c r="P1470">
        <v>3</v>
      </c>
      <c r="Q1470" s="2">
        <f>Ventas[[#This Row],[precio_base]]*Ventas[[#This Row],[cantidad]]</f>
        <v>449.95</v>
      </c>
      <c r="R1470" s="2">
        <f>Ventas[[#This Row],[Total bruto (antes de descuento)]]-Ventas[[#This Row],[total_venta]]</f>
        <v>0</v>
      </c>
    </row>
    <row r="1471" spans="1:18" x14ac:dyDescent="0.25">
      <c r="A1471" t="s">
        <v>1564</v>
      </c>
      <c r="B1471" s="1">
        <v>45222</v>
      </c>
      <c r="C1471" t="s">
        <v>17</v>
      </c>
      <c r="D1471" t="s">
        <v>18</v>
      </c>
      <c r="E1471">
        <v>1</v>
      </c>
      <c r="F1471" s="2">
        <v>45.99</v>
      </c>
      <c r="G1471">
        <v>5</v>
      </c>
      <c r="H1471" s="2">
        <v>43.69</v>
      </c>
      <c r="I1471" s="2">
        <v>43.69</v>
      </c>
      <c r="J1471" t="s">
        <v>90</v>
      </c>
      <c r="K1471" t="s">
        <v>44</v>
      </c>
      <c r="L1471" t="s">
        <v>21</v>
      </c>
      <c r="M1471" t="s">
        <v>63</v>
      </c>
      <c r="N1471" t="s">
        <v>34</v>
      </c>
      <c r="O1471" t="s">
        <v>24</v>
      </c>
      <c r="Q1471" s="2">
        <f>Ventas[[#This Row],[precio_base]]*Ventas[[#This Row],[cantidad]]</f>
        <v>45.99</v>
      </c>
      <c r="R1471" s="2">
        <f>Ventas[[#This Row],[Total bruto (antes de descuento)]]-Ventas[[#This Row],[total_venta]]</f>
        <v>2.3000000000000043</v>
      </c>
    </row>
    <row r="1472" spans="1:18" x14ac:dyDescent="0.25">
      <c r="A1472" t="s">
        <v>1565</v>
      </c>
      <c r="B1472" s="1">
        <v>45223</v>
      </c>
      <c r="C1472" t="s">
        <v>156</v>
      </c>
      <c r="D1472" t="s">
        <v>27</v>
      </c>
      <c r="E1472">
        <v>5</v>
      </c>
      <c r="F1472" s="2">
        <v>49.99</v>
      </c>
      <c r="G1472">
        <v>15</v>
      </c>
      <c r="H1472" s="2">
        <v>42.49</v>
      </c>
      <c r="I1472" s="2">
        <v>212.45</v>
      </c>
      <c r="J1472" t="s">
        <v>19</v>
      </c>
      <c r="K1472" t="s">
        <v>20</v>
      </c>
      <c r="L1472" t="s">
        <v>28</v>
      </c>
      <c r="M1472" t="s">
        <v>101</v>
      </c>
      <c r="N1472" t="s">
        <v>102</v>
      </c>
      <c r="O1472" t="s">
        <v>35</v>
      </c>
      <c r="P1472">
        <v>1</v>
      </c>
      <c r="Q1472" s="2">
        <f>Ventas[[#This Row],[precio_base]]*Ventas[[#This Row],[cantidad]]</f>
        <v>249.95000000000002</v>
      </c>
      <c r="R1472" s="2">
        <f>Ventas[[#This Row],[Total bruto (antes de descuento)]]-Ventas[[#This Row],[total_venta]]</f>
        <v>37.500000000000028</v>
      </c>
    </row>
    <row r="1473" spans="1:18" x14ac:dyDescent="0.25">
      <c r="A1473" t="s">
        <v>1566</v>
      </c>
      <c r="B1473" s="1">
        <v>45391</v>
      </c>
      <c r="C1473" t="s">
        <v>94</v>
      </c>
      <c r="D1473" t="s">
        <v>18</v>
      </c>
      <c r="E1473">
        <v>2</v>
      </c>
      <c r="F1473" s="2">
        <v>899.99</v>
      </c>
      <c r="G1473">
        <v>0</v>
      </c>
      <c r="H1473" s="2">
        <v>899.99</v>
      </c>
      <c r="I1473" s="2">
        <v>1799.98</v>
      </c>
      <c r="J1473" t="s">
        <v>62</v>
      </c>
      <c r="K1473" t="s">
        <v>20</v>
      </c>
      <c r="L1473" t="s">
        <v>21</v>
      </c>
      <c r="M1473" t="s">
        <v>95</v>
      </c>
      <c r="N1473" t="s">
        <v>96</v>
      </c>
      <c r="O1473" t="s">
        <v>48</v>
      </c>
      <c r="Q1473" s="2">
        <f>Ventas[[#This Row],[precio_base]]*Ventas[[#This Row],[cantidad]]</f>
        <v>1799.98</v>
      </c>
      <c r="R1473" s="2">
        <f>Ventas[[#This Row],[Total bruto (antes de descuento)]]-Ventas[[#This Row],[total_venta]]</f>
        <v>0</v>
      </c>
    </row>
    <row r="1474" spans="1:18" x14ac:dyDescent="0.25">
      <c r="A1474" t="s">
        <v>1567</v>
      </c>
      <c r="B1474" s="1">
        <v>45367</v>
      </c>
      <c r="C1474" t="s">
        <v>89</v>
      </c>
      <c r="D1474" t="s">
        <v>38</v>
      </c>
      <c r="E1474">
        <v>1</v>
      </c>
      <c r="F1474" s="2">
        <v>69.989999999999995</v>
      </c>
      <c r="G1474">
        <v>0</v>
      </c>
      <c r="H1474" s="2">
        <v>69.989999999999995</v>
      </c>
      <c r="I1474" s="2">
        <v>69.989999999999995</v>
      </c>
      <c r="J1474" t="s">
        <v>19</v>
      </c>
      <c r="K1474" t="s">
        <v>52</v>
      </c>
      <c r="L1474" t="s">
        <v>28</v>
      </c>
      <c r="M1474" t="s">
        <v>123</v>
      </c>
      <c r="N1474" t="s">
        <v>124</v>
      </c>
      <c r="O1474" t="s">
        <v>24</v>
      </c>
      <c r="P1474">
        <v>5</v>
      </c>
      <c r="Q1474" s="2">
        <f>Ventas[[#This Row],[precio_base]]*Ventas[[#This Row],[cantidad]]</f>
        <v>69.989999999999995</v>
      </c>
      <c r="R1474" s="2">
        <f>Ventas[[#This Row],[Total bruto (antes de descuento)]]-Ventas[[#This Row],[total_venta]]</f>
        <v>0</v>
      </c>
    </row>
    <row r="1475" spans="1:18" x14ac:dyDescent="0.25">
      <c r="A1475" t="s">
        <v>1568</v>
      </c>
      <c r="B1475" s="1">
        <v>45608</v>
      </c>
      <c r="C1475" t="s">
        <v>98</v>
      </c>
      <c r="D1475" t="s">
        <v>31</v>
      </c>
      <c r="E1475">
        <v>5</v>
      </c>
      <c r="F1475" s="2">
        <v>99.99</v>
      </c>
      <c r="G1475">
        <v>0</v>
      </c>
      <c r="H1475" s="2">
        <v>99.99</v>
      </c>
      <c r="I1475" s="2">
        <v>499.95</v>
      </c>
      <c r="J1475" t="s">
        <v>90</v>
      </c>
      <c r="K1475" t="s">
        <v>20</v>
      </c>
      <c r="L1475" t="s">
        <v>152</v>
      </c>
      <c r="M1475" t="s">
        <v>84</v>
      </c>
      <c r="N1475" t="s">
        <v>85</v>
      </c>
      <c r="O1475" t="s">
        <v>35</v>
      </c>
      <c r="Q1475" s="2">
        <f>Ventas[[#This Row],[precio_base]]*Ventas[[#This Row],[cantidad]]</f>
        <v>499.95</v>
      </c>
      <c r="R1475" s="2">
        <f>Ventas[[#This Row],[Total bruto (antes de descuento)]]-Ventas[[#This Row],[total_venta]]</f>
        <v>0</v>
      </c>
    </row>
    <row r="1476" spans="1:18" x14ac:dyDescent="0.25">
      <c r="A1476" t="s">
        <v>1569</v>
      </c>
      <c r="B1476" s="1">
        <v>45128</v>
      </c>
      <c r="C1476" t="s">
        <v>37</v>
      </c>
      <c r="D1476" t="s">
        <v>38</v>
      </c>
      <c r="E1476">
        <v>5</v>
      </c>
      <c r="F1476" s="2">
        <v>34.99</v>
      </c>
      <c r="G1476">
        <v>0</v>
      </c>
      <c r="H1476" s="2">
        <v>34.99</v>
      </c>
      <c r="I1476" s="2">
        <v>174.95</v>
      </c>
      <c r="J1476" t="s">
        <v>19</v>
      </c>
      <c r="K1476" t="s">
        <v>44</v>
      </c>
      <c r="L1476" t="s">
        <v>45</v>
      </c>
      <c r="M1476" t="s">
        <v>46</v>
      </c>
      <c r="N1476" t="s">
        <v>47</v>
      </c>
      <c r="O1476" t="s">
        <v>48</v>
      </c>
      <c r="P1476">
        <v>4</v>
      </c>
      <c r="Q1476" s="2">
        <f>Ventas[[#This Row],[precio_base]]*Ventas[[#This Row],[cantidad]]</f>
        <v>174.95000000000002</v>
      </c>
      <c r="R1476" s="2">
        <f>Ventas[[#This Row],[Total bruto (antes de descuento)]]-Ventas[[#This Row],[total_venta]]</f>
        <v>0</v>
      </c>
    </row>
    <row r="1477" spans="1:18" x14ac:dyDescent="0.25">
      <c r="A1477" t="s">
        <v>1570</v>
      </c>
      <c r="B1477" s="1">
        <v>45359</v>
      </c>
      <c r="C1477" t="s">
        <v>109</v>
      </c>
      <c r="D1477" t="s">
        <v>38</v>
      </c>
      <c r="E1477">
        <v>1</v>
      </c>
      <c r="F1477" s="2">
        <v>39.99</v>
      </c>
      <c r="G1477">
        <v>0</v>
      </c>
      <c r="H1477" s="2">
        <v>39.99</v>
      </c>
      <c r="I1477" s="2">
        <v>39.99</v>
      </c>
      <c r="J1477" t="s">
        <v>90</v>
      </c>
      <c r="K1477" t="s">
        <v>20</v>
      </c>
      <c r="L1477" t="s">
        <v>45</v>
      </c>
      <c r="M1477" t="s">
        <v>33</v>
      </c>
      <c r="N1477" t="s">
        <v>34</v>
      </c>
      <c r="O1477" t="s">
        <v>35</v>
      </c>
      <c r="Q1477" s="2">
        <f>Ventas[[#This Row],[precio_base]]*Ventas[[#This Row],[cantidad]]</f>
        <v>39.99</v>
      </c>
      <c r="R1477" s="2">
        <f>Ventas[[#This Row],[Total bruto (antes de descuento)]]-Ventas[[#This Row],[total_venta]]</f>
        <v>0</v>
      </c>
    </row>
    <row r="1478" spans="1:18" x14ac:dyDescent="0.25">
      <c r="A1478" t="s">
        <v>1571</v>
      </c>
      <c r="B1478" s="1">
        <v>45622</v>
      </c>
      <c r="C1478" t="s">
        <v>130</v>
      </c>
      <c r="D1478" t="s">
        <v>43</v>
      </c>
      <c r="E1478">
        <v>3</v>
      </c>
      <c r="F1478" s="2">
        <v>24.99</v>
      </c>
      <c r="G1478">
        <v>20</v>
      </c>
      <c r="H1478" s="2">
        <v>19.989999999999998</v>
      </c>
      <c r="I1478" s="2">
        <v>59.97</v>
      </c>
      <c r="J1478" t="s">
        <v>19</v>
      </c>
      <c r="K1478" t="s">
        <v>52</v>
      </c>
      <c r="L1478" t="s">
        <v>21</v>
      </c>
      <c r="M1478" t="s">
        <v>73</v>
      </c>
      <c r="N1478" t="s">
        <v>74</v>
      </c>
      <c r="O1478" t="s">
        <v>35</v>
      </c>
      <c r="P1478">
        <v>4</v>
      </c>
      <c r="Q1478" s="2">
        <f>Ventas[[#This Row],[precio_base]]*Ventas[[#This Row],[cantidad]]</f>
        <v>74.97</v>
      </c>
      <c r="R1478" s="2">
        <f>Ventas[[#This Row],[Total bruto (antes de descuento)]]-Ventas[[#This Row],[total_venta]]</f>
        <v>15</v>
      </c>
    </row>
    <row r="1479" spans="1:18" x14ac:dyDescent="0.25">
      <c r="A1479" t="s">
        <v>1572</v>
      </c>
      <c r="B1479" s="1">
        <v>45494</v>
      </c>
      <c r="C1479" t="s">
        <v>115</v>
      </c>
      <c r="D1479" t="s">
        <v>18</v>
      </c>
      <c r="E1479">
        <v>3</v>
      </c>
      <c r="F1479" s="2">
        <v>799.99</v>
      </c>
      <c r="G1479">
        <v>0</v>
      </c>
      <c r="H1479" s="2">
        <v>799.99</v>
      </c>
      <c r="I1479" s="2">
        <v>2399.9699999999998</v>
      </c>
      <c r="J1479" t="s">
        <v>19</v>
      </c>
      <c r="K1479" t="s">
        <v>52</v>
      </c>
      <c r="L1479" t="s">
        <v>45</v>
      </c>
      <c r="M1479" t="s">
        <v>33</v>
      </c>
      <c r="N1479" t="s">
        <v>34</v>
      </c>
      <c r="O1479" t="s">
        <v>35</v>
      </c>
      <c r="P1479">
        <v>2</v>
      </c>
      <c r="Q1479" s="2">
        <f>Ventas[[#This Row],[precio_base]]*Ventas[[#This Row],[cantidad]]</f>
        <v>2399.9700000000003</v>
      </c>
      <c r="R1479" s="2">
        <f>Ventas[[#This Row],[Total bruto (antes de descuento)]]-Ventas[[#This Row],[total_venta]]</f>
        <v>0</v>
      </c>
    </row>
    <row r="1480" spans="1:18" x14ac:dyDescent="0.25">
      <c r="A1480" t="s">
        <v>1573</v>
      </c>
      <c r="B1480" s="1">
        <v>45311</v>
      </c>
      <c r="C1480" t="s">
        <v>70</v>
      </c>
      <c r="D1480" t="s">
        <v>31</v>
      </c>
      <c r="E1480">
        <v>4</v>
      </c>
      <c r="F1480" s="2">
        <v>59.99</v>
      </c>
      <c r="G1480">
        <v>0</v>
      </c>
      <c r="H1480" s="2">
        <v>59.99</v>
      </c>
      <c r="I1480" s="2">
        <v>239.96</v>
      </c>
      <c r="J1480" t="s">
        <v>19</v>
      </c>
      <c r="K1480" t="s">
        <v>44</v>
      </c>
      <c r="L1480" t="s">
        <v>45</v>
      </c>
      <c r="M1480" t="s">
        <v>101</v>
      </c>
      <c r="N1480" t="s">
        <v>102</v>
      </c>
      <c r="O1480" t="s">
        <v>35</v>
      </c>
      <c r="P1480">
        <v>3</v>
      </c>
      <c r="Q1480" s="2">
        <f>Ventas[[#This Row],[precio_base]]*Ventas[[#This Row],[cantidad]]</f>
        <v>239.96</v>
      </c>
      <c r="R1480" s="2">
        <f>Ventas[[#This Row],[Total bruto (antes de descuento)]]-Ventas[[#This Row],[total_venta]]</f>
        <v>0</v>
      </c>
    </row>
    <row r="1481" spans="1:18" x14ac:dyDescent="0.25">
      <c r="A1481" t="s">
        <v>1574</v>
      </c>
      <c r="B1481" s="1">
        <v>45406</v>
      </c>
      <c r="C1481" t="s">
        <v>89</v>
      </c>
      <c r="D1481" t="s">
        <v>38</v>
      </c>
      <c r="E1481">
        <v>4</v>
      </c>
      <c r="F1481" s="2">
        <v>69.989999999999995</v>
      </c>
      <c r="G1481">
        <v>5</v>
      </c>
      <c r="H1481" s="2">
        <v>66.489999999999995</v>
      </c>
      <c r="I1481" s="2">
        <v>265.95999999999998</v>
      </c>
      <c r="J1481" t="s">
        <v>19</v>
      </c>
      <c r="K1481" t="s">
        <v>44</v>
      </c>
      <c r="L1481" t="s">
        <v>152</v>
      </c>
      <c r="M1481" t="s">
        <v>120</v>
      </c>
      <c r="N1481" t="s">
        <v>23</v>
      </c>
      <c r="O1481" t="s">
        <v>24</v>
      </c>
      <c r="P1481">
        <v>1</v>
      </c>
      <c r="Q1481" s="2">
        <f>Ventas[[#This Row],[precio_base]]*Ventas[[#This Row],[cantidad]]</f>
        <v>279.95999999999998</v>
      </c>
      <c r="R1481" s="2">
        <f>Ventas[[#This Row],[Total bruto (antes de descuento)]]-Ventas[[#This Row],[total_venta]]</f>
        <v>14</v>
      </c>
    </row>
    <row r="1482" spans="1:18" x14ac:dyDescent="0.25">
      <c r="A1482" t="s">
        <v>1575</v>
      </c>
      <c r="B1482" s="1">
        <v>45358</v>
      </c>
      <c r="C1482" t="s">
        <v>56</v>
      </c>
      <c r="D1482" t="s">
        <v>18</v>
      </c>
      <c r="E1482">
        <v>2</v>
      </c>
      <c r="F1482" s="2">
        <v>89.99</v>
      </c>
      <c r="G1482">
        <v>10</v>
      </c>
      <c r="H1482" s="2">
        <v>80.989999999999995</v>
      </c>
      <c r="I1482" s="2">
        <v>161.97999999999999</v>
      </c>
      <c r="J1482" t="s">
        <v>90</v>
      </c>
      <c r="K1482" t="s">
        <v>20</v>
      </c>
      <c r="L1482" t="s">
        <v>45</v>
      </c>
      <c r="M1482" t="s">
        <v>39</v>
      </c>
      <c r="N1482" t="s">
        <v>40</v>
      </c>
      <c r="O1482" t="s">
        <v>35</v>
      </c>
      <c r="Q1482" s="2">
        <f>Ventas[[#This Row],[precio_base]]*Ventas[[#This Row],[cantidad]]</f>
        <v>179.98</v>
      </c>
      <c r="R1482" s="2">
        <f>Ventas[[#This Row],[Total bruto (antes de descuento)]]-Ventas[[#This Row],[total_venta]]</f>
        <v>18</v>
      </c>
    </row>
    <row r="1483" spans="1:18" x14ac:dyDescent="0.25">
      <c r="A1483" t="s">
        <v>1576</v>
      </c>
      <c r="B1483" s="1">
        <v>45057</v>
      </c>
      <c r="C1483" t="s">
        <v>156</v>
      </c>
      <c r="D1483" t="s">
        <v>27</v>
      </c>
      <c r="E1483">
        <v>5</v>
      </c>
      <c r="F1483" s="2">
        <v>49.99</v>
      </c>
      <c r="G1483">
        <v>10</v>
      </c>
      <c r="H1483" s="2">
        <v>44.99</v>
      </c>
      <c r="I1483" s="2">
        <v>224.95</v>
      </c>
      <c r="J1483" t="s">
        <v>62</v>
      </c>
      <c r="K1483" t="s">
        <v>52</v>
      </c>
      <c r="L1483" t="s">
        <v>45</v>
      </c>
      <c r="M1483" t="s">
        <v>46</v>
      </c>
      <c r="N1483" t="s">
        <v>47</v>
      </c>
      <c r="O1483" t="s">
        <v>48</v>
      </c>
      <c r="Q1483" s="2">
        <f>Ventas[[#This Row],[precio_base]]*Ventas[[#This Row],[cantidad]]</f>
        <v>249.95000000000002</v>
      </c>
      <c r="R1483" s="2">
        <f>Ventas[[#This Row],[Total bruto (antes de descuento)]]-Ventas[[#This Row],[total_venta]]</f>
        <v>25.000000000000028</v>
      </c>
    </row>
    <row r="1484" spans="1:18" x14ac:dyDescent="0.25">
      <c r="A1484" t="s">
        <v>1577</v>
      </c>
      <c r="B1484" s="1">
        <v>45339</v>
      </c>
      <c r="C1484" t="s">
        <v>81</v>
      </c>
      <c r="D1484" t="s">
        <v>31</v>
      </c>
      <c r="E1484">
        <v>1</v>
      </c>
      <c r="F1484" s="2">
        <v>189.99</v>
      </c>
      <c r="G1484">
        <v>5</v>
      </c>
      <c r="H1484" s="2">
        <v>180.49</v>
      </c>
      <c r="I1484" s="2">
        <v>180.49</v>
      </c>
      <c r="J1484" t="s">
        <v>62</v>
      </c>
      <c r="K1484" t="s">
        <v>44</v>
      </c>
      <c r="L1484" t="s">
        <v>32</v>
      </c>
      <c r="M1484" t="s">
        <v>67</v>
      </c>
      <c r="N1484" t="s">
        <v>68</v>
      </c>
      <c r="O1484" t="s">
        <v>35</v>
      </c>
      <c r="Q1484" s="2">
        <f>Ventas[[#This Row],[precio_base]]*Ventas[[#This Row],[cantidad]]</f>
        <v>189.99</v>
      </c>
      <c r="R1484" s="2">
        <f>Ventas[[#This Row],[Total bruto (antes de descuento)]]-Ventas[[#This Row],[total_venta]]</f>
        <v>9.5</v>
      </c>
    </row>
    <row r="1485" spans="1:18" x14ac:dyDescent="0.25">
      <c r="A1485" t="s">
        <v>1578</v>
      </c>
      <c r="B1485" s="1">
        <v>45013</v>
      </c>
      <c r="C1485" t="s">
        <v>94</v>
      </c>
      <c r="D1485" t="s">
        <v>18</v>
      </c>
      <c r="E1485">
        <v>3</v>
      </c>
      <c r="F1485" s="2">
        <v>899.99</v>
      </c>
      <c r="G1485">
        <v>20</v>
      </c>
      <c r="H1485" s="2">
        <v>719.99</v>
      </c>
      <c r="I1485" s="2">
        <v>2159.9699999999998</v>
      </c>
      <c r="J1485" t="s">
        <v>116</v>
      </c>
      <c r="K1485" t="s">
        <v>20</v>
      </c>
      <c r="L1485" t="s">
        <v>21</v>
      </c>
      <c r="M1485" t="s">
        <v>95</v>
      </c>
      <c r="N1485" t="s">
        <v>96</v>
      </c>
      <c r="O1485" t="s">
        <v>48</v>
      </c>
      <c r="Q1485" s="2">
        <f>Ventas[[#This Row],[precio_base]]*Ventas[[#This Row],[cantidad]]</f>
        <v>2699.9700000000003</v>
      </c>
      <c r="R1485" s="2">
        <f>Ventas[[#This Row],[Total bruto (antes de descuento)]]-Ventas[[#This Row],[total_venta]]</f>
        <v>540.00000000000045</v>
      </c>
    </row>
    <row r="1486" spans="1:18" x14ac:dyDescent="0.25">
      <c r="A1486" t="s">
        <v>1579</v>
      </c>
      <c r="B1486" s="1">
        <v>45224</v>
      </c>
      <c r="C1486" t="s">
        <v>26</v>
      </c>
      <c r="D1486" t="s">
        <v>27</v>
      </c>
      <c r="E1486">
        <v>4</v>
      </c>
      <c r="F1486" s="2">
        <v>399.99</v>
      </c>
      <c r="G1486">
        <v>15</v>
      </c>
      <c r="H1486" s="2">
        <v>339.99</v>
      </c>
      <c r="I1486" s="2">
        <v>1359.96</v>
      </c>
      <c r="J1486" t="s">
        <v>19</v>
      </c>
      <c r="K1486" t="s">
        <v>20</v>
      </c>
      <c r="L1486" t="s">
        <v>45</v>
      </c>
      <c r="M1486" t="s">
        <v>46</v>
      </c>
      <c r="N1486" t="s">
        <v>47</v>
      </c>
      <c r="O1486" t="s">
        <v>48</v>
      </c>
      <c r="P1486">
        <v>5</v>
      </c>
      <c r="Q1486" s="2">
        <f>Ventas[[#This Row],[precio_base]]*Ventas[[#This Row],[cantidad]]</f>
        <v>1599.96</v>
      </c>
      <c r="R1486" s="2">
        <f>Ventas[[#This Row],[Total bruto (antes de descuento)]]-Ventas[[#This Row],[total_venta]]</f>
        <v>240</v>
      </c>
    </row>
    <row r="1487" spans="1:18" x14ac:dyDescent="0.25">
      <c r="A1487" t="s">
        <v>1580</v>
      </c>
      <c r="B1487" s="1">
        <v>44981</v>
      </c>
      <c r="C1487" t="s">
        <v>30</v>
      </c>
      <c r="D1487" t="s">
        <v>31</v>
      </c>
      <c r="E1487">
        <v>2</v>
      </c>
      <c r="F1487" s="2">
        <v>299.99</v>
      </c>
      <c r="G1487">
        <v>10</v>
      </c>
      <c r="H1487" s="2">
        <v>269.99</v>
      </c>
      <c r="I1487" s="2">
        <v>539.98</v>
      </c>
      <c r="J1487" t="s">
        <v>19</v>
      </c>
      <c r="K1487" t="s">
        <v>57</v>
      </c>
      <c r="L1487" t="s">
        <v>21</v>
      </c>
      <c r="M1487" t="s">
        <v>84</v>
      </c>
      <c r="N1487" t="s">
        <v>85</v>
      </c>
      <c r="O1487" t="s">
        <v>35</v>
      </c>
      <c r="P1487">
        <v>2</v>
      </c>
      <c r="Q1487" s="2">
        <f>Ventas[[#This Row],[precio_base]]*Ventas[[#This Row],[cantidad]]</f>
        <v>599.98</v>
      </c>
      <c r="R1487" s="2">
        <f>Ventas[[#This Row],[Total bruto (antes de descuento)]]-Ventas[[#This Row],[total_venta]]</f>
        <v>60</v>
      </c>
    </row>
    <row r="1488" spans="1:18" x14ac:dyDescent="0.25">
      <c r="A1488" t="s">
        <v>1581</v>
      </c>
      <c r="B1488" s="1">
        <v>45235</v>
      </c>
      <c r="C1488" t="s">
        <v>72</v>
      </c>
      <c r="D1488" t="s">
        <v>31</v>
      </c>
      <c r="E1488">
        <v>3</v>
      </c>
      <c r="F1488" s="2">
        <v>29.99</v>
      </c>
      <c r="G1488">
        <v>15</v>
      </c>
      <c r="H1488" s="2">
        <v>25.49</v>
      </c>
      <c r="I1488" s="2">
        <v>76.47</v>
      </c>
      <c r="J1488" t="s">
        <v>116</v>
      </c>
      <c r="K1488" t="s">
        <v>52</v>
      </c>
      <c r="L1488" t="s">
        <v>28</v>
      </c>
      <c r="M1488" t="s">
        <v>46</v>
      </c>
      <c r="N1488" t="s">
        <v>47</v>
      </c>
      <c r="O1488" t="s">
        <v>48</v>
      </c>
      <c r="Q1488" s="2">
        <f>Ventas[[#This Row],[precio_base]]*Ventas[[#This Row],[cantidad]]</f>
        <v>89.97</v>
      </c>
      <c r="R1488" s="2">
        <f>Ventas[[#This Row],[Total bruto (antes de descuento)]]-Ventas[[#This Row],[total_venta]]</f>
        <v>13.5</v>
      </c>
    </row>
    <row r="1489" spans="1:18" x14ac:dyDescent="0.25">
      <c r="A1489" t="s">
        <v>1582</v>
      </c>
      <c r="B1489" s="1">
        <v>45132</v>
      </c>
      <c r="C1489" t="s">
        <v>17</v>
      </c>
      <c r="D1489" t="s">
        <v>18</v>
      </c>
      <c r="E1489">
        <v>1</v>
      </c>
      <c r="F1489" s="2">
        <v>45.99</v>
      </c>
      <c r="G1489">
        <v>0</v>
      </c>
      <c r="H1489" s="2">
        <v>45.99</v>
      </c>
      <c r="I1489" s="2">
        <v>45.99</v>
      </c>
      <c r="J1489" t="s">
        <v>19</v>
      </c>
      <c r="K1489" t="s">
        <v>20</v>
      </c>
      <c r="L1489" t="s">
        <v>21</v>
      </c>
      <c r="M1489" t="s">
        <v>53</v>
      </c>
      <c r="N1489" t="s">
        <v>54</v>
      </c>
      <c r="O1489" t="s">
        <v>35</v>
      </c>
      <c r="P1489">
        <v>2</v>
      </c>
      <c r="Q1489" s="2">
        <f>Ventas[[#This Row],[precio_base]]*Ventas[[#This Row],[cantidad]]</f>
        <v>45.99</v>
      </c>
      <c r="R1489" s="2">
        <f>Ventas[[#This Row],[Total bruto (antes de descuento)]]-Ventas[[#This Row],[total_venta]]</f>
        <v>0</v>
      </c>
    </row>
    <row r="1490" spans="1:18" x14ac:dyDescent="0.25">
      <c r="A1490" t="s">
        <v>1583</v>
      </c>
      <c r="B1490" s="1">
        <v>45033</v>
      </c>
      <c r="C1490" t="s">
        <v>92</v>
      </c>
      <c r="D1490" t="s">
        <v>27</v>
      </c>
      <c r="E1490">
        <v>1</v>
      </c>
      <c r="F1490" s="2">
        <v>79.989999999999995</v>
      </c>
      <c r="G1490">
        <v>20</v>
      </c>
      <c r="H1490" s="2">
        <v>63.99</v>
      </c>
      <c r="I1490" s="2">
        <v>63.99</v>
      </c>
      <c r="J1490" t="s">
        <v>19</v>
      </c>
      <c r="K1490" t="s">
        <v>20</v>
      </c>
      <c r="L1490" t="s">
        <v>21</v>
      </c>
      <c r="M1490" t="s">
        <v>120</v>
      </c>
      <c r="N1490" t="s">
        <v>23</v>
      </c>
      <c r="O1490" t="s">
        <v>24</v>
      </c>
      <c r="P1490">
        <v>4</v>
      </c>
      <c r="Q1490" s="2">
        <f>Ventas[[#This Row],[precio_base]]*Ventas[[#This Row],[cantidad]]</f>
        <v>79.989999999999995</v>
      </c>
      <c r="R1490" s="2">
        <f>Ventas[[#This Row],[Total bruto (antes de descuento)]]-Ventas[[#This Row],[total_venta]]</f>
        <v>15.999999999999993</v>
      </c>
    </row>
    <row r="1491" spans="1:18" x14ac:dyDescent="0.25">
      <c r="A1491" t="s">
        <v>1584</v>
      </c>
      <c r="B1491" s="1">
        <v>45422</v>
      </c>
      <c r="C1491" t="s">
        <v>205</v>
      </c>
      <c r="D1491" t="s">
        <v>18</v>
      </c>
      <c r="E1491">
        <v>2</v>
      </c>
      <c r="F1491" s="2">
        <v>129.99</v>
      </c>
      <c r="G1491">
        <v>20</v>
      </c>
      <c r="H1491" s="2">
        <v>103.99</v>
      </c>
      <c r="I1491" s="2">
        <v>207.98</v>
      </c>
      <c r="J1491" t="s">
        <v>62</v>
      </c>
      <c r="K1491" t="s">
        <v>52</v>
      </c>
      <c r="L1491" t="s">
        <v>28</v>
      </c>
      <c r="M1491" t="s">
        <v>58</v>
      </c>
      <c r="N1491" t="s">
        <v>59</v>
      </c>
      <c r="O1491" t="s">
        <v>24</v>
      </c>
      <c r="Q1491" s="2">
        <f>Ventas[[#This Row],[precio_base]]*Ventas[[#This Row],[cantidad]]</f>
        <v>259.98</v>
      </c>
      <c r="R1491" s="2">
        <f>Ventas[[#This Row],[Total bruto (antes de descuento)]]-Ventas[[#This Row],[total_venta]]</f>
        <v>52.000000000000028</v>
      </c>
    </row>
    <row r="1492" spans="1:18" x14ac:dyDescent="0.25">
      <c r="A1492" t="s">
        <v>1585</v>
      </c>
      <c r="B1492" s="1">
        <v>45600</v>
      </c>
      <c r="C1492" t="s">
        <v>156</v>
      </c>
      <c r="D1492" t="s">
        <v>27</v>
      </c>
      <c r="E1492">
        <v>1</v>
      </c>
      <c r="F1492" s="2">
        <v>49.99</v>
      </c>
      <c r="G1492">
        <v>5</v>
      </c>
      <c r="H1492" s="2">
        <v>47.49</v>
      </c>
      <c r="I1492" s="2">
        <v>47.49</v>
      </c>
      <c r="J1492" t="s">
        <v>19</v>
      </c>
      <c r="K1492" t="s">
        <v>20</v>
      </c>
      <c r="L1492" t="s">
        <v>32</v>
      </c>
      <c r="M1492" t="s">
        <v>46</v>
      </c>
      <c r="N1492" t="s">
        <v>47</v>
      </c>
      <c r="O1492" t="s">
        <v>48</v>
      </c>
      <c r="P1492">
        <v>2</v>
      </c>
      <c r="Q1492" s="2">
        <f>Ventas[[#This Row],[precio_base]]*Ventas[[#This Row],[cantidad]]</f>
        <v>49.99</v>
      </c>
      <c r="R1492" s="2">
        <f>Ventas[[#This Row],[Total bruto (antes de descuento)]]-Ventas[[#This Row],[total_venta]]</f>
        <v>2.5</v>
      </c>
    </row>
    <row r="1493" spans="1:18" x14ac:dyDescent="0.25">
      <c r="A1493" t="s">
        <v>1586</v>
      </c>
      <c r="B1493" s="1">
        <v>45101</v>
      </c>
      <c r="C1493" t="s">
        <v>87</v>
      </c>
      <c r="D1493" t="s">
        <v>27</v>
      </c>
      <c r="E1493">
        <v>5</v>
      </c>
      <c r="F1493" s="2">
        <v>249.99</v>
      </c>
      <c r="G1493">
        <v>0</v>
      </c>
      <c r="H1493" s="2">
        <v>249.99</v>
      </c>
      <c r="I1493" s="2">
        <v>1249.95</v>
      </c>
      <c r="J1493" t="s">
        <v>19</v>
      </c>
      <c r="K1493" t="s">
        <v>20</v>
      </c>
      <c r="L1493" t="s">
        <v>21</v>
      </c>
      <c r="M1493" t="s">
        <v>58</v>
      </c>
      <c r="N1493" t="s">
        <v>59</v>
      </c>
      <c r="O1493" t="s">
        <v>24</v>
      </c>
      <c r="P1493">
        <v>5</v>
      </c>
      <c r="Q1493" s="2">
        <f>Ventas[[#This Row],[precio_base]]*Ventas[[#This Row],[cantidad]]</f>
        <v>1249.95</v>
      </c>
      <c r="R1493" s="2">
        <f>Ventas[[#This Row],[Total bruto (antes de descuento)]]-Ventas[[#This Row],[total_venta]]</f>
        <v>0</v>
      </c>
    </row>
    <row r="1494" spans="1:18" x14ac:dyDescent="0.25">
      <c r="A1494" t="s">
        <v>1587</v>
      </c>
      <c r="B1494" s="1">
        <v>45431</v>
      </c>
      <c r="C1494" t="s">
        <v>89</v>
      </c>
      <c r="D1494" t="s">
        <v>38</v>
      </c>
      <c r="E1494">
        <v>3</v>
      </c>
      <c r="F1494" s="2">
        <v>69.989999999999995</v>
      </c>
      <c r="G1494">
        <v>5</v>
      </c>
      <c r="H1494" s="2">
        <v>66.489999999999995</v>
      </c>
      <c r="I1494" s="2">
        <v>199.47</v>
      </c>
      <c r="J1494" t="s">
        <v>19</v>
      </c>
      <c r="K1494" t="s">
        <v>20</v>
      </c>
      <c r="L1494" t="s">
        <v>45</v>
      </c>
      <c r="M1494" t="s">
        <v>39</v>
      </c>
      <c r="N1494" t="s">
        <v>40</v>
      </c>
      <c r="O1494" t="s">
        <v>35</v>
      </c>
      <c r="P1494">
        <v>4</v>
      </c>
      <c r="Q1494" s="2">
        <f>Ventas[[#This Row],[precio_base]]*Ventas[[#This Row],[cantidad]]</f>
        <v>209.96999999999997</v>
      </c>
      <c r="R1494" s="2">
        <f>Ventas[[#This Row],[Total bruto (antes de descuento)]]-Ventas[[#This Row],[total_venta]]</f>
        <v>10.499999999999972</v>
      </c>
    </row>
    <row r="1495" spans="1:18" x14ac:dyDescent="0.25">
      <c r="A1495" t="s">
        <v>1588</v>
      </c>
      <c r="B1495" s="1">
        <v>45078</v>
      </c>
      <c r="C1495" t="s">
        <v>104</v>
      </c>
      <c r="D1495" t="s">
        <v>18</v>
      </c>
      <c r="E1495">
        <v>3</v>
      </c>
      <c r="F1495" s="2">
        <v>1199.99</v>
      </c>
      <c r="G1495">
        <v>5</v>
      </c>
      <c r="H1495" s="2">
        <v>1139.99</v>
      </c>
      <c r="I1495" s="2">
        <v>3419.97</v>
      </c>
      <c r="J1495" t="s">
        <v>19</v>
      </c>
      <c r="K1495" t="s">
        <v>20</v>
      </c>
      <c r="L1495" t="s">
        <v>21</v>
      </c>
      <c r="M1495" t="s">
        <v>120</v>
      </c>
      <c r="N1495" t="s">
        <v>23</v>
      </c>
      <c r="O1495" t="s">
        <v>24</v>
      </c>
      <c r="P1495">
        <v>5</v>
      </c>
      <c r="Q1495" s="2">
        <f>Ventas[[#This Row],[precio_base]]*Ventas[[#This Row],[cantidad]]</f>
        <v>3599.9700000000003</v>
      </c>
      <c r="R1495" s="2">
        <f>Ventas[[#This Row],[Total bruto (antes de descuento)]]-Ventas[[#This Row],[total_venta]]</f>
        <v>180.00000000000045</v>
      </c>
    </row>
    <row r="1496" spans="1:18" x14ac:dyDescent="0.25">
      <c r="A1496" t="s">
        <v>1589</v>
      </c>
      <c r="B1496" s="1">
        <v>45382</v>
      </c>
      <c r="C1496" t="s">
        <v>94</v>
      </c>
      <c r="D1496" t="s">
        <v>18</v>
      </c>
      <c r="E1496">
        <v>3</v>
      </c>
      <c r="F1496" s="2">
        <v>899.99</v>
      </c>
      <c r="G1496">
        <v>0</v>
      </c>
      <c r="H1496" s="2">
        <v>899.99</v>
      </c>
      <c r="I1496" s="2">
        <v>2699.97</v>
      </c>
      <c r="J1496" t="s">
        <v>19</v>
      </c>
      <c r="K1496" t="s">
        <v>44</v>
      </c>
      <c r="L1496" t="s">
        <v>21</v>
      </c>
      <c r="M1496" t="s">
        <v>84</v>
      </c>
      <c r="N1496" t="s">
        <v>85</v>
      </c>
      <c r="O1496" t="s">
        <v>35</v>
      </c>
      <c r="P1496">
        <v>2</v>
      </c>
      <c r="Q1496" s="2">
        <f>Ventas[[#This Row],[precio_base]]*Ventas[[#This Row],[cantidad]]</f>
        <v>2699.9700000000003</v>
      </c>
      <c r="R1496" s="2">
        <f>Ventas[[#This Row],[Total bruto (antes de descuento)]]-Ventas[[#This Row],[total_venta]]</f>
        <v>0</v>
      </c>
    </row>
    <row r="1497" spans="1:18" x14ac:dyDescent="0.25">
      <c r="A1497" t="s">
        <v>1590</v>
      </c>
      <c r="B1497" s="1">
        <v>45293</v>
      </c>
      <c r="C1497" t="s">
        <v>87</v>
      </c>
      <c r="D1497" t="s">
        <v>27</v>
      </c>
      <c r="E1497">
        <v>5</v>
      </c>
      <c r="F1497" s="2">
        <v>249.99</v>
      </c>
      <c r="G1497">
        <v>0</v>
      </c>
      <c r="H1497" s="2">
        <v>249.99</v>
      </c>
      <c r="I1497" s="2">
        <v>1249.95</v>
      </c>
      <c r="J1497" t="s">
        <v>19</v>
      </c>
      <c r="K1497" t="s">
        <v>44</v>
      </c>
      <c r="L1497" t="s">
        <v>45</v>
      </c>
      <c r="M1497" t="s">
        <v>84</v>
      </c>
      <c r="N1497" t="s">
        <v>85</v>
      </c>
      <c r="O1497" t="s">
        <v>35</v>
      </c>
      <c r="P1497">
        <v>2</v>
      </c>
      <c r="Q1497" s="2">
        <f>Ventas[[#This Row],[precio_base]]*Ventas[[#This Row],[cantidad]]</f>
        <v>1249.95</v>
      </c>
      <c r="R1497" s="2">
        <f>Ventas[[#This Row],[Total bruto (antes de descuento)]]-Ventas[[#This Row],[total_venta]]</f>
        <v>0</v>
      </c>
    </row>
    <row r="1498" spans="1:18" x14ac:dyDescent="0.25">
      <c r="A1498" t="s">
        <v>1591</v>
      </c>
      <c r="B1498" s="1">
        <v>45598</v>
      </c>
      <c r="C1498" t="s">
        <v>78</v>
      </c>
      <c r="D1498" t="s">
        <v>18</v>
      </c>
      <c r="E1498">
        <v>3</v>
      </c>
      <c r="F1498" s="2">
        <v>349.99</v>
      </c>
      <c r="G1498">
        <v>15</v>
      </c>
      <c r="H1498" s="2">
        <v>297.49</v>
      </c>
      <c r="I1498" s="2">
        <v>892.47</v>
      </c>
      <c r="J1498" t="s">
        <v>51</v>
      </c>
      <c r="K1498" t="s">
        <v>44</v>
      </c>
      <c r="L1498" t="s">
        <v>32</v>
      </c>
      <c r="M1498" t="s">
        <v>123</v>
      </c>
      <c r="N1498" t="s">
        <v>124</v>
      </c>
      <c r="O1498" t="s">
        <v>24</v>
      </c>
      <c r="Q1498" s="2">
        <f>Ventas[[#This Row],[precio_base]]*Ventas[[#This Row],[cantidad]]</f>
        <v>1049.97</v>
      </c>
      <c r="R1498" s="2">
        <f>Ventas[[#This Row],[Total bruto (antes de descuento)]]-Ventas[[#This Row],[total_venta]]</f>
        <v>157.5</v>
      </c>
    </row>
    <row r="1499" spans="1:18" x14ac:dyDescent="0.25">
      <c r="A1499" t="s">
        <v>1592</v>
      </c>
      <c r="B1499" s="1">
        <v>45070</v>
      </c>
      <c r="C1499" t="s">
        <v>61</v>
      </c>
      <c r="D1499" t="s">
        <v>38</v>
      </c>
      <c r="E1499">
        <v>3</v>
      </c>
      <c r="F1499" s="2">
        <v>19.989999999999998</v>
      </c>
      <c r="G1499">
        <v>5</v>
      </c>
      <c r="H1499" s="2">
        <v>18.989999999999998</v>
      </c>
      <c r="I1499" s="2">
        <v>56.97</v>
      </c>
      <c r="J1499" t="s">
        <v>19</v>
      </c>
      <c r="K1499" t="s">
        <v>44</v>
      </c>
      <c r="L1499" t="s">
        <v>45</v>
      </c>
      <c r="M1499" t="s">
        <v>67</v>
      </c>
      <c r="N1499" t="s">
        <v>68</v>
      </c>
      <c r="O1499" t="s">
        <v>35</v>
      </c>
      <c r="P1499">
        <v>4</v>
      </c>
      <c r="Q1499" s="2">
        <f>Ventas[[#This Row],[precio_base]]*Ventas[[#This Row],[cantidad]]</f>
        <v>59.97</v>
      </c>
      <c r="R1499" s="2">
        <f>Ventas[[#This Row],[Total bruto (antes de descuento)]]-Ventas[[#This Row],[total_venta]]</f>
        <v>3</v>
      </c>
    </row>
    <row r="1500" spans="1:18" x14ac:dyDescent="0.25">
      <c r="A1500" t="s">
        <v>1593</v>
      </c>
      <c r="B1500" s="1">
        <v>45547</v>
      </c>
      <c r="C1500" t="s">
        <v>81</v>
      </c>
      <c r="D1500" t="s">
        <v>31</v>
      </c>
      <c r="E1500">
        <v>2</v>
      </c>
      <c r="F1500" s="2">
        <v>189.99</v>
      </c>
      <c r="G1500">
        <v>10</v>
      </c>
      <c r="H1500" s="2">
        <v>170.99</v>
      </c>
      <c r="I1500" s="2">
        <v>341.98</v>
      </c>
      <c r="J1500" t="s">
        <v>51</v>
      </c>
      <c r="K1500" t="s">
        <v>52</v>
      </c>
      <c r="L1500" t="s">
        <v>45</v>
      </c>
      <c r="M1500" t="s">
        <v>65</v>
      </c>
      <c r="N1500" t="s">
        <v>54</v>
      </c>
      <c r="O1500" t="s">
        <v>35</v>
      </c>
      <c r="Q1500" s="2">
        <f>Ventas[[#This Row],[precio_base]]*Ventas[[#This Row],[cantidad]]</f>
        <v>379.98</v>
      </c>
      <c r="R1500" s="2">
        <f>Ventas[[#This Row],[Total bruto (antes de descuento)]]-Ventas[[#This Row],[total_venta]]</f>
        <v>38</v>
      </c>
    </row>
    <row r="1501" spans="1:18" x14ac:dyDescent="0.25">
      <c r="A1501" t="s">
        <v>1594</v>
      </c>
      <c r="B1501" s="1">
        <v>45059</v>
      </c>
      <c r="C1501" t="s">
        <v>30</v>
      </c>
      <c r="D1501" t="s">
        <v>31</v>
      </c>
      <c r="E1501">
        <v>3</v>
      </c>
      <c r="F1501" s="2">
        <v>299.99</v>
      </c>
      <c r="G1501">
        <v>10</v>
      </c>
      <c r="H1501" s="2">
        <v>269.99</v>
      </c>
      <c r="I1501" s="2">
        <v>809.97</v>
      </c>
      <c r="J1501" t="s">
        <v>90</v>
      </c>
      <c r="K1501" t="s">
        <v>44</v>
      </c>
      <c r="L1501" t="s">
        <v>32</v>
      </c>
      <c r="M1501" t="s">
        <v>123</v>
      </c>
      <c r="N1501" t="s">
        <v>124</v>
      </c>
      <c r="O1501" t="s">
        <v>24</v>
      </c>
      <c r="Q1501" s="2">
        <f>Ventas[[#This Row],[precio_base]]*Ventas[[#This Row],[cantidad]]</f>
        <v>899.97</v>
      </c>
      <c r="R1501" s="2">
        <f>Ventas[[#This Row],[Total bruto (antes de descuento)]]-Ventas[[#This Row],[total_venta]]</f>
        <v>90</v>
      </c>
    </row>
    <row r="1502" spans="1:18" x14ac:dyDescent="0.25">
      <c r="A1502" t="s">
        <v>1595</v>
      </c>
      <c r="B1502" s="1">
        <v>44996</v>
      </c>
      <c r="C1502" t="s">
        <v>94</v>
      </c>
      <c r="D1502" t="s">
        <v>18</v>
      </c>
      <c r="E1502">
        <v>1</v>
      </c>
      <c r="F1502" s="2">
        <v>899.99</v>
      </c>
      <c r="G1502">
        <v>20</v>
      </c>
      <c r="H1502" s="2">
        <v>719.99</v>
      </c>
      <c r="I1502" s="2">
        <v>719.99</v>
      </c>
      <c r="J1502" t="s">
        <v>51</v>
      </c>
      <c r="K1502" t="s">
        <v>20</v>
      </c>
      <c r="L1502" t="s">
        <v>21</v>
      </c>
      <c r="M1502" t="s">
        <v>22</v>
      </c>
      <c r="N1502" t="s">
        <v>23</v>
      </c>
      <c r="O1502" t="s">
        <v>24</v>
      </c>
      <c r="Q1502" s="2">
        <f>Ventas[[#This Row],[precio_base]]*Ventas[[#This Row],[cantidad]]</f>
        <v>899.99</v>
      </c>
      <c r="R1502" s="2">
        <f>Ventas[[#This Row],[Total bruto (antes de descuento)]]-Ventas[[#This Row],[total_venta]]</f>
        <v>180</v>
      </c>
    </row>
    <row r="1503" spans="1:18" x14ac:dyDescent="0.25">
      <c r="A1503" t="s">
        <v>1596</v>
      </c>
      <c r="B1503" s="1">
        <v>45622</v>
      </c>
      <c r="C1503" t="s">
        <v>92</v>
      </c>
      <c r="D1503" t="s">
        <v>27</v>
      </c>
      <c r="E1503">
        <v>3</v>
      </c>
      <c r="F1503" s="2">
        <v>79.989999999999995</v>
      </c>
      <c r="G1503">
        <v>20</v>
      </c>
      <c r="H1503" s="2">
        <v>63.99</v>
      </c>
      <c r="I1503" s="2">
        <v>191.97</v>
      </c>
      <c r="J1503" t="s">
        <v>19</v>
      </c>
      <c r="K1503" t="s">
        <v>52</v>
      </c>
      <c r="L1503" t="s">
        <v>28</v>
      </c>
      <c r="M1503" t="s">
        <v>39</v>
      </c>
      <c r="N1503" t="s">
        <v>40</v>
      </c>
      <c r="O1503" t="s">
        <v>35</v>
      </c>
      <c r="P1503">
        <v>2</v>
      </c>
      <c r="Q1503" s="2">
        <f>Ventas[[#This Row],[precio_base]]*Ventas[[#This Row],[cantidad]]</f>
        <v>239.96999999999997</v>
      </c>
      <c r="R1503" s="2">
        <f>Ventas[[#This Row],[Total bruto (antes de descuento)]]-Ventas[[#This Row],[total_venta]]</f>
        <v>47.999999999999972</v>
      </c>
    </row>
    <row r="1504" spans="1:18" x14ac:dyDescent="0.25">
      <c r="A1504" t="s">
        <v>1597</v>
      </c>
      <c r="B1504" s="1">
        <v>45034</v>
      </c>
      <c r="C1504" t="s">
        <v>130</v>
      </c>
      <c r="D1504" t="s">
        <v>43</v>
      </c>
      <c r="E1504">
        <v>2</v>
      </c>
      <c r="F1504" s="2">
        <v>24.99</v>
      </c>
      <c r="G1504">
        <v>15</v>
      </c>
      <c r="H1504" s="2">
        <v>21.24</v>
      </c>
      <c r="I1504" s="2">
        <v>42.48</v>
      </c>
      <c r="J1504" t="s">
        <v>62</v>
      </c>
      <c r="K1504" t="s">
        <v>57</v>
      </c>
      <c r="L1504" t="s">
        <v>152</v>
      </c>
      <c r="M1504" t="s">
        <v>39</v>
      </c>
      <c r="N1504" t="s">
        <v>40</v>
      </c>
      <c r="O1504" t="s">
        <v>35</v>
      </c>
      <c r="Q1504" s="2">
        <f>Ventas[[#This Row],[precio_base]]*Ventas[[#This Row],[cantidad]]</f>
        <v>49.98</v>
      </c>
      <c r="R1504" s="2">
        <f>Ventas[[#This Row],[Total bruto (antes de descuento)]]-Ventas[[#This Row],[total_venta]]</f>
        <v>7.5</v>
      </c>
    </row>
    <row r="1505" spans="1:18" x14ac:dyDescent="0.25">
      <c r="A1505" t="s">
        <v>1598</v>
      </c>
      <c r="B1505" s="1">
        <v>44990</v>
      </c>
      <c r="C1505" t="s">
        <v>156</v>
      </c>
      <c r="D1505" t="s">
        <v>27</v>
      </c>
      <c r="E1505">
        <v>3</v>
      </c>
      <c r="F1505" s="2">
        <v>49.99</v>
      </c>
      <c r="G1505">
        <v>0</v>
      </c>
      <c r="H1505" s="2">
        <v>49.99</v>
      </c>
      <c r="I1505" s="2">
        <v>149.97</v>
      </c>
      <c r="J1505" t="s">
        <v>19</v>
      </c>
      <c r="K1505" t="s">
        <v>20</v>
      </c>
      <c r="L1505" t="s">
        <v>28</v>
      </c>
      <c r="M1505" t="s">
        <v>84</v>
      </c>
      <c r="N1505" t="s">
        <v>85</v>
      </c>
      <c r="O1505" t="s">
        <v>35</v>
      </c>
      <c r="P1505">
        <v>5</v>
      </c>
      <c r="Q1505" s="2">
        <f>Ventas[[#This Row],[precio_base]]*Ventas[[#This Row],[cantidad]]</f>
        <v>149.97</v>
      </c>
      <c r="R1505" s="2">
        <f>Ventas[[#This Row],[Total bruto (antes de descuento)]]-Ventas[[#This Row],[total_venta]]</f>
        <v>0</v>
      </c>
    </row>
    <row r="1506" spans="1:18" x14ac:dyDescent="0.25">
      <c r="A1506" t="s">
        <v>1599</v>
      </c>
      <c r="B1506" s="1">
        <v>45573</v>
      </c>
      <c r="C1506" t="s">
        <v>143</v>
      </c>
      <c r="D1506" t="s">
        <v>43</v>
      </c>
      <c r="E1506">
        <v>1</v>
      </c>
      <c r="F1506" s="2">
        <v>34.99</v>
      </c>
      <c r="G1506">
        <v>0</v>
      </c>
      <c r="H1506" s="2">
        <v>34.99</v>
      </c>
      <c r="I1506" s="2">
        <v>34.99</v>
      </c>
      <c r="J1506" t="s">
        <v>19</v>
      </c>
      <c r="K1506" t="s">
        <v>20</v>
      </c>
      <c r="L1506" t="s">
        <v>21</v>
      </c>
      <c r="M1506" t="s">
        <v>84</v>
      </c>
      <c r="N1506" t="s">
        <v>85</v>
      </c>
      <c r="O1506" t="s">
        <v>35</v>
      </c>
      <c r="P1506">
        <v>5</v>
      </c>
      <c r="Q1506" s="2">
        <f>Ventas[[#This Row],[precio_base]]*Ventas[[#This Row],[cantidad]]</f>
        <v>34.99</v>
      </c>
      <c r="R1506" s="2">
        <f>Ventas[[#This Row],[Total bruto (antes de descuento)]]-Ventas[[#This Row],[total_venta]]</f>
        <v>0</v>
      </c>
    </row>
    <row r="1507" spans="1:18" x14ac:dyDescent="0.25">
      <c r="A1507" t="s">
        <v>1600</v>
      </c>
      <c r="B1507" s="1">
        <v>45496</v>
      </c>
      <c r="C1507" t="s">
        <v>115</v>
      </c>
      <c r="D1507" t="s">
        <v>18</v>
      </c>
      <c r="E1507">
        <v>2</v>
      </c>
      <c r="F1507" s="2">
        <v>799.99</v>
      </c>
      <c r="G1507">
        <v>0</v>
      </c>
      <c r="H1507" s="2">
        <v>799.99</v>
      </c>
      <c r="I1507" s="2">
        <v>1599.98</v>
      </c>
      <c r="J1507" t="s">
        <v>19</v>
      </c>
      <c r="K1507" t="s">
        <v>20</v>
      </c>
      <c r="L1507" t="s">
        <v>21</v>
      </c>
      <c r="M1507" t="s">
        <v>73</v>
      </c>
      <c r="N1507" t="s">
        <v>74</v>
      </c>
      <c r="O1507" t="s">
        <v>35</v>
      </c>
      <c r="P1507">
        <v>2</v>
      </c>
      <c r="Q1507" s="2">
        <f>Ventas[[#This Row],[precio_base]]*Ventas[[#This Row],[cantidad]]</f>
        <v>1599.98</v>
      </c>
      <c r="R1507" s="2">
        <f>Ventas[[#This Row],[Total bruto (antes de descuento)]]-Ventas[[#This Row],[total_venta]]</f>
        <v>0</v>
      </c>
    </row>
    <row r="1508" spans="1:18" x14ac:dyDescent="0.25">
      <c r="A1508" t="s">
        <v>1601</v>
      </c>
      <c r="B1508" s="1">
        <v>45371</v>
      </c>
      <c r="C1508" t="s">
        <v>143</v>
      </c>
      <c r="D1508" t="s">
        <v>43</v>
      </c>
      <c r="E1508">
        <v>5</v>
      </c>
      <c r="F1508" s="2">
        <v>34.99</v>
      </c>
      <c r="G1508">
        <v>20</v>
      </c>
      <c r="H1508" s="2">
        <v>27.99</v>
      </c>
      <c r="I1508" s="2">
        <v>139.94999999999999</v>
      </c>
      <c r="J1508" t="s">
        <v>51</v>
      </c>
      <c r="K1508" t="s">
        <v>44</v>
      </c>
      <c r="L1508" t="s">
        <v>28</v>
      </c>
      <c r="M1508" t="s">
        <v>95</v>
      </c>
      <c r="N1508" t="s">
        <v>96</v>
      </c>
      <c r="O1508" t="s">
        <v>48</v>
      </c>
      <c r="Q1508" s="2">
        <f>Ventas[[#This Row],[precio_base]]*Ventas[[#This Row],[cantidad]]</f>
        <v>174.95000000000002</v>
      </c>
      <c r="R1508" s="2">
        <f>Ventas[[#This Row],[Total bruto (antes de descuento)]]-Ventas[[#This Row],[total_venta]]</f>
        <v>35.000000000000028</v>
      </c>
    </row>
    <row r="1509" spans="1:18" x14ac:dyDescent="0.25">
      <c r="A1509" t="s">
        <v>1602</v>
      </c>
      <c r="B1509" s="1">
        <v>45611</v>
      </c>
      <c r="C1509" t="s">
        <v>17</v>
      </c>
      <c r="D1509" t="s">
        <v>18</v>
      </c>
      <c r="E1509">
        <v>2</v>
      </c>
      <c r="F1509" s="2">
        <v>45.99</v>
      </c>
      <c r="G1509">
        <v>0</v>
      </c>
      <c r="H1509" s="2">
        <v>45.99</v>
      </c>
      <c r="I1509" s="2">
        <v>91.98</v>
      </c>
      <c r="J1509" t="s">
        <v>62</v>
      </c>
      <c r="K1509" t="s">
        <v>20</v>
      </c>
      <c r="L1509" t="s">
        <v>28</v>
      </c>
      <c r="M1509" t="s">
        <v>53</v>
      </c>
      <c r="N1509" t="s">
        <v>54</v>
      </c>
      <c r="O1509" t="s">
        <v>35</v>
      </c>
      <c r="Q1509" s="2">
        <f>Ventas[[#This Row],[precio_base]]*Ventas[[#This Row],[cantidad]]</f>
        <v>91.98</v>
      </c>
      <c r="R1509" s="2">
        <f>Ventas[[#This Row],[Total bruto (antes de descuento)]]-Ventas[[#This Row],[total_venta]]</f>
        <v>0</v>
      </c>
    </row>
    <row r="1510" spans="1:18" x14ac:dyDescent="0.25">
      <c r="A1510" t="s">
        <v>1603</v>
      </c>
      <c r="B1510" s="1">
        <v>45508</v>
      </c>
      <c r="C1510" t="s">
        <v>50</v>
      </c>
      <c r="D1510" t="s">
        <v>27</v>
      </c>
      <c r="E1510">
        <v>1</v>
      </c>
      <c r="F1510" s="2">
        <v>149.99</v>
      </c>
      <c r="G1510">
        <v>0</v>
      </c>
      <c r="H1510" s="2">
        <v>149.99</v>
      </c>
      <c r="I1510" s="2">
        <v>149.99</v>
      </c>
      <c r="J1510" t="s">
        <v>19</v>
      </c>
      <c r="K1510" t="s">
        <v>57</v>
      </c>
      <c r="L1510" t="s">
        <v>28</v>
      </c>
      <c r="M1510" t="s">
        <v>84</v>
      </c>
      <c r="N1510" t="s">
        <v>85</v>
      </c>
      <c r="O1510" t="s">
        <v>35</v>
      </c>
      <c r="P1510">
        <v>5</v>
      </c>
      <c r="Q1510" s="2">
        <f>Ventas[[#This Row],[precio_base]]*Ventas[[#This Row],[cantidad]]</f>
        <v>149.99</v>
      </c>
      <c r="R1510" s="2">
        <f>Ventas[[#This Row],[Total bruto (antes de descuento)]]-Ventas[[#This Row],[total_venta]]</f>
        <v>0</v>
      </c>
    </row>
    <row r="1511" spans="1:18" x14ac:dyDescent="0.25">
      <c r="A1511" t="s">
        <v>1604</v>
      </c>
      <c r="B1511" s="1">
        <v>45435</v>
      </c>
      <c r="C1511" t="s">
        <v>115</v>
      </c>
      <c r="D1511" t="s">
        <v>18</v>
      </c>
      <c r="E1511">
        <v>2</v>
      </c>
      <c r="F1511" s="2">
        <v>799.99</v>
      </c>
      <c r="G1511">
        <v>10</v>
      </c>
      <c r="H1511" s="2">
        <v>719.99</v>
      </c>
      <c r="I1511" s="2">
        <v>1439.98</v>
      </c>
      <c r="J1511" t="s">
        <v>62</v>
      </c>
      <c r="K1511" t="s">
        <v>20</v>
      </c>
      <c r="L1511" t="s">
        <v>28</v>
      </c>
      <c r="M1511" t="s">
        <v>65</v>
      </c>
      <c r="N1511" t="s">
        <v>54</v>
      </c>
      <c r="O1511" t="s">
        <v>35</v>
      </c>
      <c r="Q1511" s="2">
        <f>Ventas[[#This Row],[precio_base]]*Ventas[[#This Row],[cantidad]]</f>
        <v>1599.98</v>
      </c>
      <c r="R1511" s="2">
        <f>Ventas[[#This Row],[Total bruto (antes de descuento)]]-Ventas[[#This Row],[total_venta]]</f>
        <v>160</v>
      </c>
    </row>
    <row r="1512" spans="1:18" x14ac:dyDescent="0.25">
      <c r="A1512" t="s">
        <v>1605</v>
      </c>
      <c r="B1512" s="1">
        <v>45499</v>
      </c>
      <c r="C1512" t="s">
        <v>42</v>
      </c>
      <c r="D1512" t="s">
        <v>43</v>
      </c>
      <c r="E1512">
        <v>2</v>
      </c>
      <c r="F1512" s="2">
        <v>349.99</v>
      </c>
      <c r="G1512">
        <v>20</v>
      </c>
      <c r="H1512" s="2">
        <v>279.99</v>
      </c>
      <c r="I1512" s="2">
        <v>559.98</v>
      </c>
      <c r="J1512" t="s">
        <v>19</v>
      </c>
      <c r="K1512" t="s">
        <v>44</v>
      </c>
      <c r="L1512" t="s">
        <v>32</v>
      </c>
      <c r="M1512" t="s">
        <v>120</v>
      </c>
      <c r="N1512" t="s">
        <v>23</v>
      </c>
      <c r="O1512" t="s">
        <v>24</v>
      </c>
      <c r="P1512">
        <v>5</v>
      </c>
      <c r="Q1512" s="2">
        <f>Ventas[[#This Row],[precio_base]]*Ventas[[#This Row],[cantidad]]</f>
        <v>699.98</v>
      </c>
      <c r="R1512" s="2">
        <f>Ventas[[#This Row],[Total bruto (antes de descuento)]]-Ventas[[#This Row],[total_venta]]</f>
        <v>140</v>
      </c>
    </row>
    <row r="1513" spans="1:18" x14ac:dyDescent="0.25">
      <c r="A1513" t="s">
        <v>1606</v>
      </c>
      <c r="B1513" s="1">
        <v>45007</v>
      </c>
      <c r="C1513" t="s">
        <v>78</v>
      </c>
      <c r="D1513" t="s">
        <v>18</v>
      </c>
      <c r="E1513">
        <v>5</v>
      </c>
      <c r="F1513" s="2">
        <v>349.99</v>
      </c>
      <c r="G1513">
        <v>0</v>
      </c>
      <c r="H1513" s="2">
        <v>349.99</v>
      </c>
      <c r="I1513" s="2">
        <v>1749.95</v>
      </c>
      <c r="J1513" t="s">
        <v>19</v>
      </c>
      <c r="K1513" t="s">
        <v>20</v>
      </c>
      <c r="L1513" t="s">
        <v>28</v>
      </c>
      <c r="M1513" t="s">
        <v>101</v>
      </c>
      <c r="N1513" t="s">
        <v>102</v>
      </c>
      <c r="O1513" t="s">
        <v>35</v>
      </c>
      <c r="P1513">
        <v>3</v>
      </c>
      <c r="Q1513" s="2">
        <f>Ventas[[#This Row],[precio_base]]*Ventas[[#This Row],[cantidad]]</f>
        <v>1749.95</v>
      </c>
      <c r="R1513" s="2">
        <f>Ventas[[#This Row],[Total bruto (antes de descuento)]]-Ventas[[#This Row],[total_venta]]</f>
        <v>0</v>
      </c>
    </row>
    <row r="1514" spans="1:18" x14ac:dyDescent="0.25">
      <c r="A1514" t="s">
        <v>1607</v>
      </c>
      <c r="B1514" s="1">
        <v>44950</v>
      </c>
      <c r="C1514" t="s">
        <v>163</v>
      </c>
      <c r="D1514" t="s">
        <v>18</v>
      </c>
      <c r="E1514">
        <v>3</v>
      </c>
      <c r="F1514" s="2">
        <v>499.99</v>
      </c>
      <c r="G1514">
        <v>20</v>
      </c>
      <c r="H1514" s="2">
        <v>399.99</v>
      </c>
      <c r="I1514" s="2">
        <v>1199.97</v>
      </c>
      <c r="J1514" t="s">
        <v>19</v>
      </c>
      <c r="K1514" t="s">
        <v>20</v>
      </c>
      <c r="L1514" t="s">
        <v>32</v>
      </c>
      <c r="M1514" t="s">
        <v>84</v>
      </c>
      <c r="N1514" t="s">
        <v>85</v>
      </c>
      <c r="O1514" t="s">
        <v>35</v>
      </c>
      <c r="P1514">
        <v>2</v>
      </c>
      <c r="Q1514" s="2">
        <f>Ventas[[#This Row],[precio_base]]*Ventas[[#This Row],[cantidad]]</f>
        <v>1499.97</v>
      </c>
      <c r="R1514" s="2">
        <f>Ventas[[#This Row],[Total bruto (antes de descuento)]]-Ventas[[#This Row],[total_venta]]</f>
        <v>300</v>
      </c>
    </row>
    <row r="1515" spans="1:18" x14ac:dyDescent="0.25">
      <c r="A1515" t="s">
        <v>1608</v>
      </c>
      <c r="B1515" s="1">
        <v>45221</v>
      </c>
      <c r="C1515" t="s">
        <v>56</v>
      </c>
      <c r="D1515" t="s">
        <v>18</v>
      </c>
      <c r="E1515">
        <v>5</v>
      </c>
      <c r="F1515" s="2">
        <v>89.99</v>
      </c>
      <c r="G1515">
        <v>10</v>
      </c>
      <c r="H1515" s="2">
        <v>80.989999999999995</v>
      </c>
      <c r="I1515" s="2">
        <v>404.95</v>
      </c>
      <c r="J1515" t="s">
        <v>19</v>
      </c>
      <c r="K1515" t="s">
        <v>52</v>
      </c>
      <c r="L1515" t="s">
        <v>45</v>
      </c>
      <c r="M1515" t="s">
        <v>65</v>
      </c>
      <c r="N1515" t="s">
        <v>54</v>
      </c>
      <c r="O1515" t="s">
        <v>35</v>
      </c>
      <c r="P1515">
        <v>4</v>
      </c>
      <c r="Q1515" s="2">
        <f>Ventas[[#This Row],[precio_base]]*Ventas[[#This Row],[cantidad]]</f>
        <v>449.95</v>
      </c>
      <c r="R1515" s="2">
        <f>Ventas[[#This Row],[Total bruto (antes de descuento)]]-Ventas[[#This Row],[total_venta]]</f>
        <v>45</v>
      </c>
    </row>
    <row r="1516" spans="1:18" x14ac:dyDescent="0.25">
      <c r="A1516" t="s">
        <v>1609</v>
      </c>
      <c r="B1516" s="1">
        <v>45560</v>
      </c>
      <c r="C1516" t="s">
        <v>94</v>
      </c>
      <c r="D1516" t="s">
        <v>18</v>
      </c>
      <c r="E1516">
        <v>5</v>
      </c>
      <c r="F1516" s="2">
        <v>899.99</v>
      </c>
      <c r="G1516">
        <v>15</v>
      </c>
      <c r="H1516" s="2">
        <v>764.99</v>
      </c>
      <c r="I1516" s="2">
        <v>3824.95</v>
      </c>
      <c r="J1516" t="s">
        <v>62</v>
      </c>
      <c r="K1516" t="s">
        <v>44</v>
      </c>
      <c r="L1516" t="s">
        <v>152</v>
      </c>
      <c r="M1516" t="s">
        <v>33</v>
      </c>
      <c r="N1516" t="s">
        <v>34</v>
      </c>
      <c r="O1516" t="s">
        <v>35</v>
      </c>
      <c r="Q1516" s="2">
        <f>Ventas[[#This Row],[precio_base]]*Ventas[[#This Row],[cantidad]]</f>
        <v>4499.95</v>
      </c>
      <c r="R1516" s="2">
        <f>Ventas[[#This Row],[Total bruto (antes de descuento)]]-Ventas[[#This Row],[total_venta]]</f>
        <v>675</v>
      </c>
    </row>
    <row r="1517" spans="1:18" x14ac:dyDescent="0.25">
      <c r="A1517" t="s">
        <v>1610</v>
      </c>
      <c r="B1517" s="1">
        <v>45196</v>
      </c>
      <c r="C1517" t="s">
        <v>72</v>
      </c>
      <c r="D1517" t="s">
        <v>31</v>
      </c>
      <c r="E1517">
        <v>1</v>
      </c>
      <c r="F1517" s="2">
        <v>29.99</v>
      </c>
      <c r="G1517">
        <v>0</v>
      </c>
      <c r="H1517" s="2">
        <v>29.99</v>
      </c>
      <c r="I1517" s="2">
        <v>29.99</v>
      </c>
      <c r="J1517" t="s">
        <v>19</v>
      </c>
      <c r="K1517" t="s">
        <v>20</v>
      </c>
      <c r="L1517" t="s">
        <v>32</v>
      </c>
      <c r="M1517" t="s">
        <v>58</v>
      </c>
      <c r="N1517" t="s">
        <v>59</v>
      </c>
      <c r="O1517" t="s">
        <v>24</v>
      </c>
      <c r="P1517">
        <v>1</v>
      </c>
      <c r="Q1517" s="2">
        <f>Ventas[[#This Row],[precio_base]]*Ventas[[#This Row],[cantidad]]</f>
        <v>29.99</v>
      </c>
      <c r="R1517" s="2">
        <f>Ventas[[#This Row],[Total bruto (antes de descuento)]]-Ventas[[#This Row],[total_venta]]</f>
        <v>0</v>
      </c>
    </row>
    <row r="1518" spans="1:18" x14ac:dyDescent="0.25">
      <c r="A1518" t="s">
        <v>1611</v>
      </c>
      <c r="B1518" s="1">
        <v>45069</v>
      </c>
      <c r="C1518" t="s">
        <v>115</v>
      </c>
      <c r="D1518" t="s">
        <v>18</v>
      </c>
      <c r="E1518">
        <v>5</v>
      </c>
      <c r="F1518" s="2">
        <v>799.99</v>
      </c>
      <c r="G1518">
        <v>20</v>
      </c>
      <c r="H1518" s="2">
        <v>639.99</v>
      </c>
      <c r="I1518" s="2">
        <v>3199.95</v>
      </c>
      <c r="J1518" t="s">
        <v>51</v>
      </c>
      <c r="K1518" t="s">
        <v>52</v>
      </c>
      <c r="L1518" t="s">
        <v>152</v>
      </c>
      <c r="M1518" t="s">
        <v>53</v>
      </c>
      <c r="N1518" t="s">
        <v>54</v>
      </c>
      <c r="O1518" t="s">
        <v>35</v>
      </c>
      <c r="Q1518" s="2">
        <f>Ventas[[#This Row],[precio_base]]*Ventas[[#This Row],[cantidad]]</f>
        <v>3999.95</v>
      </c>
      <c r="R1518" s="2">
        <f>Ventas[[#This Row],[Total bruto (antes de descuento)]]-Ventas[[#This Row],[total_venta]]</f>
        <v>800</v>
      </c>
    </row>
    <row r="1519" spans="1:18" x14ac:dyDescent="0.25">
      <c r="A1519" t="s">
        <v>1612</v>
      </c>
      <c r="B1519" s="1">
        <v>44990</v>
      </c>
      <c r="C1519" t="s">
        <v>163</v>
      </c>
      <c r="D1519" t="s">
        <v>18</v>
      </c>
      <c r="E1519">
        <v>4</v>
      </c>
      <c r="F1519" s="2">
        <v>499.99</v>
      </c>
      <c r="G1519">
        <v>0</v>
      </c>
      <c r="H1519" s="2">
        <v>499.99</v>
      </c>
      <c r="I1519" s="2">
        <v>1999.96</v>
      </c>
      <c r="J1519" t="s">
        <v>62</v>
      </c>
      <c r="K1519" t="s">
        <v>52</v>
      </c>
      <c r="L1519" t="s">
        <v>28</v>
      </c>
      <c r="M1519" t="s">
        <v>33</v>
      </c>
      <c r="N1519" t="s">
        <v>34</v>
      </c>
      <c r="O1519" t="s">
        <v>35</v>
      </c>
      <c r="Q1519" s="2">
        <f>Ventas[[#This Row],[precio_base]]*Ventas[[#This Row],[cantidad]]</f>
        <v>1999.96</v>
      </c>
      <c r="R1519" s="2">
        <f>Ventas[[#This Row],[Total bruto (antes de descuento)]]-Ventas[[#This Row],[total_venta]]</f>
        <v>0</v>
      </c>
    </row>
    <row r="1520" spans="1:18" x14ac:dyDescent="0.25">
      <c r="A1520" t="s">
        <v>1613</v>
      </c>
      <c r="B1520" s="1">
        <v>44963</v>
      </c>
      <c r="C1520" t="s">
        <v>89</v>
      </c>
      <c r="D1520" t="s">
        <v>38</v>
      </c>
      <c r="E1520">
        <v>1</v>
      </c>
      <c r="F1520" s="2">
        <v>69.989999999999995</v>
      </c>
      <c r="G1520">
        <v>5</v>
      </c>
      <c r="H1520" s="2">
        <v>66.489999999999995</v>
      </c>
      <c r="I1520" s="2">
        <v>66.489999999999995</v>
      </c>
      <c r="J1520" t="s">
        <v>19</v>
      </c>
      <c r="K1520" t="s">
        <v>52</v>
      </c>
      <c r="L1520" t="s">
        <v>32</v>
      </c>
      <c r="M1520" t="s">
        <v>33</v>
      </c>
      <c r="N1520" t="s">
        <v>34</v>
      </c>
      <c r="O1520" t="s">
        <v>35</v>
      </c>
      <c r="P1520">
        <v>4</v>
      </c>
      <c r="Q1520" s="2">
        <f>Ventas[[#This Row],[precio_base]]*Ventas[[#This Row],[cantidad]]</f>
        <v>69.989999999999995</v>
      </c>
      <c r="R1520" s="2">
        <f>Ventas[[#This Row],[Total bruto (antes de descuento)]]-Ventas[[#This Row],[total_venta]]</f>
        <v>3.5</v>
      </c>
    </row>
    <row r="1521" spans="1:18" x14ac:dyDescent="0.25">
      <c r="A1521" t="s">
        <v>1614</v>
      </c>
      <c r="B1521" s="1">
        <v>45059</v>
      </c>
      <c r="C1521" t="s">
        <v>61</v>
      </c>
      <c r="D1521" t="s">
        <v>38</v>
      </c>
      <c r="E1521">
        <v>1</v>
      </c>
      <c r="F1521" s="2">
        <v>19.989999999999998</v>
      </c>
      <c r="G1521">
        <v>0</v>
      </c>
      <c r="H1521" s="2">
        <v>19.989999999999998</v>
      </c>
      <c r="I1521" s="2">
        <v>19.989999999999998</v>
      </c>
      <c r="J1521" t="s">
        <v>19</v>
      </c>
      <c r="K1521" t="s">
        <v>20</v>
      </c>
      <c r="L1521" t="s">
        <v>45</v>
      </c>
      <c r="M1521" t="s">
        <v>65</v>
      </c>
      <c r="N1521" t="s">
        <v>54</v>
      </c>
      <c r="O1521" t="s">
        <v>35</v>
      </c>
      <c r="P1521">
        <v>4</v>
      </c>
      <c r="Q1521" s="2">
        <f>Ventas[[#This Row],[precio_base]]*Ventas[[#This Row],[cantidad]]</f>
        <v>19.989999999999998</v>
      </c>
      <c r="R1521" s="2">
        <f>Ventas[[#This Row],[Total bruto (antes de descuento)]]-Ventas[[#This Row],[total_venta]]</f>
        <v>0</v>
      </c>
    </row>
    <row r="1522" spans="1:18" x14ac:dyDescent="0.25">
      <c r="A1522" t="s">
        <v>1615</v>
      </c>
      <c r="B1522" s="1">
        <v>45237</v>
      </c>
      <c r="C1522" t="s">
        <v>70</v>
      </c>
      <c r="D1522" t="s">
        <v>31</v>
      </c>
      <c r="E1522">
        <v>2</v>
      </c>
      <c r="F1522" s="2">
        <v>59.99</v>
      </c>
      <c r="G1522">
        <v>0</v>
      </c>
      <c r="H1522" s="2">
        <v>59.99</v>
      </c>
      <c r="I1522" s="2">
        <v>119.98</v>
      </c>
      <c r="J1522" t="s">
        <v>90</v>
      </c>
      <c r="K1522" t="s">
        <v>52</v>
      </c>
      <c r="L1522" t="s">
        <v>32</v>
      </c>
      <c r="M1522" t="s">
        <v>46</v>
      </c>
      <c r="N1522" t="s">
        <v>47</v>
      </c>
      <c r="O1522" t="s">
        <v>48</v>
      </c>
      <c r="Q1522" s="2">
        <f>Ventas[[#This Row],[precio_base]]*Ventas[[#This Row],[cantidad]]</f>
        <v>119.98</v>
      </c>
      <c r="R1522" s="2">
        <f>Ventas[[#This Row],[Total bruto (antes de descuento)]]-Ventas[[#This Row],[total_venta]]</f>
        <v>0</v>
      </c>
    </row>
    <row r="1523" spans="1:18" x14ac:dyDescent="0.25">
      <c r="A1523" t="s">
        <v>1616</v>
      </c>
      <c r="B1523" s="1">
        <v>45474</v>
      </c>
      <c r="C1523" t="s">
        <v>156</v>
      </c>
      <c r="D1523" t="s">
        <v>27</v>
      </c>
      <c r="E1523">
        <v>4</v>
      </c>
      <c r="F1523" s="2">
        <v>49.99</v>
      </c>
      <c r="G1523">
        <v>15</v>
      </c>
      <c r="H1523" s="2">
        <v>42.49</v>
      </c>
      <c r="I1523" s="2">
        <v>169.96</v>
      </c>
      <c r="J1523" t="s">
        <v>51</v>
      </c>
      <c r="K1523" t="s">
        <v>44</v>
      </c>
      <c r="L1523" t="s">
        <v>21</v>
      </c>
      <c r="M1523" t="s">
        <v>46</v>
      </c>
      <c r="N1523" t="s">
        <v>47</v>
      </c>
      <c r="O1523" t="s">
        <v>48</v>
      </c>
      <c r="Q1523" s="2">
        <f>Ventas[[#This Row],[precio_base]]*Ventas[[#This Row],[cantidad]]</f>
        <v>199.96</v>
      </c>
      <c r="R1523" s="2">
        <f>Ventas[[#This Row],[Total bruto (antes de descuento)]]-Ventas[[#This Row],[total_venta]]</f>
        <v>30</v>
      </c>
    </row>
    <row r="1524" spans="1:18" x14ac:dyDescent="0.25">
      <c r="A1524" t="s">
        <v>1617</v>
      </c>
      <c r="B1524" s="1">
        <v>45313</v>
      </c>
      <c r="C1524" t="s">
        <v>30</v>
      </c>
      <c r="D1524" t="s">
        <v>31</v>
      </c>
      <c r="E1524">
        <v>2</v>
      </c>
      <c r="F1524" s="2">
        <v>299.99</v>
      </c>
      <c r="G1524">
        <v>5</v>
      </c>
      <c r="H1524" s="2">
        <v>284.99</v>
      </c>
      <c r="I1524" s="2">
        <v>569.98</v>
      </c>
      <c r="J1524" t="s">
        <v>51</v>
      </c>
      <c r="K1524" t="s">
        <v>20</v>
      </c>
      <c r="L1524" t="s">
        <v>45</v>
      </c>
      <c r="M1524" t="s">
        <v>65</v>
      </c>
      <c r="N1524" t="s">
        <v>54</v>
      </c>
      <c r="O1524" t="s">
        <v>35</v>
      </c>
      <c r="Q1524" s="2">
        <f>Ventas[[#This Row],[precio_base]]*Ventas[[#This Row],[cantidad]]</f>
        <v>599.98</v>
      </c>
      <c r="R1524" s="2">
        <f>Ventas[[#This Row],[Total bruto (antes de descuento)]]-Ventas[[#This Row],[total_venta]]</f>
        <v>30</v>
      </c>
    </row>
    <row r="1525" spans="1:18" x14ac:dyDescent="0.25">
      <c r="A1525" t="s">
        <v>1618</v>
      </c>
      <c r="B1525" s="1">
        <v>45557</v>
      </c>
      <c r="C1525" t="s">
        <v>130</v>
      </c>
      <c r="D1525" t="s">
        <v>43</v>
      </c>
      <c r="E1525">
        <v>3</v>
      </c>
      <c r="F1525" s="2">
        <v>24.99</v>
      </c>
      <c r="G1525">
        <v>0</v>
      </c>
      <c r="H1525" s="2">
        <v>24.99</v>
      </c>
      <c r="I1525" s="2">
        <v>74.97</v>
      </c>
      <c r="J1525" t="s">
        <v>19</v>
      </c>
      <c r="K1525" t="s">
        <v>52</v>
      </c>
      <c r="L1525" t="s">
        <v>21</v>
      </c>
      <c r="M1525" t="s">
        <v>120</v>
      </c>
      <c r="N1525" t="s">
        <v>23</v>
      </c>
      <c r="O1525" t="s">
        <v>24</v>
      </c>
      <c r="P1525">
        <v>1</v>
      </c>
      <c r="Q1525" s="2">
        <f>Ventas[[#This Row],[precio_base]]*Ventas[[#This Row],[cantidad]]</f>
        <v>74.97</v>
      </c>
      <c r="R1525" s="2">
        <f>Ventas[[#This Row],[Total bruto (antes de descuento)]]-Ventas[[#This Row],[total_venta]]</f>
        <v>0</v>
      </c>
    </row>
    <row r="1526" spans="1:18" x14ac:dyDescent="0.25">
      <c r="A1526" t="s">
        <v>1619</v>
      </c>
      <c r="B1526" s="1">
        <v>45529</v>
      </c>
      <c r="C1526" t="s">
        <v>104</v>
      </c>
      <c r="D1526" t="s">
        <v>18</v>
      </c>
      <c r="E1526">
        <v>2</v>
      </c>
      <c r="F1526" s="2">
        <v>1199.99</v>
      </c>
      <c r="G1526">
        <v>5</v>
      </c>
      <c r="H1526" s="2">
        <v>1139.99</v>
      </c>
      <c r="I1526" s="2">
        <v>2279.98</v>
      </c>
      <c r="J1526" t="s">
        <v>51</v>
      </c>
      <c r="K1526" t="s">
        <v>52</v>
      </c>
      <c r="L1526" t="s">
        <v>45</v>
      </c>
      <c r="M1526" t="s">
        <v>53</v>
      </c>
      <c r="N1526" t="s">
        <v>54</v>
      </c>
      <c r="O1526" t="s">
        <v>35</v>
      </c>
      <c r="Q1526" s="2">
        <f>Ventas[[#This Row],[precio_base]]*Ventas[[#This Row],[cantidad]]</f>
        <v>2399.98</v>
      </c>
      <c r="R1526" s="2">
        <f>Ventas[[#This Row],[Total bruto (antes de descuento)]]-Ventas[[#This Row],[total_venta]]</f>
        <v>120</v>
      </c>
    </row>
    <row r="1527" spans="1:18" x14ac:dyDescent="0.25">
      <c r="A1527" t="s">
        <v>1620</v>
      </c>
      <c r="B1527" s="1">
        <v>44973</v>
      </c>
      <c r="C1527" t="s">
        <v>70</v>
      </c>
      <c r="D1527" t="s">
        <v>31</v>
      </c>
      <c r="E1527">
        <v>1</v>
      </c>
      <c r="F1527" s="2">
        <v>59.99</v>
      </c>
      <c r="G1527">
        <v>20</v>
      </c>
      <c r="H1527" s="2">
        <v>47.99</v>
      </c>
      <c r="I1527" s="2">
        <v>47.99</v>
      </c>
      <c r="J1527" t="s">
        <v>51</v>
      </c>
      <c r="K1527" t="s">
        <v>20</v>
      </c>
      <c r="L1527" t="s">
        <v>21</v>
      </c>
      <c r="M1527" t="s">
        <v>67</v>
      </c>
      <c r="N1527" t="s">
        <v>68</v>
      </c>
      <c r="O1527" t="s">
        <v>35</v>
      </c>
      <c r="Q1527" s="2">
        <f>Ventas[[#This Row],[precio_base]]*Ventas[[#This Row],[cantidad]]</f>
        <v>59.99</v>
      </c>
      <c r="R1527" s="2">
        <f>Ventas[[#This Row],[Total bruto (antes de descuento)]]-Ventas[[#This Row],[total_venta]]</f>
        <v>12</v>
      </c>
    </row>
    <row r="1528" spans="1:18" x14ac:dyDescent="0.25">
      <c r="A1528" t="s">
        <v>1621</v>
      </c>
      <c r="B1528" s="1">
        <v>45376</v>
      </c>
      <c r="C1528" t="s">
        <v>205</v>
      </c>
      <c r="D1528" t="s">
        <v>18</v>
      </c>
      <c r="E1528">
        <v>3</v>
      </c>
      <c r="F1528" s="2">
        <v>129.99</v>
      </c>
      <c r="G1528">
        <v>0</v>
      </c>
      <c r="H1528" s="2">
        <v>129.99</v>
      </c>
      <c r="I1528" s="2">
        <v>389.97</v>
      </c>
      <c r="J1528" t="s">
        <v>19</v>
      </c>
      <c r="K1528" t="s">
        <v>44</v>
      </c>
      <c r="L1528" t="s">
        <v>21</v>
      </c>
      <c r="M1528" t="s">
        <v>33</v>
      </c>
      <c r="N1528" t="s">
        <v>34</v>
      </c>
      <c r="O1528" t="s">
        <v>35</v>
      </c>
      <c r="P1528">
        <v>3</v>
      </c>
      <c r="Q1528" s="2">
        <f>Ventas[[#This Row],[precio_base]]*Ventas[[#This Row],[cantidad]]</f>
        <v>389.97</v>
      </c>
      <c r="R1528" s="2">
        <f>Ventas[[#This Row],[Total bruto (antes de descuento)]]-Ventas[[#This Row],[total_venta]]</f>
        <v>0</v>
      </c>
    </row>
    <row r="1529" spans="1:18" x14ac:dyDescent="0.25">
      <c r="A1529" t="s">
        <v>1622</v>
      </c>
      <c r="B1529" s="1">
        <v>45059</v>
      </c>
      <c r="C1529" t="s">
        <v>156</v>
      </c>
      <c r="D1529" t="s">
        <v>27</v>
      </c>
      <c r="E1529">
        <v>4</v>
      </c>
      <c r="F1529" s="2">
        <v>49.99</v>
      </c>
      <c r="G1529">
        <v>5</v>
      </c>
      <c r="H1529" s="2">
        <v>47.49</v>
      </c>
      <c r="I1529" s="2">
        <v>189.96</v>
      </c>
      <c r="J1529" t="s">
        <v>51</v>
      </c>
      <c r="K1529" t="s">
        <v>20</v>
      </c>
      <c r="L1529" t="s">
        <v>21</v>
      </c>
      <c r="M1529" t="s">
        <v>73</v>
      </c>
      <c r="N1529" t="s">
        <v>74</v>
      </c>
      <c r="O1529" t="s">
        <v>35</v>
      </c>
      <c r="Q1529" s="2">
        <f>Ventas[[#This Row],[precio_base]]*Ventas[[#This Row],[cantidad]]</f>
        <v>199.96</v>
      </c>
      <c r="R1529" s="2">
        <f>Ventas[[#This Row],[Total bruto (antes de descuento)]]-Ventas[[#This Row],[total_venta]]</f>
        <v>10</v>
      </c>
    </row>
    <row r="1530" spans="1:18" x14ac:dyDescent="0.25">
      <c r="A1530" t="s">
        <v>1623</v>
      </c>
      <c r="B1530" s="1">
        <v>45483</v>
      </c>
      <c r="C1530" t="s">
        <v>115</v>
      </c>
      <c r="D1530" t="s">
        <v>18</v>
      </c>
      <c r="E1530">
        <v>4</v>
      </c>
      <c r="F1530" s="2">
        <v>799.99</v>
      </c>
      <c r="G1530">
        <v>15</v>
      </c>
      <c r="H1530" s="2">
        <v>679.99</v>
      </c>
      <c r="I1530" s="2">
        <v>2719.96</v>
      </c>
      <c r="J1530" t="s">
        <v>51</v>
      </c>
      <c r="K1530" t="s">
        <v>52</v>
      </c>
      <c r="L1530" t="s">
        <v>32</v>
      </c>
      <c r="M1530" t="s">
        <v>123</v>
      </c>
      <c r="N1530" t="s">
        <v>124</v>
      </c>
      <c r="O1530" t="s">
        <v>24</v>
      </c>
      <c r="Q1530" s="2">
        <f>Ventas[[#This Row],[precio_base]]*Ventas[[#This Row],[cantidad]]</f>
        <v>3199.96</v>
      </c>
      <c r="R1530" s="2">
        <f>Ventas[[#This Row],[Total bruto (antes de descuento)]]-Ventas[[#This Row],[total_venta]]</f>
        <v>480</v>
      </c>
    </row>
    <row r="1531" spans="1:18" x14ac:dyDescent="0.25">
      <c r="A1531" t="s">
        <v>1624</v>
      </c>
      <c r="B1531" s="1">
        <v>45381</v>
      </c>
      <c r="C1531" t="s">
        <v>30</v>
      </c>
      <c r="D1531" t="s">
        <v>31</v>
      </c>
      <c r="E1531">
        <v>3</v>
      </c>
      <c r="F1531" s="2">
        <v>299.99</v>
      </c>
      <c r="G1531">
        <v>0</v>
      </c>
      <c r="H1531" s="2">
        <v>299.99</v>
      </c>
      <c r="I1531" s="2">
        <v>899.97</v>
      </c>
      <c r="J1531" t="s">
        <v>51</v>
      </c>
      <c r="K1531" t="s">
        <v>52</v>
      </c>
      <c r="L1531" t="s">
        <v>21</v>
      </c>
      <c r="M1531" t="s">
        <v>58</v>
      </c>
      <c r="N1531" t="s">
        <v>59</v>
      </c>
      <c r="O1531" t="s">
        <v>24</v>
      </c>
      <c r="Q1531" s="2">
        <f>Ventas[[#This Row],[precio_base]]*Ventas[[#This Row],[cantidad]]</f>
        <v>899.97</v>
      </c>
      <c r="R1531" s="2">
        <f>Ventas[[#This Row],[Total bruto (antes de descuento)]]-Ventas[[#This Row],[total_venta]]</f>
        <v>0</v>
      </c>
    </row>
    <row r="1532" spans="1:18" x14ac:dyDescent="0.25">
      <c r="A1532" t="s">
        <v>1625</v>
      </c>
      <c r="B1532" s="1">
        <v>45200</v>
      </c>
      <c r="C1532" t="s">
        <v>141</v>
      </c>
      <c r="D1532" t="s">
        <v>38</v>
      </c>
      <c r="E1532">
        <v>5</v>
      </c>
      <c r="F1532" s="2">
        <v>89.99</v>
      </c>
      <c r="G1532">
        <v>10</v>
      </c>
      <c r="H1532" s="2">
        <v>80.989999999999995</v>
      </c>
      <c r="I1532" s="2">
        <v>404.95</v>
      </c>
      <c r="J1532" t="s">
        <v>19</v>
      </c>
      <c r="K1532" t="s">
        <v>52</v>
      </c>
      <c r="L1532" t="s">
        <v>28</v>
      </c>
      <c r="M1532" t="s">
        <v>123</v>
      </c>
      <c r="N1532" t="s">
        <v>124</v>
      </c>
      <c r="O1532" t="s">
        <v>24</v>
      </c>
      <c r="P1532">
        <v>5</v>
      </c>
      <c r="Q1532" s="2">
        <f>Ventas[[#This Row],[precio_base]]*Ventas[[#This Row],[cantidad]]</f>
        <v>449.95</v>
      </c>
      <c r="R1532" s="2">
        <f>Ventas[[#This Row],[Total bruto (antes de descuento)]]-Ventas[[#This Row],[total_venta]]</f>
        <v>45</v>
      </c>
    </row>
    <row r="1533" spans="1:18" x14ac:dyDescent="0.25">
      <c r="A1533" t="s">
        <v>1626</v>
      </c>
      <c r="B1533" s="1">
        <v>45424</v>
      </c>
      <c r="C1533" t="s">
        <v>61</v>
      </c>
      <c r="D1533" t="s">
        <v>38</v>
      </c>
      <c r="E1533">
        <v>1</v>
      </c>
      <c r="F1533" s="2">
        <v>19.989999999999998</v>
      </c>
      <c r="G1533">
        <v>0</v>
      </c>
      <c r="H1533" s="2">
        <v>19.989999999999998</v>
      </c>
      <c r="I1533" s="2">
        <v>19.989999999999998</v>
      </c>
      <c r="J1533" t="s">
        <v>90</v>
      </c>
      <c r="K1533" t="s">
        <v>57</v>
      </c>
      <c r="L1533" t="s">
        <v>21</v>
      </c>
      <c r="M1533" t="s">
        <v>67</v>
      </c>
      <c r="N1533" t="s">
        <v>68</v>
      </c>
      <c r="O1533" t="s">
        <v>35</v>
      </c>
      <c r="Q1533" s="2">
        <f>Ventas[[#This Row],[precio_base]]*Ventas[[#This Row],[cantidad]]</f>
        <v>19.989999999999998</v>
      </c>
      <c r="R1533" s="2">
        <f>Ventas[[#This Row],[Total bruto (antes de descuento)]]-Ventas[[#This Row],[total_venta]]</f>
        <v>0</v>
      </c>
    </row>
    <row r="1534" spans="1:18" x14ac:dyDescent="0.25">
      <c r="A1534" t="s">
        <v>1627</v>
      </c>
      <c r="B1534" s="1">
        <v>45493</v>
      </c>
      <c r="C1534" t="s">
        <v>115</v>
      </c>
      <c r="D1534" t="s">
        <v>18</v>
      </c>
      <c r="E1534">
        <v>1</v>
      </c>
      <c r="F1534" s="2">
        <v>799.99</v>
      </c>
      <c r="G1534">
        <v>0</v>
      </c>
      <c r="H1534" s="2">
        <v>799.99</v>
      </c>
      <c r="I1534" s="2">
        <v>799.99</v>
      </c>
      <c r="J1534" t="s">
        <v>51</v>
      </c>
      <c r="K1534" t="s">
        <v>20</v>
      </c>
      <c r="L1534" t="s">
        <v>152</v>
      </c>
      <c r="M1534" t="s">
        <v>39</v>
      </c>
      <c r="N1534" t="s">
        <v>40</v>
      </c>
      <c r="O1534" t="s">
        <v>35</v>
      </c>
      <c r="Q1534" s="2">
        <f>Ventas[[#This Row],[precio_base]]*Ventas[[#This Row],[cantidad]]</f>
        <v>799.99</v>
      </c>
      <c r="R1534" s="2">
        <f>Ventas[[#This Row],[Total bruto (antes de descuento)]]-Ventas[[#This Row],[total_venta]]</f>
        <v>0</v>
      </c>
    </row>
    <row r="1535" spans="1:18" x14ac:dyDescent="0.25">
      <c r="A1535" t="s">
        <v>1628</v>
      </c>
      <c r="B1535" s="1">
        <v>45642</v>
      </c>
      <c r="C1535" t="s">
        <v>151</v>
      </c>
      <c r="D1535" t="s">
        <v>27</v>
      </c>
      <c r="E1535">
        <v>4</v>
      </c>
      <c r="F1535" s="2">
        <v>599.99</v>
      </c>
      <c r="G1535">
        <v>0</v>
      </c>
      <c r="H1535" s="2">
        <v>599.99</v>
      </c>
      <c r="I1535" s="2">
        <v>2399.96</v>
      </c>
      <c r="J1535" t="s">
        <v>19</v>
      </c>
      <c r="K1535" t="s">
        <v>20</v>
      </c>
      <c r="L1535" t="s">
        <v>21</v>
      </c>
      <c r="M1535" t="s">
        <v>67</v>
      </c>
      <c r="N1535" t="s">
        <v>68</v>
      </c>
      <c r="O1535" t="s">
        <v>35</v>
      </c>
      <c r="P1535">
        <v>4</v>
      </c>
      <c r="Q1535" s="2">
        <f>Ventas[[#This Row],[precio_base]]*Ventas[[#This Row],[cantidad]]</f>
        <v>2399.96</v>
      </c>
      <c r="R1535" s="2">
        <f>Ventas[[#This Row],[Total bruto (antes de descuento)]]-Ventas[[#This Row],[total_venta]]</f>
        <v>0</v>
      </c>
    </row>
    <row r="1536" spans="1:18" x14ac:dyDescent="0.25">
      <c r="A1536" t="s">
        <v>1629</v>
      </c>
      <c r="B1536" s="1">
        <v>45234</v>
      </c>
      <c r="C1536" t="s">
        <v>143</v>
      </c>
      <c r="D1536" t="s">
        <v>43</v>
      </c>
      <c r="E1536">
        <v>1</v>
      </c>
      <c r="F1536" s="2">
        <v>34.99</v>
      </c>
      <c r="G1536">
        <v>0</v>
      </c>
      <c r="H1536" s="2">
        <v>34.99</v>
      </c>
      <c r="I1536" s="2">
        <v>34.99</v>
      </c>
      <c r="J1536" t="s">
        <v>19</v>
      </c>
      <c r="K1536" t="s">
        <v>20</v>
      </c>
      <c r="L1536" t="s">
        <v>21</v>
      </c>
      <c r="M1536" t="s">
        <v>33</v>
      </c>
      <c r="N1536" t="s">
        <v>34</v>
      </c>
      <c r="O1536" t="s">
        <v>35</v>
      </c>
      <c r="P1536">
        <v>4</v>
      </c>
      <c r="Q1536" s="2">
        <f>Ventas[[#This Row],[precio_base]]*Ventas[[#This Row],[cantidad]]</f>
        <v>34.99</v>
      </c>
      <c r="R1536" s="2">
        <f>Ventas[[#This Row],[Total bruto (antes de descuento)]]-Ventas[[#This Row],[total_venta]]</f>
        <v>0</v>
      </c>
    </row>
    <row r="1537" spans="1:18" x14ac:dyDescent="0.25">
      <c r="A1537" t="s">
        <v>1630</v>
      </c>
      <c r="B1537" s="1">
        <v>45320</v>
      </c>
      <c r="C1537" t="s">
        <v>151</v>
      </c>
      <c r="D1537" t="s">
        <v>27</v>
      </c>
      <c r="E1537">
        <v>1</v>
      </c>
      <c r="F1537" s="2">
        <v>599.99</v>
      </c>
      <c r="G1537">
        <v>0</v>
      </c>
      <c r="H1537" s="2">
        <v>599.99</v>
      </c>
      <c r="I1537" s="2">
        <v>599.99</v>
      </c>
      <c r="J1537" t="s">
        <v>19</v>
      </c>
      <c r="K1537" t="s">
        <v>44</v>
      </c>
      <c r="L1537" t="s">
        <v>45</v>
      </c>
      <c r="M1537" t="s">
        <v>63</v>
      </c>
      <c r="N1537" t="s">
        <v>34</v>
      </c>
      <c r="O1537" t="s">
        <v>24</v>
      </c>
      <c r="P1537">
        <v>3</v>
      </c>
      <c r="Q1537" s="2">
        <f>Ventas[[#This Row],[precio_base]]*Ventas[[#This Row],[cantidad]]</f>
        <v>599.99</v>
      </c>
      <c r="R1537" s="2">
        <f>Ventas[[#This Row],[Total bruto (antes de descuento)]]-Ventas[[#This Row],[total_venta]]</f>
        <v>0</v>
      </c>
    </row>
    <row r="1538" spans="1:18" x14ac:dyDescent="0.25">
      <c r="A1538" t="s">
        <v>1631</v>
      </c>
      <c r="B1538" s="1">
        <v>44959</v>
      </c>
      <c r="C1538" t="s">
        <v>50</v>
      </c>
      <c r="D1538" t="s">
        <v>27</v>
      </c>
      <c r="E1538">
        <v>3</v>
      </c>
      <c r="F1538" s="2">
        <v>149.99</v>
      </c>
      <c r="G1538">
        <v>0</v>
      </c>
      <c r="H1538" s="2">
        <v>149.99</v>
      </c>
      <c r="I1538" s="2">
        <v>449.97</v>
      </c>
      <c r="J1538" t="s">
        <v>90</v>
      </c>
      <c r="K1538" t="s">
        <v>52</v>
      </c>
      <c r="L1538" t="s">
        <v>152</v>
      </c>
      <c r="M1538" t="s">
        <v>39</v>
      </c>
      <c r="N1538" t="s">
        <v>40</v>
      </c>
      <c r="O1538" t="s">
        <v>35</v>
      </c>
      <c r="Q1538" s="2">
        <f>Ventas[[#This Row],[precio_base]]*Ventas[[#This Row],[cantidad]]</f>
        <v>449.97</v>
      </c>
      <c r="R1538" s="2">
        <f>Ventas[[#This Row],[Total bruto (antes de descuento)]]-Ventas[[#This Row],[total_venta]]</f>
        <v>0</v>
      </c>
    </row>
    <row r="1539" spans="1:18" x14ac:dyDescent="0.25">
      <c r="A1539" t="s">
        <v>1632</v>
      </c>
      <c r="B1539" s="1">
        <v>45195</v>
      </c>
      <c r="C1539" t="s">
        <v>70</v>
      </c>
      <c r="D1539" t="s">
        <v>31</v>
      </c>
      <c r="E1539">
        <v>5</v>
      </c>
      <c r="F1539" s="2">
        <v>59.99</v>
      </c>
      <c r="G1539">
        <v>0</v>
      </c>
      <c r="H1539" s="2">
        <v>59.99</v>
      </c>
      <c r="I1539" s="2">
        <v>299.95</v>
      </c>
      <c r="J1539" t="s">
        <v>51</v>
      </c>
      <c r="K1539" t="s">
        <v>44</v>
      </c>
      <c r="L1539" t="s">
        <v>28</v>
      </c>
      <c r="M1539" t="s">
        <v>123</v>
      </c>
      <c r="N1539" t="s">
        <v>124</v>
      </c>
      <c r="O1539" t="s">
        <v>24</v>
      </c>
      <c r="Q1539" s="2">
        <f>Ventas[[#This Row],[precio_base]]*Ventas[[#This Row],[cantidad]]</f>
        <v>299.95</v>
      </c>
      <c r="R1539" s="2">
        <f>Ventas[[#This Row],[Total bruto (antes de descuento)]]-Ventas[[#This Row],[total_venta]]</f>
        <v>0</v>
      </c>
    </row>
    <row r="1540" spans="1:18" x14ac:dyDescent="0.25">
      <c r="A1540" t="s">
        <v>1633</v>
      </c>
      <c r="B1540" s="1">
        <v>45364</v>
      </c>
      <c r="C1540" t="s">
        <v>70</v>
      </c>
      <c r="D1540" t="s">
        <v>31</v>
      </c>
      <c r="E1540">
        <v>1</v>
      </c>
      <c r="F1540" s="2">
        <v>59.99</v>
      </c>
      <c r="G1540">
        <v>20</v>
      </c>
      <c r="H1540" s="2">
        <v>47.99</v>
      </c>
      <c r="I1540" s="2">
        <v>47.99</v>
      </c>
      <c r="J1540" t="s">
        <v>19</v>
      </c>
      <c r="K1540" t="s">
        <v>57</v>
      </c>
      <c r="L1540" t="s">
        <v>152</v>
      </c>
      <c r="M1540" t="s">
        <v>120</v>
      </c>
      <c r="N1540" t="s">
        <v>23</v>
      </c>
      <c r="O1540" t="s">
        <v>24</v>
      </c>
      <c r="P1540">
        <v>3</v>
      </c>
      <c r="Q1540" s="2">
        <f>Ventas[[#This Row],[precio_base]]*Ventas[[#This Row],[cantidad]]</f>
        <v>59.99</v>
      </c>
      <c r="R1540" s="2">
        <f>Ventas[[#This Row],[Total bruto (antes de descuento)]]-Ventas[[#This Row],[total_venta]]</f>
        <v>12</v>
      </c>
    </row>
    <row r="1541" spans="1:18" x14ac:dyDescent="0.25">
      <c r="A1541" t="s">
        <v>1634</v>
      </c>
      <c r="B1541" s="1">
        <v>45474</v>
      </c>
      <c r="C1541" t="s">
        <v>151</v>
      </c>
      <c r="D1541" t="s">
        <v>27</v>
      </c>
      <c r="E1541">
        <v>4</v>
      </c>
      <c r="F1541" s="2">
        <v>599.99</v>
      </c>
      <c r="G1541">
        <v>10</v>
      </c>
      <c r="H1541" s="2">
        <v>539.99</v>
      </c>
      <c r="I1541" s="2">
        <v>2159.96</v>
      </c>
      <c r="J1541" t="s">
        <v>51</v>
      </c>
      <c r="K1541" t="s">
        <v>44</v>
      </c>
      <c r="L1541" t="s">
        <v>21</v>
      </c>
      <c r="M1541" t="s">
        <v>39</v>
      </c>
      <c r="N1541" t="s">
        <v>40</v>
      </c>
      <c r="O1541" t="s">
        <v>35</v>
      </c>
      <c r="Q1541" s="2">
        <f>Ventas[[#This Row],[precio_base]]*Ventas[[#This Row],[cantidad]]</f>
        <v>2399.96</v>
      </c>
      <c r="R1541" s="2">
        <f>Ventas[[#This Row],[Total bruto (antes de descuento)]]-Ventas[[#This Row],[total_venta]]</f>
        <v>240</v>
      </c>
    </row>
    <row r="1542" spans="1:18" x14ac:dyDescent="0.25">
      <c r="A1542" t="s">
        <v>1635</v>
      </c>
      <c r="B1542" s="1">
        <v>45317</v>
      </c>
      <c r="C1542" t="s">
        <v>151</v>
      </c>
      <c r="D1542" t="s">
        <v>27</v>
      </c>
      <c r="E1542">
        <v>2</v>
      </c>
      <c r="F1542" s="2">
        <v>599.99</v>
      </c>
      <c r="G1542">
        <v>0</v>
      </c>
      <c r="H1542" s="2">
        <v>599.99</v>
      </c>
      <c r="I1542" s="2">
        <v>1199.98</v>
      </c>
      <c r="J1542" t="s">
        <v>90</v>
      </c>
      <c r="K1542" t="s">
        <v>52</v>
      </c>
      <c r="L1542" t="s">
        <v>152</v>
      </c>
      <c r="M1542" t="s">
        <v>58</v>
      </c>
      <c r="N1542" t="s">
        <v>59</v>
      </c>
      <c r="O1542" t="s">
        <v>24</v>
      </c>
      <c r="Q1542" s="2">
        <f>Ventas[[#This Row],[precio_base]]*Ventas[[#This Row],[cantidad]]</f>
        <v>1199.98</v>
      </c>
      <c r="R1542" s="2">
        <f>Ventas[[#This Row],[Total bruto (antes de descuento)]]-Ventas[[#This Row],[total_venta]]</f>
        <v>0</v>
      </c>
    </row>
    <row r="1543" spans="1:18" x14ac:dyDescent="0.25">
      <c r="A1543" t="s">
        <v>1636</v>
      </c>
      <c r="B1543" s="1">
        <v>45014</v>
      </c>
      <c r="C1543" t="s">
        <v>163</v>
      </c>
      <c r="D1543" t="s">
        <v>18</v>
      </c>
      <c r="E1543">
        <v>5</v>
      </c>
      <c r="F1543" s="2">
        <v>499.99</v>
      </c>
      <c r="G1543">
        <v>0</v>
      </c>
      <c r="H1543" s="2">
        <v>499.99</v>
      </c>
      <c r="I1543" s="2">
        <v>2499.9499999999998</v>
      </c>
      <c r="J1543" t="s">
        <v>19</v>
      </c>
      <c r="K1543" t="s">
        <v>20</v>
      </c>
      <c r="L1543" t="s">
        <v>21</v>
      </c>
      <c r="M1543" t="s">
        <v>120</v>
      </c>
      <c r="N1543" t="s">
        <v>23</v>
      </c>
      <c r="O1543" t="s">
        <v>24</v>
      </c>
      <c r="P1543">
        <v>3</v>
      </c>
      <c r="Q1543" s="2">
        <f>Ventas[[#This Row],[precio_base]]*Ventas[[#This Row],[cantidad]]</f>
        <v>2499.9499999999998</v>
      </c>
      <c r="R1543" s="2">
        <f>Ventas[[#This Row],[Total bruto (antes de descuento)]]-Ventas[[#This Row],[total_venta]]</f>
        <v>0</v>
      </c>
    </row>
    <row r="1544" spans="1:18" x14ac:dyDescent="0.25">
      <c r="A1544" t="s">
        <v>1637</v>
      </c>
      <c r="B1544" s="1">
        <v>45602</v>
      </c>
      <c r="C1544" t="s">
        <v>61</v>
      </c>
      <c r="D1544" t="s">
        <v>38</v>
      </c>
      <c r="E1544">
        <v>5</v>
      </c>
      <c r="F1544" s="2">
        <v>19.989999999999998</v>
      </c>
      <c r="G1544">
        <v>0</v>
      </c>
      <c r="H1544" s="2">
        <v>19.989999999999998</v>
      </c>
      <c r="I1544" s="2">
        <v>99.95</v>
      </c>
      <c r="J1544" t="s">
        <v>19</v>
      </c>
      <c r="K1544" t="s">
        <v>44</v>
      </c>
      <c r="L1544" t="s">
        <v>32</v>
      </c>
      <c r="M1544" t="s">
        <v>33</v>
      </c>
      <c r="N1544" t="s">
        <v>34</v>
      </c>
      <c r="O1544" t="s">
        <v>35</v>
      </c>
      <c r="P1544">
        <v>2</v>
      </c>
      <c r="Q1544" s="2">
        <f>Ventas[[#This Row],[precio_base]]*Ventas[[#This Row],[cantidad]]</f>
        <v>99.949999999999989</v>
      </c>
      <c r="R1544" s="2">
        <f>Ventas[[#This Row],[Total bruto (antes de descuento)]]-Ventas[[#This Row],[total_venta]]</f>
        <v>0</v>
      </c>
    </row>
    <row r="1545" spans="1:18" x14ac:dyDescent="0.25">
      <c r="A1545" t="s">
        <v>1638</v>
      </c>
      <c r="B1545" s="1">
        <v>45381</v>
      </c>
      <c r="C1545" t="s">
        <v>151</v>
      </c>
      <c r="D1545" t="s">
        <v>27</v>
      </c>
      <c r="E1545">
        <v>1</v>
      </c>
      <c r="F1545" s="2">
        <v>599.99</v>
      </c>
      <c r="G1545">
        <v>5</v>
      </c>
      <c r="H1545" s="2">
        <v>569.99</v>
      </c>
      <c r="I1545" s="2">
        <v>569.99</v>
      </c>
      <c r="J1545" t="s">
        <v>19</v>
      </c>
      <c r="K1545" t="s">
        <v>57</v>
      </c>
      <c r="L1545" t="s">
        <v>45</v>
      </c>
      <c r="M1545" t="s">
        <v>46</v>
      </c>
      <c r="N1545" t="s">
        <v>47</v>
      </c>
      <c r="O1545" t="s">
        <v>48</v>
      </c>
      <c r="P1545">
        <v>5</v>
      </c>
      <c r="Q1545" s="2">
        <f>Ventas[[#This Row],[precio_base]]*Ventas[[#This Row],[cantidad]]</f>
        <v>599.99</v>
      </c>
      <c r="R1545" s="2">
        <f>Ventas[[#This Row],[Total bruto (antes de descuento)]]-Ventas[[#This Row],[total_venta]]</f>
        <v>30</v>
      </c>
    </row>
    <row r="1546" spans="1:18" x14ac:dyDescent="0.25">
      <c r="A1546" t="s">
        <v>1639</v>
      </c>
      <c r="B1546" s="1">
        <v>45150</v>
      </c>
      <c r="C1546" t="s">
        <v>37</v>
      </c>
      <c r="D1546" t="s">
        <v>38</v>
      </c>
      <c r="E1546">
        <v>1</v>
      </c>
      <c r="F1546" s="2">
        <v>34.99</v>
      </c>
      <c r="G1546">
        <v>10</v>
      </c>
      <c r="H1546" s="2">
        <v>31.49</v>
      </c>
      <c r="I1546" s="2">
        <v>31.49</v>
      </c>
      <c r="J1546" t="s">
        <v>90</v>
      </c>
      <c r="K1546" t="s">
        <v>52</v>
      </c>
      <c r="L1546" t="s">
        <v>45</v>
      </c>
      <c r="M1546" t="s">
        <v>58</v>
      </c>
      <c r="N1546" t="s">
        <v>59</v>
      </c>
      <c r="O1546" t="s">
        <v>24</v>
      </c>
      <c r="Q1546" s="2">
        <f>Ventas[[#This Row],[precio_base]]*Ventas[[#This Row],[cantidad]]</f>
        <v>34.99</v>
      </c>
      <c r="R1546" s="2">
        <f>Ventas[[#This Row],[Total bruto (antes de descuento)]]-Ventas[[#This Row],[total_venta]]</f>
        <v>3.5000000000000036</v>
      </c>
    </row>
    <row r="1547" spans="1:18" x14ac:dyDescent="0.25">
      <c r="A1547" t="s">
        <v>1640</v>
      </c>
      <c r="B1547" s="1">
        <v>44992</v>
      </c>
      <c r="C1547" t="s">
        <v>151</v>
      </c>
      <c r="D1547" t="s">
        <v>27</v>
      </c>
      <c r="E1547">
        <v>2</v>
      </c>
      <c r="F1547" s="2">
        <v>599.99</v>
      </c>
      <c r="G1547">
        <v>0</v>
      </c>
      <c r="H1547" s="2">
        <v>599.99</v>
      </c>
      <c r="I1547" s="2">
        <v>1199.98</v>
      </c>
      <c r="J1547" t="s">
        <v>51</v>
      </c>
      <c r="K1547" t="s">
        <v>20</v>
      </c>
      <c r="L1547" t="s">
        <v>45</v>
      </c>
      <c r="M1547" t="s">
        <v>58</v>
      </c>
      <c r="N1547" t="s">
        <v>59</v>
      </c>
      <c r="O1547" t="s">
        <v>24</v>
      </c>
      <c r="Q1547" s="2">
        <f>Ventas[[#This Row],[precio_base]]*Ventas[[#This Row],[cantidad]]</f>
        <v>1199.98</v>
      </c>
      <c r="R1547" s="2">
        <f>Ventas[[#This Row],[Total bruto (antes de descuento)]]-Ventas[[#This Row],[total_venta]]</f>
        <v>0</v>
      </c>
    </row>
    <row r="1548" spans="1:18" x14ac:dyDescent="0.25">
      <c r="A1548" t="s">
        <v>1641</v>
      </c>
      <c r="B1548" s="1">
        <v>45159</v>
      </c>
      <c r="C1548" t="s">
        <v>72</v>
      </c>
      <c r="D1548" t="s">
        <v>31</v>
      </c>
      <c r="E1548">
        <v>2</v>
      </c>
      <c r="F1548" s="2">
        <v>29.99</v>
      </c>
      <c r="G1548">
        <v>0</v>
      </c>
      <c r="H1548" s="2">
        <v>29.99</v>
      </c>
      <c r="I1548" s="2">
        <v>59.98</v>
      </c>
      <c r="J1548" t="s">
        <v>62</v>
      </c>
      <c r="K1548" t="s">
        <v>20</v>
      </c>
      <c r="L1548" t="s">
        <v>21</v>
      </c>
      <c r="M1548" t="s">
        <v>73</v>
      </c>
      <c r="N1548" t="s">
        <v>74</v>
      </c>
      <c r="O1548" t="s">
        <v>35</v>
      </c>
      <c r="Q1548" s="2">
        <f>Ventas[[#This Row],[precio_base]]*Ventas[[#This Row],[cantidad]]</f>
        <v>59.98</v>
      </c>
      <c r="R1548" s="2">
        <f>Ventas[[#This Row],[Total bruto (antes de descuento)]]-Ventas[[#This Row],[total_venta]]</f>
        <v>0</v>
      </c>
    </row>
    <row r="1549" spans="1:18" x14ac:dyDescent="0.25">
      <c r="A1549" t="s">
        <v>1642</v>
      </c>
      <c r="B1549" s="1">
        <v>44966</v>
      </c>
      <c r="C1549" t="s">
        <v>205</v>
      </c>
      <c r="D1549" t="s">
        <v>18</v>
      </c>
      <c r="E1549">
        <v>5</v>
      </c>
      <c r="F1549" s="2">
        <v>129.99</v>
      </c>
      <c r="G1549">
        <v>20</v>
      </c>
      <c r="H1549" s="2">
        <v>103.99</v>
      </c>
      <c r="I1549" s="2">
        <v>519.95000000000005</v>
      </c>
      <c r="J1549" t="s">
        <v>19</v>
      </c>
      <c r="K1549" t="s">
        <v>20</v>
      </c>
      <c r="L1549" t="s">
        <v>28</v>
      </c>
      <c r="M1549" t="s">
        <v>123</v>
      </c>
      <c r="N1549" t="s">
        <v>124</v>
      </c>
      <c r="O1549" t="s">
        <v>24</v>
      </c>
      <c r="P1549">
        <v>1</v>
      </c>
      <c r="Q1549" s="2">
        <f>Ventas[[#This Row],[precio_base]]*Ventas[[#This Row],[cantidad]]</f>
        <v>649.95000000000005</v>
      </c>
      <c r="R1549" s="2">
        <f>Ventas[[#This Row],[Total bruto (antes de descuento)]]-Ventas[[#This Row],[total_venta]]</f>
        <v>130</v>
      </c>
    </row>
    <row r="1550" spans="1:18" x14ac:dyDescent="0.25">
      <c r="A1550" t="s">
        <v>1643</v>
      </c>
      <c r="B1550" s="1">
        <v>45192</v>
      </c>
      <c r="C1550" t="s">
        <v>61</v>
      </c>
      <c r="D1550" t="s">
        <v>38</v>
      </c>
      <c r="E1550">
        <v>1</v>
      </c>
      <c r="F1550" s="2">
        <v>19.989999999999998</v>
      </c>
      <c r="G1550">
        <v>15</v>
      </c>
      <c r="H1550" s="2">
        <v>16.989999999999998</v>
      </c>
      <c r="I1550" s="2">
        <v>16.989999999999998</v>
      </c>
      <c r="J1550" t="s">
        <v>62</v>
      </c>
      <c r="K1550" t="s">
        <v>20</v>
      </c>
      <c r="L1550" t="s">
        <v>28</v>
      </c>
      <c r="M1550" t="s">
        <v>67</v>
      </c>
      <c r="N1550" t="s">
        <v>68</v>
      </c>
      <c r="O1550" t="s">
        <v>35</v>
      </c>
      <c r="Q1550" s="2">
        <f>Ventas[[#This Row],[precio_base]]*Ventas[[#This Row],[cantidad]]</f>
        <v>19.989999999999998</v>
      </c>
      <c r="R1550" s="2">
        <f>Ventas[[#This Row],[Total bruto (antes de descuento)]]-Ventas[[#This Row],[total_venta]]</f>
        <v>3</v>
      </c>
    </row>
    <row r="1551" spans="1:18" x14ac:dyDescent="0.25">
      <c r="A1551" t="s">
        <v>1644</v>
      </c>
      <c r="B1551" s="1">
        <v>45541</v>
      </c>
      <c r="C1551" t="s">
        <v>163</v>
      </c>
      <c r="D1551" t="s">
        <v>18</v>
      </c>
      <c r="E1551">
        <v>3</v>
      </c>
      <c r="F1551" s="2">
        <v>499.99</v>
      </c>
      <c r="G1551">
        <v>0</v>
      </c>
      <c r="H1551" s="2">
        <v>499.99</v>
      </c>
      <c r="I1551" s="2">
        <v>1499.97</v>
      </c>
      <c r="J1551" t="s">
        <v>19</v>
      </c>
      <c r="K1551" t="s">
        <v>20</v>
      </c>
      <c r="L1551" t="s">
        <v>21</v>
      </c>
      <c r="M1551" t="s">
        <v>101</v>
      </c>
      <c r="N1551" t="s">
        <v>102</v>
      </c>
      <c r="O1551" t="s">
        <v>35</v>
      </c>
      <c r="P1551">
        <v>2</v>
      </c>
      <c r="Q1551" s="2">
        <f>Ventas[[#This Row],[precio_base]]*Ventas[[#This Row],[cantidad]]</f>
        <v>1499.97</v>
      </c>
      <c r="R1551" s="2">
        <f>Ventas[[#This Row],[Total bruto (antes de descuento)]]-Ventas[[#This Row],[total_venta]]</f>
        <v>0</v>
      </c>
    </row>
    <row r="1552" spans="1:18" x14ac:dyDescent="0.25">
      <c r="A1552" t="s">
        <v>1645</v>
      </c>
      <c r="B1552" s="1">
        <v>45260</v>
      </c>
      <c r="C1552" t="s">
        <v>26</v>
      </c>
      <c r="D1552" t="s">
        <v>27</v>
      </c>
      <c r="E1552">
        <v>3</v>
      </c>
      <c r="F1552" s="2">
        <v>399.99</v>
      </c>
      <c r="G1552">
        <v>20</v>
      </c>
      <c r="H1552" s="2">
        <v>319.99</v>
      </c>
      <c r="I1552" s="2">
        <v>959.97</v>
      </c>
      <c r="J1552" t="s">
        <v>62</v>
      </c>
      <c r="K1552" t="s">
        <v>20</v>
      </c>
      <c r="L1552" t="s">
        <v>45</v>
      </c>
      <c r="M1552" t="s">
        <v>120</v>
      </c>
      <c r="N1552" t="s">
        <v>23</v>
      </c>
      <c r="O1552" t="s">
        <v>24</v>
      </c>
      <c r="Q1552" s="2">
        <f>Ventas[[#This Row],[precio_base]]*Ventas[[#This Row],[cantidad]]</f>
        <v>1199.97</v>
      </c>
      <c r="R1552" s="2">
        <f>Ventas[[#This Row],[Total bruto (antes de descuento)]]-Ventas[[#This Row],[total_venta]]</f>
        <v>240</v>
      </c>
    </row>
    <row r="1553" spans="1:18" x14ac:dyDescent="0.25">
      <c r="A1553" t="s">
        <v>1646</v>
      </c>
      <c r="B1553" s="1">
        <v>45216</v>
      </c>
      <c r="C1553" t="s">
        <v>78</v>
      </c>
      <c r="D1553" t="s">
        <v>18</v>
      </c>
      <c r="E1553">
        <v>1</v>
      </c>
      <c r="F1553" s="2">
        <v>349.99</v>
      </c>
      <c r="G1553">
        <v>0</v>
      </c>
      <c r="H1553" s="2">
        <v>349.99</v>
      </c>
      <c r="I1553" s="2">
        <v>349.99</v>
      </c>
      <c r="J1553" t="s">
        <v>51</v>
      </c>
      <c r="K1553" t="s">
        <v>20</v>
      </c>
      <c r="L1553" t="s">
        <v>45</v>
      </c>
      <c r="M1553" t="s">
        <v>123</v>
      </c>
      <c r="N1553" t="s">
        <v>124</v>
      </c>
      <c r="O1553" t="s">
        <v>24</v>
      </c>
      <c r="Q1553" s="2">
        <f>Ventas[[#This Row],[precio_base]]*Ventas[[#This Row],[cantidad]]</f>
        <v>349.99</v>
      </c>
      <c r="R1553" s="2">
        <f>Ventas[[#This Row],[Total bruto (antes de descuento)]]-Ventas[[#This Row],[total_venta]]</f>
        <v>0</v>
      </c>
    </row>
    <row r="1554" spans="1:18" x14ac:dyDescent="0.25">
      <c r="A1554" t="s">
        <v>1647</v>
      </c>
      <c r="B1554" s="1">
        <v>45594</v>
      </c>
      <c r="C1554" t="s">
        <v>89</v>
      </c>
      <c r="D1554" t="s">
        <v>38</v>
      </c>
      <c r="E1554">
        <v>4</v>
      </c>
      <c r="F1554" s="2">
        <v>69.989999999999995</v>
      </c>
      <c r="G1554">
        <v>0</v>
      </c>
      <c r="H1554" s="2">
        <v>69.989999999999995</v>
      </c>
      <c r="I1554" s="2">
        <v>279.95999999999998</v>
      </c>
      <c r="J1554" t="s">
        <v>51</v>
      </c>
      <c r="K1554" t="s">
        <v>20</v>
      </c>
      <c r="L1554" t="s">
        <v>21</v>
      </c>
      <c r="M1554" t="s">
        <v>63</v>
      </c>
      <c r="N1554" t="s">
        <v>34</v>
      </c>
      <c r="O1554" t="s">
        <v>24</v>
      </c>
      <c r="Q1554" s="2">
        <f>Ventas[[#This Row],[precio_base]]*Ventas[[#This Row],[cantidad]]</f>
        <v>279.95999999999998</v>
      </c>
      <c r="R1554" s="2">
        <f>Ventas[[#This Row],[Total bruto (antes de descuento)]]-Ventas[[#This Row],[total_venta]]</f>
        <v>0</v>
      </c>
    </row>
    <row r="1555" spans="1:18" x14ac:dyDescent="0.25">
      <c r="A1555" t="s">
        <v>1648</v>
      </c>
      <c r="B1555" s="1">
        <v>45080</v>
      </c>
      <c r="C1555" t="s">
        <v>122</v>
      </c>
      <c r="D1555" t="s">
        <v>43</v>
      </c>
      <c r="E1555">
        <v>5</v>
      </c>
      <c r="F1555" s="2">
        <v>44.99</v>
      </c>
      <c r="G1555">
        <v>0</v>
      </c>
      <c r="H1555" s="2">
        <v>44.99</v>
      </c>
      <c r="I1555" s="2">
        <v>224.95</v>
      </c>
      <c r="J1555" t="s">
        <v>19</v>
      </c>
      <c r="K1555" t="s">
        <v>52</v>
      </c>
      <c r="L1555" t="s">
        <v>45</v>
      </c>
      <c r="M1555" t="s">
        <v>22</v>
      </c>
      <c r="N1555" t="s">
        <v>23</v>
      </c>
      <c r="O1555" t="s">
        <v>24</v>
      </c>
      <c r="P1555">
        <v>5</v>
      </c>
      <c r="Q1555" s="2">
        <f>Ventas[[#This Row],[precio_base]]*Ventas[[#This Row],[cantidad]]</f>
        <v>224.95000000000002</v>
      </c>
      <c r="R1555" s="2">
        <f>Ventas[[#This Row],[Total bruto (antes de descuento)]]-Ventas[[#This Row],[total_venta]]</f>
        <v>0</v>
      </c>
    </row>
    <row r="1556" spans="1:18" x14ac:dyDescent="0.25">
      <c r="A1556" t="s">
        <v>1649</v>
      </c>
      <c r="B1556" s="1">
        <v>45522</v>
      </c>
      <c r="C1556" t="s">
        <v>30</v>
      </c>
      <c r="D1556" t="s">
        <v>31</v>
      </c>
      <c r="E1556">
        <v>3</v>
      </c>
      <c r="F1556" s="2">
        <v>299.99</v>
      </c>
      <c r="G1556">
        <v>0</v>
      </c>
      <c r="H1556" s="2">
        <v>299.99</v>
      </c>
      <c r="I1556" s="2">
        <v>899.97</v>
      </c>
      <c r="J1556" t="s">
        <v>19</v>
      </c>
      <c r="K1556" t="s">
        <v>20</v>
      </c>
      <c r="L1556" t="s">
        <v>28</v>
      </c>
      <c r="M1556" t="s">
        <v>33</v>
      </c>
      <c r="N1556" t="s">
        <v>34</v>
      </c>
      <c r="O1556" t="s">
        <v>35</v>
      </c>
      <c r="P1556">
        <v>4</v>
      </c>
      <c r="Q1556" s="2">
        <f>Ventas[[#This Row],[precio_base]]*Ventas[[#This Row],[cantidad]]</f>
        <v>899.97</v>
      </c>
      <c r="R1556" s="2">
        <f>Ventas[[#This Row],[Total bruto (antes de descuento)]]-Ventas[[#This Row],[total_venta]]</f>
        <v>0</v>
      </c>
    </row>
    <row r="1557" spans="1:18" x14ac:dyDescent="0.25">
      <c r="A1557" t="s">
        <v>1650</v>
      </c>
      <c r="B1557" s="1">
        <v>45591</v>
      </c>
      <c r="C1557" t="s">
        <v>56</v>
      </c>
      <c r="D1557" t="s">
        <v>18</v>
      </c>
      <c r="E1557">
        <v>1</v>
      </c>
      <c r="F1557" s="2">
        <v>89.99</v>
      </c>
      <c r="G1557">
        <v>0</v>
      </c>
      <c r="H1557" s="2">
        <v>89.99</v>
      </c>
      <c r="I1557" s="2">
        <v>89.99</v>
      </c>
      <c r="J1557" t="s">
        <v>19</v>
      </c>
      <c r="K1557" t="s">
        <v>44</v>
      </c>
      <c r="L1557" t="s">
        <v>28</v>
      </c>
      <c r="M1557" t="s">
        <v>33</v>
      </c>
      <c r="N1557" t="s">
        <v>34</v>
      </c>
      <c r="O1557" t="s">
        <v>35</v>
      </c>
      <c r="P1557">
        <v>5</v>
      </c>
      <c r="Q1557" s="2">
        <f>Ventas[[#This Row],[precio_base]]*Ventas[[#This Row],[cantidad]]</f>
        <v>89.99</v>
      </c>
      <c r="R1557" s="2">
        <f>Ventas[[#This Row],[Total bruto (antes de descuento)]]-Ventas[[#This Row],[total_venta]]</f>
        <v>0</v>
      </c>
    </row>
    <row r="1558" spans="1:18" x14ac:dyDescent="0.25">
      <c r="A1558" t="s">
        <v>1651</v>
      </c>
      <c r="B1558" s="1">
        <v>45051</v>
      </c>
      <c r="C1558" t="s">
        <v>42</v>
      </c>
      <c r="D1558" t="s">
        <v>43</v>
      </c>
      <c r="E1558">
        <v>5</v>
      </c>
      <c r="F1558" s="2">
        <v>349.99</v>
      </c>
      <c r="G1558">
        <v>20</v>
      </c>
      <c r="H1558" s="2">
        <v>279.99</v>
      </c>
      <c r="I1558" s="2">
        <v>1399.95</v>
      </c>
      <c r="J1558" t="s">
        <v>19</v>
      </c>
      <c r="K1558" t="s">
        <v>44</v>
      </c>
      <c r="L1558" t="s">
        <v>45</v>
      </c>
      <c r="M1558" t="s">
        <v>101</v>
      </c>
      <c r="N1558" t="s">
        <v>102</v>
      </c>
      <c r="O1558" t="s">
        <v>35</v>
      </c>
      <c r="P1558">
        <v>3</v>
      </c>
      <c r="Q1558" s="2">
        <f>Ventas[[#This Row],[precio_base]]*Ventas[[#This Row],[cantidad]]</f>
        <v>1749.95</v>
      </c>
      <c r="R1558" s="2">
        <f>Ventas[[#This Row],[Total bruto (antes de descuento)]]-Ventas[[#This Row],[total_venta]]</f>
        <v>350</v>
      </c>
    </row>
    <row r="1559" spans="1:18" x14ac:dyDescent="0.25">
      <c r="A1559" t="s">
        <v>1652</v>
      </c>
      <c r="B1559" s="1">
        <v>45202</v>
      </c>
      <c r="C1559" t="s">
        <v>115</v>
      </c>
      <c r="D1559" t="s">
        <v>18</v>
      </c>
      <c r="E1559">
        <v>5</v>
      </c>
      <c r="F1559" s="2">
        <v>799.99</v>
      </c>
      <c r="G1559">
        <v>0</v>
      </c>
      <c r="H1559" s="2">
        <v>799.99</v>
      </c>
      <c r="I1559" s="2">
        <v>3999.95</v>
      </c>
      <c r="J1559" t="s">
        <v>90</v>
      </c>
      <c r="K1559" t="s">
        <v>20</v>
      </c>
      <c r="L1559" t="s">
        <v>28</v>
      </c>
      <c r="M1559" t="s">
        <v>123</v>
      </c>
      <c r="N1559" t="s">
        <v>124</v>
      </c>
      <c r="O1559" t="s">
        <v>24</v>
      </c>
      <c r="Q1559" s="2">
        <f>Ventas[[#This Row],[precio_base]]*Ventas[[#This Row],[cantidad]]</f>
        <v>3999.95</v>
      </c>
      <c r="R1559" s="2">
        <f>Ventas[[#This Row],[Total bruto (antes de descuento)]]-Ventas[[#This Row],[total_venta]]</f>
        <v>0</v>
      </c>
    </row>
    <row r="1560" spans="1:18" x14ac:dyDescent="0.25">
      <c r="A1560" t="s">
        <v>1653</v>
      </c>
      <c r="B1560" s="1">
        <v>45297</v>
      </c>
      <c r="C1560" t="s">
        <v>163</v>
      </c>
      <c r="D1560" t="s">
        <v>18</v>
      </c>
      <c r="E1560">
        <v>4</v>
      </c>
      <c r="F1560" s="2">
        <v>499.99</v>
      </c>
      <c r="G1560">
        <v>0</v>
      </c>
      <c r="H1560" s="2">
        <v>499.99</v>
      </c>
      <c r="I1560" s="2">
        <v>1999.96</v>
      </c>
      <c r="J1560" t="s">
        <v>51</v>
      </c>
      <c r="K1560" t="s">
        <v>44</v>
      </c>
      <c r="L1560" t="s">
        <v>45</v>
      </c>
      <c r="M1560" t="s">
        <v>95</v>
      </c>
      <c r="N1560" t="s">
        <v>96</v>
      </c>
      <c r="O1560" t="s">
        <v>48</v>
      </c>
      <c r="Q1560" s="2">
        <f>Ventas[[#This Row],[precio_base]]*Ventas[[#This Row],[cantidad]]</f>
        <v>1999.96</v>
      </c>
      <c r="R1560" s="2">
        <f>Ventas[[#This Row],[Total bruto (antes de descuento)]]-Ventas[[#This Row],[total_venta]]</f>
        <v>0</v>
      </c>
    </row>
    <row r="1561" spans="1:18" x14ac:dyDescent="0.25">
      <c r="A1561" t="s">
        <v>1654</v>
      </c>
      <c r="B1561" s="1">
        <v>45346</v>
      </c>
      <c r="C1561" t="s">
        <v>89</v>
      </c>
      <c r="D1561" t="s">
        <v>38</v>
      </c>
      <c r="E1561">
        <v>1</v>
      </c>
      <c r="F1561" s="2">
        <v>69.989999999999995</v>
      </c>
      <c r="G1561">
        <v>0</v>
      </c>
      <c r="H1561" s="2">
        <v>69.989999999999995</v>
      </c>
      <c r="I1561" s="2">
        <v>69.989999999999995</v>
      </c>
      <c r="J1561" t="s">
        <v>19</v>
      </c>
      <c r="K1561" t="s">
        <v>52</v>
      </c>
      <c r="L1561" t="s">
        <v>28</v>
      </c>
      <c r="M1561" t="s">
        <v>95</v>
      </c>
      <c r="N1561" t="s">
        <v>96</v>
      </c>
      <c r="O1561" t="s">
        <v>48</v>
      </c>
      <c r="P1561">
        <v>5</v>
      </c>
      <c r="Q1561" s="2">
        <f>Ventas[[#This Row],[precio_base]]*Ventas[[#This Row],[cantidad]]</f>
        <v>69.989999999999995</v>
      </c>
      <c r="R1561" s="2">
        <f>Ventas[[#This Row],[Total bruto (antes de descuento)]]-Ventas[[#This Row],[total_venta]]</f>
        <v>0</v>
      </c>
    </row>
    <row r="1562" spans="1:18" x14ac:dyDescent="0.25">
      <c r="A1562" t="s">
        <v>1655</v>
      </c>
      <c r="B1562" s="1">
        <v>45162</v>
      </c>
      <c r="C1562" t="s">
        <v>151</v>
      </c>
      <c r="D1562" t="s">
        <v>27</v>
      </c>
      <c r="E1562">
        <v>4</v>
      </c>
      <c r="F1562" s="2">
        <v>599.99</v>
      </c>
      <c r="G1562">
        <v>0</v>
      </c>
      <c r="H1562" s="2">
        <v>599.99</v>
      </c>
      <c r="I1562" s="2">
        <v>2399.96</v>
      </c>
      <c r="J1562" t="s">
        <v>19</v>
      </c>
      <c r="K1562" t="s">
        <v>57</v>
      </c>
      <c r="L1562" t="s">
        <v>152</v>
      </c>
      <c r="M1562" t="s">
        <v>67</v>
      </c>
      <c r="N1562" t="s">
        <v>68</v>
      </c>
      <c r="O1562" t="s">
        <v>35</v>
      </c>
      <c r="P1562">
        <v>2</v>
      </c>
      <c r="Q1562" s="2">
        <f>Ventas[[#This Row],[precio_base]]*Ventas[[#This Row],[cantidad]]</f>
        <v>2399.96</v>
      </c>
      <c r="R1562" s="2">
        <f>Ventas[[#This Row],[Total bruto (antes de descuento)]]-Ventas[[#This Row],[total_venta]]</f>
        <v>0</v>
      </c>
    </row>
    <row r="1563" spans="1:18" x14ac:dyDescent="0.25">
      <c r="A1563" t="s">
        <v>1656</v>
      </c>
      <c r="B1563" s="1">
        <v>45344</v>
      </c>
      <c r="C1563" t="s">
        <v>81</v>
      </c>
      <c r="D1563" t="s">
        <v>31</v>
      </c>
      <c r="E1563">
        <v>5</v>
      </c>
      <c r="F1563" s="2">
        <v>189.99</v>
      </c>
      <c r="G1563">
        <v>15</v>
      </c>
      <c r="H1563" s="2">
        <v>161.49</v>
      </c>
      <c r="I1563" s="2">
        <v>807.45</v>
      </c>
      <c r="J1563" t="s">
        <v>19</v>
      </c>
      <c r="K1563" t="s">
        <v>52</v>
      </c>
      <c r="L1563" t="s">
        <v>21</v>
      </c>
      <c r="M1563" t="s">
        <v>58</v>
      </c>
      <c r="N1563" t="s">
        <v>59</v>
      </c>
      <c r="O1563" t="s">
        <v>24</v>
      </c>
      <c r="P1563">
        <v>1</v>
      </c>
      <c r="Q1563" s="2">
        <f>Ventas[[#This Row],[precio_base]]*Ventas[[#This Row],[cantidad]]</f>
        <v>949.95</v>
      </c>
      <c r="R1563" s="2">
        <f>Ventas[[#This Row],[Total bruto (antes de descuento)]]-Ventas[[#This Row],[total_venta]]</f>
        <v>142.5</v>
      </c>
    </row>
    <row r="1564" spans="1:18" x14ac:dyDescent="0.25">
      <c r="A1564" t="s">
        <v>1657</v>
      </c>
      <c r="B1564" s="1">
        <v>45010</v>
      </c>
      <c r="C1564" t="s">
        <v>37</v>
      </c>
      <c r="D1564" t="s">
        <v>38</v>
      </c>
      <c r="E1564">
        <v>4</v>
      </c>
      <c r="F1564" s="2">
        <v>34.99</v>
      </c>
      <c r="G1564">
        <v>10</v>
      </c>
      <c r="H1564" s="2">
        <v>31.49</v>
      </c>
      <c r="I1564" s="2">
        <v>125.96</v>
      </c>
      <c r="J1564" t="s">
        <v>116</v>
      </c>
      <c r="K1564" t="s">
        <v>44</v>
      </c>
      <c r="L1564" t="s">
        <v>32</v>
      </c>
      <c r="M1564" t="s">
        <v>33</v>
      </c>
      <c r="N1564" t="s">
        <v>34</v>
      </c>
      <c r="O1564" t="s">
        <v>35</v>
      </c>
      <c r="Q1564" s="2">
        <f>Ventas[[#This Row],[precio_base]]*Ventas[[#This Row],[cantidad]]</f>
        <v>139.96</v>
      </c>
      <c r="R1564" s="2">
        <f>Ventas[[#This Row],[Total bruto (antes de descuento)]]-Ventas[[#This Row],[total_venta]]</f>
        <v>14.000000000000014</v>
      </c>
    </row>
    <row r="1565" spans="1:18" x14ac:dyDescent="0.25">
      <c r="A1565" t="s">
        <v>1658</v>
      </c>
      <c r="B1565" s="1">
        <v>45129</v>
      </c>
      <c r="C1565" t="s">
        <v>130</v>
      </c>
      <c r="D1565" t="s">
        <v>43</v>
      </c>
      <c r="E1565">
        <v>2</v>
      </c>
      <c r="F1565" s="2">
        <v>24.99</v>
      </c>
      <c r="G1565">
        <v>5</v>
      </c>
      <c r="H1565" s="2">
        <v>23.74</v>
      </c>
      <c r="I1565" s="2">
        <v>47.48</v>
      </c>
      <c r="J1565" t="s">
        <v>19</v>
      </c>
      <c r="K1565" t="s">
        <v>20</v>
      </c>
      <c r="L1565" t="s">
        <v>28</v>
      </c>
      <c r="M1565" t="s">
        <v>95</v>
      </c>
      <c r="N1565" t="s">
        <v>96</v>
      </c>
      <c r="O1565" t="s">
        <v>48</v>
      </c>
      <c r="P1565">
        <v>4</v>
      </c>
      <c r="Q1565" s="2">
        <f>Ventas[[#This Row],[precio_base]]*Ventas[[#This Row],[cantidad]]</f>
        <v>49.98</v>
      </c>
      <c r="R1565" s="2">
        <f>Ventas[[#This Row],[Total bruto (antes de descuento)]]-Ventas[[#This Row],[total_venta]]</f>
        <v>2.5</v>
      </c>
    </row>
    <row r="1566" spans="1:18" x14ac:dyDescent="0.25">
      <c r="A1566" t="s">
        <v>1659</v>
      </c>
      <c r="B1566" s="1">
        <v>45030</v>
      </c>
      <c r="C1566" t="s">
        <v>78</v>
      </c>
      <c r="D1566" t="s">
        <v>18</v>
      </c>
      <c r="E1566">
        <v>1</v>
      </c>
      <c r="F1566" s="2">
        <v>349.99</v>
      </c>
      <c r="G1566">
        <v>20</v>
      </c>
      <c r="H1566" s="2">
        <v>279.99</v>
      </c>
      <c r="I1566" s="2">
        <v>279.99</v>
      </c>
      <c r="J1566" t="s">
        <v>19</v>
      </c>
      <c r="K1566" t="s">
        <v>20</v>
      </c>
      <c r="L1566" t="s">
        <v>21</v>
      </c>
      <c r="M1566" t="s">
        <v>84</v>
      </c>
      <c r="N1566" t="s">
        <v>85</v>
      </c>
      <c r="O1566" t="s">
        <v>35</v>
      </c>
      <c r="P1566">
        <v>5</v>
      </c>
      <c r="Q1566" s="2">
        <f>Ventas[[#This Row],[precio_base]]*Ventas[[#This Row],[cantidad]]</f>
        <v>349.99</v>
      </c>
      <c r="R1566" s="2">
        <f>Ventas[[#This Row],[Total bruto (antes de descuento)]]-Ventas[[#This Row],[total_venta]]</f>
        <v>70</v>
      </c>
    </row>
    <row r="1567" spans="1:18" x14ac:dyDescent="0.25">
      <c r="A1567" t="s">
        <v>1660</v>
      </c>
      <c r="B1567" s="1">
        <v>45469</v>
      </c>
      <c r="C1567" t="s">
        <v>122</v>
      </c>
      <c r="D1567" t="s">
        <v>43</v>
      </c>
      <c r="E1567">
        <v>4</v>
      </c>
      <c r="F1567" s="2">
        <v>44.99</v>
      </c>
      <c r="G1567">
        <v>5</v>
      </c>
      <c r="H1567" s="2">
        <v>42.74</v>
      </c>
      <c r="I1567" s="2">
        <v>170.96</v>
      </c>
      <c r="J1567" t="s">
        <v>19</v>
      </c>
      <c r="K1567" t="s">
        <v>44</v>
      </c>
      <c r="L1567" t="s">
        <v>21</v>
      </c>
      <c r="M1567" t="s">
        <v>120</v>
      </c>
      <c r="N1567" t="s">
        <v>23</v>
      </c>
      <c r="O1567" t="s">
        <v>24</v>
      </c>
      <c r="P1567">
        <v>3</v>
      </c>
      <c r="Q1567" s="2">
        <f>Ventas[[#This Row],[precio_base]]*Ventas[[#This Row],[cantidad]]</f>
        <v>179.96</v>
      </c>
      <c r="R1567" s="2">
        <f>Ventas[[#This Row],[Total bruto (antes de descuento)]]-Ventas[[#This Row],[total_venta]]</f>
        <v>9</v>
      </c>
    </row>
    <row r="1568" spans="1:18" x14ac:dyDescent="0.25">
      <c r="A1568" t="s">
        <v>1661</v>
      </c>
      <c r="B1568" s="1">
        <v>45048</v>
      </c>
      <c r="C1568" t="s">
        <v>141</v>
      </c>
      <c r="D1568" t="s">
        <v>38</v>
      </c>
      <c r="E1568">
        <v>3</v>
      </c>
      <c r="F1568" s="2">
        <v>89.99</v>
      </c>
      <c r="G1568">
        <v>10</v>
      </c>
      <c r="H1568" s="2">
        <v>80.989999999999995</v>
      </c>
      <c r="I1568" s="2">
        <v>242.97</v>
      </c>
      <c r="J1568" t="s">
        <v>51</v>
      </c>
      <c r="K1568" t="s">
        <v>57</v>
      </c>
      <c r="L1568" t="s">
        <v>21</v>
      </c>
      <c r="M1568" t="s">
        <v>95</v>
      </c>
      <c r="N1568" t="s">
        <v>96</v>
      </c>
      <c r="O1568" t="s">
        <v>48</v>
      </c>
      <c r="Q1568" s="2">
        <f>Ventas[[#This Row],[precio_base]]*Ventas[[#This Row],[cantidad]]</f>
        <v>269.96999999999997</v>
      </c>
      <c r="R1568" s="2">
        <f>Ventas[[#This Row],[Total bruto (antes de descuento)]]-Ventas[[#This Row],[total_venta]]</f>
        <v>26.999999999999972</v>
      </c>
    </row>
    <row r="1569" spans="1:18" x14ac:dyDescent="0.25">
      <c r="A1569" t="s">
        <v>1662</v>
      </c>
      <c r="B1569" s="1">
        <v>45290</v>
      </c>
      <c r="C1569" t="s">
        <v>151</v>
      </c>
      <c r="D1569" t="s">
        <v>27</v>
      </c>
      <c r="E1569">
        <v>4</v>
      </c>
      <c r="F1569" s="2">
        <v>599.99</v>
      </c>
      <c r="G1569">
        <v>15</v>
      </c>
      <c r="H1569" s="2">
        <v>509.99</v>
      </c>
      <c r="I1569" s="2">
        <v>2039.96</v>
      </c>
      <c r="J1569" t="s">
        <v>19</v>
      </c>
      <c r="K1569" t="s">
        <v>20</v>
      </c>
      <c r="L1569" t="s">
        <v>28</v>
      </c>
      <c r="M1569" t="s">
        <v>67</v>
      </c>
      <c r="N1569" t="s">
        <v>68</v>
      </c>
      <c r="O1569" t="s">
        <v>35</v>
      </c>
      <c r="P1569">
        <v>2</v>
      </c>
      <c r="Q1569" s="2">
        <f>Ventas[[#This Row],[precio_base]]*Ventas[[#This Row],[cantidad]]</f>
        <v>2399.96</v>
      </c>
      <c r="R1569" s="2">
        <f>Ventas[[#This Row],[Total bruto (antes de descuento)]]-Ventas[[#This Row],[total_venta]]</f>
        <v>360</v>
      </c>
    </row>
    <row r="1570" spans="1:18" x14ac:dyDescent="0.25">
      <c r="A1570" t="s">
        <v>1663</v>
      </c>
      <c r="B1570" s="1">
        <v>45114</v>
      </c>
      <c r="C1570" t="s">
        <v>76</v>
      </c>
      <c r="D1570" t="s">
        <v>31</v>
      </c>
      <c r="E1570">
        <v>5</v>
      </c>
      <c r="F1570" s="2">
        <v>69.989999999999995</v>
      </c>
      <c r="G1570">
        <v>20</v>
      </c>
      <c r="H1570" s="2">
        <v>55.99</v>
      </c>
      <c r="I1570" s="2">
        <v>279.95</v>
      </c>
      <c r="J1570" t="s">
        <v>90</v>
      </c>
      <c r="K1570" t="s">
        <v>20</v>
      </c>
      <c r="L1570" t="s">
        <v>21</v>
      </c>
      <c r="M1570" t="s">
        <v>95</v>
      </c>
      <c r="N1570" t="s">
        <v>96</v>
      </c>
      <c r="O1570" t="s">
        <v>48</v>
      </c>
      <c r="Q1570" s="2">
        <f>Ventas[[#This Row],[precio_base]]*Ventas[[#This Row],[cantidad]]</f>
        <v>349.95</v>
      </c>
      <c r="R1570" s="2">
        <f>Ventas[[#This Row],[Total bruto (antes de descuento)]]-Ventas[[#This Row],[total_venta]]</f>
        <v>70</v>
      </c>
    </row>
    <row r="1571" spans="1:18" x14ac:dyDescent="0.25">
      <c r="A1571" t="s">
        <v>1664</v>
      </c>
      <c r="B1571" s="1">
        <v>45534</v>
      </c>
      <c r="C1571" t="s">
        <v>89</v>
      </c>
      <c r="D1571" t="s">
        <v>38</v>
      </c>
      <c r="E1571">
        <v>4</v>
      </c>
      <c r="F1571" s="2">
        <v>69.989999999999995</v>
      </c>
      <c r="G1571">
        <v>5</v>
      </c>
      <c r="H1571" s="2">
        <v>66.489999999999995</v>
      </c>
      <c r="I1571" s="2">
        <v>265.95999999999998</v>
      </c>
      <c r="J1571" t="s">
        <v>19</v>
      </c>
      <c r="K1571" t="s">
        <v>44</v>
      </c>
      <c r="L1571" t="s">
        <v>45</v>
      </c>
      <c r="M1571" t="s">
        <v>63</v>
      </c>
      <c r="N1571" t="s">
        <v>34</v>
      </c>
      <c r="O1571" t="s">
        <v>24</v>
      </c>
      <c r="P1571">
        <v>1</v>
      </c>
      <c r="Q1571" s="2">
        <f>Ventas[[#This Row],[precio_base]]*Ventas[[#This Row],[cantidad]]</f>
        <v>279.95999999999998</v>
      </c>
      <c r="R1571" s="2">
        <f>Ventas[[#This Row],[Total bruto (antes de descuento)]]-Ventas[[#This Row],[total_venta]]</f>
        <v>14</v>
      </c>
    </row>
    <row r="1572" spans="1:18" x14ac:dyDescent="0.25">
      <c r="A1572" t="s">
        <v>1665</v>
      </c>
      <c r="B1572" s="1">
        <v>45164</v>
      </c>
      <c r="C1572" t="s">
        <v>83</v>
      </c>
      <c r="D1572" t="s">
        <v>38</v>
      </c>
      <c r="E1572">
        <v>4</v>
      </c>
      <c r="F1572" s="2">
        <v>49.99</v>
      </c>
      <c r="G1572">
        <v>0</v>
      </c>
      <c r="H1572" s="2">
        <v>49.99</v>
      </c>
      <c r="I1572" s="2">
        <v>199.96</v>
      </c>
      <c r="J1572" t="s">
        <v>19</v>
      </c>
      <c r="K1572" t="s">
        <v>52</v>
      </c>
      <c r="L1572" t="s">
        <v>45</v>
      </c>
      <c r="M1572" t="s">
        <v>65</v>
      </c>
      <c r="N1572" t="s">
        <v>54</v>
      </c>
      <c r="O1572" t="s">
        <v>35</v>
      </c>
      <c r="P1572">
        <v>4</v>
      </c>
      <c r="Q1572" s="2">
        <f>Ventas[[#This Row],[precio_base]]*Ventas[[#This Row],[cantidad]]</f>
        <v>199.96</v>
      </c>
      <c r="R1572" s="2">
        <f>Ventas[[#This Row],[Total bruto (antes de descuento)]]-Ventas[[#This Row],[total_venta]]</f>
        <v>0</v>
      </c>
    </row>
    <row r="1573" spans="1:18" x14ac:dyDescent="0.25">
      <c r="A1573" t="s">
        <v>1666</v>
      </c>
      <c r="B1573" s="1">
        <v>45219</v>
      </c>
      <c r="C1573" t="s">
        <v>141</v>
      </c>
      <c r="D1573" t="s">
        <v>38</v>
      </c>
      <c r="E1573">
        <v>4</v>
      </c>
      <c r="F1573" s="2">
        <v>89.99</v>
      </c>
      <c r="G1573">
        <v>0</v>
      </c>
      <c r="H1573" s="2">
        <v>89.99</v>
      </c>
      <c r="I1573" s="2">
        <v>359.96</v>
      </c>
      <c r="J1573" t="s">
        <v>51</v>
      </c>
      <c r="K1573" t="s">
        <v>20</v>
      </c>
      <c r="L1573" t="s">
        <v>152</v>
      </c>
      <c r="M1573" t="s">
        <v>63</v>
      </c>
      <c r="N1573" t="s">
        <v>34</v>
      </c>
      <c r="O1573" t="s">
        <v>24</v>
      </c>
      <c r="Q1573" s="2">
        <f>Ventas[[#This Row],[precio_base]]*Ventas[[#This Row],[cantidad]]</f>
        <v>359.96</v>
      </c>
      <c r="R1573" s="2">
        <f>Ventas[[#This Row],[Total bruto (antes de descuento)]]-Ventas[[#This Row],[total_venta]]</f>
        <v>0</v>
      </c>
    </row>
    <row r="1574" spans="1:18" x14ac:dyDescent="0.25">
      <c r="A1574" t="s">
        <v>1667</v>
      </c>
      <c r="B1574" s="1">
        <v>45142</v>
      </c>
      <c r="C1574" t="s">
        <v>37</v>
      </c>
      <c r="D1574" t="s">
        <v>38</v>
      </c>
      <c r="E1574">
        <v>5</v>
      </c>
      <c r="F1574" s="2">
        <v>34.99</v>
      </c>
      <c r="G1574">
        <v>0</v>
      </c>
      <c r="H1574" s="2">
        <v>34.99</v>
      </c>
      <c r="I1574" s="2">
        <v>174.95</v>
      </c>
      <c r="J1574" t="s">
        <v>19</v>
      </c>
      <c r="K1574" t="s">
        <v>20</v>
      </c>
      <c r="L1574" t="s">
        <v>21</v>
      </c>
      <c r="M1574" t="s">
        <v>33</v>
      </c>
      <c r="N1574" t="s">
        <v>34</v>
      </c>
      <c r="O1574" t="s">
        <v>35</v>
      </c>
      <c r="P1574">
        <v>2</v>
      </c>
      <c r="Q1574" s="2">
        <f>Ventas[[#This Row],[precio_base]]*Ventas[[#This Row],[cantidad]]</f>
        <v>174.95000000000002</v>
      </c>
      <c r="R1574" s="2">
        <f>Ventas[[#This Row],[Total bruto (antes de descuento)]]-Ventas[[#This Row],[total_venta]]</f>
        <v>0</v>
      </c>
    </row>
    <row r="1575" spans="1:18" x14ac:dyDescent="0.25">
      <c r="A1575" t="s">
        <v>1668</v>
      </c>
      <c r="B1575" s="1">
        <v>45048</v>
      </c>
      <c r="C1575" t="s">
        <v>83</v>
      </c>
      <c r="D1575" t="s">
        <v>38</v>
      </c>
      <c r="E1575">
        <v>3</v>
      </c>
      <c r="F1575" s="2">
        <v>49.99</v>
      </c>
      <c r="G1575">
        <v>5</v>
      </c>
      <c r="H1575" s="2">
        <v>47.49</v>
      </c>
      <c r="I1575" s="2">
        <v>142.47</v>
      </c>
      <c r="J1575" t="s">
        <v>19</v>
      </c>
      <c r="K1575" t="s">
        <v>20</v>
      </c>
      <c r="L1575" t="s">
        <v>152</v>
      </c>
      <c r="M1575" t="s">
        <v>53</v>
      </c>
      <c r="N1575" t="s">
        <v>54</v>
      </c>
      <c r="O1575" t="s">
        <v>35</v>
      </c>
      <c r="P1575">
        <v>3</v>
      </c>
      <c r="Q1575" s="2">
        <f>Ventas[[#This Row],[precio_base]]*Ventas[[#This Row],[cantidad]]</f>
        <v>149.97</v>
      </c>
      <c r="R1575" s="2">
        <f>Ventas[[#This Row],[Total bruto (antes de descuento)]]-Ventas[[#This Row],[total_venta]]</f>
        <v>7.5</v>
      </c>
    </row>
    <row r="1576" spans="1:18" x14ac:dyDescent="0.25">
      <c r="A1576" t="s">
        <v>1669</v>
      </c>
      <c r="B1576" s="1">
        <v>45547</v>
      </c>
      <c r="C1576" t="s">
        <v>98</v>
      </c>
      <c r="D1576" t="s">
        <v>31</v>
      </c>
      <c r="E1576">
        <v>1</v>
      </c>
      <c r="F1576" s="2">
        <v>99.99</v>
      </c>
      <c r="G1576">
        <v>0</v>
      </c>
      <c r="H1576" s="2">
        <v>99.99</v>
      </c>
      <c r="I1576" s="2">
        <v>99.99</v>
      </c>
      <c r="J1576" t="s">
        <v>51</v>
      </c>
      <c r="K1576" t="s">
        <v>20</v>
      </c>
      <c r="L1576" t="s">
        <v>45</v>
      </c>
      <c r="M1576" t="s">
        <v>63</v>
      </c>
      <c r="N1576" t="s">
        <v>34</v>
      </c>
      <c r="O1576" t="s">
        <v>24</v>
      </c>
      <c r="Q1576" s="2">
        <f>Ventas[[#This Row],[precio_base]]*Ventas[[#This Row],[cantidad]]</f>
        <v>99.99</v>
      </c>
      <c r="R1576" s="2">
        <f>Ventas[[#This Row],[Total bruto (antes de descuento)]]-Ventas[[#This Row],[total_venta]]</f>
        <v>0</v>
      </c>
    </row>
    <row r="1577" spans="1:18" x14ac:dyDescent="0.25">
      <c r="A1577" t="s">
        <v>1670</v>
      </c>
      <c r="B1577" s="1">
        <v>45447</v>
      </c>
      <c r="C1577" t="s">
        <v>98</v>
      </c>
      <c r="D1577" t="s">
        <v>31</v>
      </c>
      <c r="E1577">
        <v>2</v>
      </c>
      <c r="F1577" s="2">
        <v>99.99</v>
      </c>
      <c r="G1577">
        <v>0</v>
      </c>
      <c r="H1577" s="2">
        <v>99.99</v>
      </c>
      <c r="I1577" s="2">
        <v>199.98</v>
      </c>
      <c r="J1577" t="s">
        <v>19</v>
      </c>
      <c r="K1577" t="s">
        <v>57</v>
      </c>
      <c r="L1577" t="s">
        <v>45</v>
      </c>
      <c r="M1577" t="s">
        <v>46</v>
      </c>
      <c r="N1577" t="s">
        <v>47</v>
      </c>
      <c r="O1577" t="s">
        <v>48</v>
      </c>
      <c r="P1577">
        <v>2</v>
      </c>
      <c r="Q1577" s="2">
        <f>Ventas[[#This Row],[precio_base]]*Ventas[[#This Row],[cantidad]]</f>
        <v>199.98</v>
      </c>
      <c r="R1577" s="2">
        <f>Ventas[[#This Row],[Total bruto (antes de descuento)]]-Ventas[[#This Row],[total_venta]]</f>
        <v>0</v>
      </c>
    </row>
    <row r="1578" spans="1:18" x14ac:dyDescent="0.25">
      <c r="A1578" t="s">
        <v>1671</v>
      </c>
      <c r="B1578" s="1">
        <v>44933</v>
      </c>
      <c r="C1578" t="s">
        <v>92</v>
      </c>
      <c r="D1578" t="s">
        <v>27</v>
      </c>
      <c r="E1578">
        <v>1</v>
      </c>
      <c r="F1578" s="2">
        <v>79.989999999999995</v>
      </c>
      <c r="G1578">
        <v>0</v>
      </c>
      <c r="H1578" s="2">
        <v>79.989999999999995</v>
      </c>
      <c r="I1578" s="2">
        <v>79.989999999999995</v>
      </c>
      <c r="J1578" t="s">
        <v>19</v>
      </c>
      <c r="K1578" t="s">
        <v>20</v>
      </c>
      <c r="L1578" t="s">
        <v>45</v>
      </c>
      <c r="M1578" t="s">
        <v>33</v>
      </c>
      <c r="N1578" t="s">
        <v>34</v>
      </c>
      <c r="O1578" t="s">
        <v>35</v>
      </c>
      <c r="P1578">
        <v>2</v>
      </c>
      <c r="Q1578" s="2">
        <f>Ventas[[#This Row],[precio_base]]*Ventas[[#This Row],[cantidad]]</f>
        <v>79.989999999999995</v>
      </c>
      <c r="R1578" s="2">
        <f>Ventas[[#This Row],[Total bruto (antes de descuento)]]-Ventas[[#This Row],[total_venta]]</f>
        <v>0</v>
      </c>
    </row>
    <row r="1579" spans="1:18" x14ac:dyDescent="0.25">
      <c r="A1579" t="s">
        <v>1672</v>
      </c>
      <c r="B1579" s="1">
        <v>45391</v>
      </c>
      <c r="C1579" t="s">
        <v>83</v>
      </c>
      <c r="D1579" t="s">
        <v>38</v>
      </c>
      <c r="E1579">
        <v>1</v>
      </c>
      <c r="F1579" s="2">
        <v>49.99</v>
      </c>
      <c r="G1579">
        <v>15</v>
      </c>
      <c r="H1579" s="2">
        <v>42.49</v>
      </c>
      <c r="I1579" s="2">
        <v>42.49</v>
      </c>
      <c r="J1579" t="s">
        <v>51</v>
      </c>
      <c r="K1579" t="s">
        <v>20</v>
      </c>
      <c r="L1579" t="s">
        <v>32</v>
      </c>
      <c r="M1579" t="s">
        <v>67</v>
      </c>
      <c r="N1579" t="s">
        <v>68</v>
      </c>
      <c r="O1579" t="s">
        <v>35</v>
      </c>
      <c r="Q1579" s="2">
        <f>Ventas[[#This Row],[precio_base]]*Ventas[[#This Row],[cantidad]]</f>
        <v>49.99</v>
      </c>
      <c r="R1579" s="2">
        <f>Ventas[[#This Row],[Total bruto (antes de descuento)]]-Ventas[[#This Row],[total_venta]]</f>
        <v>7.5</v>
      </c>
    </row>
    <row r="1580" spans="1:18" x14ac:dyDescent="0.25">
      <c r="A1580" t="s">
        <v>1673</v>
      </c>
      <c r="B1580" s="1">
        <v>45432</v>
      </c>
      <c r="C1580" t="s">
        <v>61</v>
      </c>
      <c r="D1580" t="s">
        <v>38</v>
      </c>
      <c r="E1580">
        <v>1</v>
      </c>
      <c r="F1580" s="2">
        <v>19.989999999999998</v>
      </c>
      <c r="G1580">
        <v>20</v>
      </c>
      <c r="H1580" s="2">
        <v>15.99</v>
      </c>
      <c r="I1580" s="2">
        <v>15.99</v>
      </c>
      <c r="J1580" t="s">
        <v>19</v>
      </c>
      <c r="K1580" t="s">
        <v>44</v>
      </c>
      <c r="L1580" t="s">
        <v>21</v>
      </c>
      <c r="M1580" t="s">
        <v>58</v>
      </c>
      <c r="N1580" t="s">
        <v>59</v>
      </c>
      <c r="O1580" t="s">
        <v>24</v>
      </c>
      <c r="P1580">
        <v>3</v>
      </c>
      <c r="Q1580" s="2">
        <f>Ventas[[#This Row],[precio_base]]*Ventas[[#This Row],[cantidad]]</f>
        <v>19.989999999999998</v>
      </c>
      <c r="R1580" s="2">
        <f>Ventas[[#This Row],[Total bruto (antes de descuento)]]-Ventas[[#This Row],[total_venta]]</f>
        <v>3.9999999999999982</v>
      </c>
    </row>
    <row r="1581" spans="1:18" x14ac:dyDescent="0.25">
      <c r="A1581" t="s">
        <v>1674</v>
      </c>
      <c r="B1581" s="1">
        <v>45007</v>
      </c>
      <c r="C1581" t="s">
        <v>76</v>
      </c>
      <c r="D1581" t="s">
        <v>31</v>
      </c>
      <c r="E1581">
        <v>2</v>
      </c>
      <c r="F1581" s="2">
        <v>69.989999999999995</v>
      </c>
      <c r="G1581">
        <v>15</v>
      </c>
      <c r="H1581" s="2">
        <v>59.49</v>
      </c>
      <c r="I1581" s="2">
        <v>118.98</v>
      </c>
      <c r="J1581" t="s">
        <v>19</v>
      </c>
      <c r="K1581" t="s">
        <v>44</v>
      </c>
      <c r="L1581" t="s">
        <v>21</v>
      </c>
      <c r="M1581" t="s">
        <v>63</v>
      </c>
      <c r="N1581" t="s">
        <v>34</v>
      </c>
      <c r="O1581" t="s">
        <v>24</v>
      </c>
      <c r="P1581">
        <v>5</v>
      </c>
      <c r="Q1581" s="2">
        <f>Ventas[[#This Row],[precio_base]]*Ventas[[#This Row],[cantidad]]</f>
        <v>139.97999999999999</v>
      </c>
      <c r="R1581" s="2">
        <f>Ventas[[#This Row],[Total bruto (antes de descuento)]]-Ventas[[#This Row],[total_venta]]</f>
        <v>20.999999999999986</v>
      </c>
    </row>
    <row r="1582" spans="1:18" x14ac:dyDescent="0.25">
      <c r="A1582" t="s">
        <v>1675</v>
      </c>
      <c r="B1582" s="1">
        <v>45615</v>
      </c>
      <c r="C1582" t="s">
        <v>98</v>
      </c>
      <c r="D1582" t="s">
        <v>31</v>
      </c>
      <c r="E1582">
        <v>1</v>
      </c>
      <c r="F1582" s="2">
        <v>99.99</v>
      </c>
      <c r="G1582">
        <v>15</v>
      </c>
      <c r="H1582" s="2">
        <v>84.99</v>
      </c>
      <c r="I1582" s="2">
        <v>84.99</v>
      </c>
      <c r="J1582" t="s">
        <v>51</v>
      </c>
      <c r="K1582" t="s">
        <v>52</v>
      </c>
      <c r="L1582" t="s">
        <v>45</v>
      </c>
      <c r="M1582" t="s">
        <v>53</v>
      </c>
      <c r="N1582" t="s">
        <v>54</v>
      </c>
      <c r="O1582" t="s">
        <v>35</v>
      </c>
      <c r="Q1582" s="2">
        <f>Ventas[[#This Row],[precio_base]]*Ventas[[#This Row],[cantidad]]</f>
        <v>99.99</v>
      </c>
      <c r="R1582" s="2">
        <f>Ventas[[#This Row],[Total bruto (antes de descuento)]]-Ventas[[#This Row],[total_venta]]</f>
        <v>15</v>
      </c>
    </row>
    <row r="1583" spans="1:18" x14ac:dyDescent="0.25">
      <c r="A1583" t="s">
        <v>1676</v>
      </c>
      <c r="B1583" s="1">
        <v>45649</v>
      </c>
      <c r="C1583" t="s">
        <v>70</v>
      </c>
      <c r="D1583" t="s">
        <v>31</v>
      </c>
      <c r="E1583">
        <v>5</v>
      </c>
      <c r="F1583" s="2">
        <v>59.99</v>
      </c>
      <c r="G1583">
        <v>0</v>
      </c>
      <c r="H1583" s="2">
        <v>59.99</v>
      </c>
      <c r="I1583" s="2">
        <v>299.95</v>
      </c>
      <c r="J1583" t="s">
        <v>19</v>
      </c>
      <c r="K1583" t="s">
        <v>44</v>
      </c>
      <c r="L1583" t="s">
        <v>32</v>
      </c>
      <c r="M1583" t="s">
        <v>65</v>
      </c>
      <c r="N1583" t="s">
        <v>54</v>
      </c>
      <c r="O1583" t="s">
        <v>35</v>
      </c>
      <c r="P1583">
        <v>1</v>
      </c>
      <c r="Q1583" s="2">
        <f>Ventas[[#This Row],[precio_base]]*Ventas[[#This Row],[cantidad]]</f>
        <v>299.95</v>
      </c>
      <c r="R1583" s="2">
        <f>Ventas[[#This Row],[Total bruto (antes de descuento)]]-Ventas[[#This Row],[total_venta]]</f>
        <v>0</v>
      </c>
    </row>
    <row r="1584" spans="1:18" x14ac:dyDescent="0.25">
      <c r="A1584" t="s">
        <v>1677</v>
      </c>
      <c r="B1584" s="1">
        <v>45576</v>
      </c>
      <c r="C1584" t="s">
        <v>72</v>
      </c>
      <c r="D1584" t="s">
        <v>31</v>
      </c>
      <c r="E1584">
        <v>1</v>
      </c>
      <c r="F1584" s="2">
        <v>29.99</v>
      </c>
      <c r="G1584">
        <v>0</v>
      </c>
      <c r="H1584" s="2">
        <v>29.99</v>
      </c>
      <c r="I1584" s="2">
        <v>29.99</v>
      </c>
      <c r="J1584" t="s">
        <v>19</v>
      </c>
      <c r="K1584" t="s">
        <v>52</v>
      </c>
      <c r="L1584" t="s">
        <v>21</v>
      </c>
      <c r="M1584" t="s">
        <v>120</v>
      </c>
      <c r="N1584" t="s">
        <v>23</v>
      </c>
      <c r="O1584" t="s">
        <v>24</v>
      </c>
      <c r="P1584">
        <v>2</v>
      </c>
      <c r="Q1584" s="2">
        <f>Ventas[[#This Row],[precio_base]]*Ventas[[#This Row],[cantidad]]</f>
        <v>29.99</v>
      </c>
      <c r="R1584" s="2">
        <f>Ventas[[#This Row],[Total bruto (antes de descuento)]]-Ventas[[#This Row],[total_venta]]</f>
        <v>0</v>
      </c>
    </row>
    <row r="1585" spans="1:18" x14ac:dyDescent="0.25">
      <c r="A1585" t="s">
        <v>1678</v>
      </c>
      <c r="B1585" s="1">
        <v>45198</v>
      </c>
      <c r="C1585" t="s">
        <v>92</v>
      </c>
      <c r="D1585" t="s">
        <v>27</v>
      </c>
      <c r="E1585">
        <v>2</v>
      </c>
      <c r="F1585" s="2">
        <v>79.989999999999995</v>
      </c>
      <c r="G1585">
        <v>5</v>
      </c>
      <c r="H1585" s="2">
        <v>75.989999999999995</v>
      </c>
      <c r="I1585" s="2">
        <v>151.97999999999999</v>
      </c>
      <c r="J1585" t="s">
        <v>62</v>
      </c>
      <c r="K1585" t="s">
        <v>44</v>
      </c>
      <c r="L1585" t="s">
        <v>21</v>
      </c>
      <c r="M1585" t="s">
        <v>84</v>
      </c>
      <c r="N1585" t="s">
        <v>85</v>
      </c>
      <c r="O1585" t="s">
        <v>35</v>
      </c>
      <c r="Q1585" s="2">
        <f>Ventas[[#This Row],[precio_base]]*Ventas[[#This Row],[cantidad]]</f>
        <v>159.97999999999999</v>
      </c>
      <c r="R1585" s="2">
        <f>Ventas[[#This Row],[Total bruto (antes de descuento)]]-Ventas[[#This Row],[total_venta]]</f>
        <v>8</v>
      </c>
    </row>
    <row r="1586" spans="1:18" x14ac:dyDescent="0.25">
      <c r="A1586" t="s">
        <v>1679</v>
      </c>
      <c r="B1586" s="1">
        <v>45577</v>
      </c>
      <c r="C1586" t="s">
        <v>130</v>
      </c>
      <c r="D1586" t="s">
        <v>43</v>
      </c>
      <c r="E1586">
        <v>1</v>
      </c>
      <c r="F1586" s="2">
        <v>24.99</v>
      </c>
      <c r="G1586">
        <v>10</v>
      </c>
      <c r="H1586" s="2">
        <v>22.49</v>
      </c>
      <c r="I1586" s="2">
        <v>22.49</v>
      </c>
      <c r="J1586" t="s">
        <v>62</v>
      </c>
      <c r="K1586" t="s">
        <v>20</v>
      </c>
      <c r="L1586" t="s">
        <v>45</v>
      </c>
      <c r="M1586" t="s">
        <v>84</v>
      </c>
      <c r="N1586" t="s">
        <v>85</v>
      </c>
      <c r="O1586" t="s">
        <v>35</v>
      </c>
      <c r="Q1586" s="2">
        <f>Ventas[[#This Row],[precio_base]]*Ventas[[#This Row],[cantidad]]</f>
        <v>24.99</v>
      </c>
      <c r="R1586" s="2">
        <f>Ventas[[#This Row],[Total bruto (antes de descuento)]]-Ventas[[#This Row],[total_venta]]</f>
        <v>2.5</v>
      </c>
    </row>
    <row r="1587" spans="1:18" x14ac:dyDescent="0.25">
      <c r="A1587" t="s">
        <v>1680</v>
      </c>
      <c r="B1587" s="1">
        <v>45429</v>
      </c>
      <c r="C1587" t="s">
        <v>50</v>
      </c>
      <c r="D1587" t="s">
        <v>27</v>
      </c>
      <c r="E1587">
        <v>5</v>
      </c>
      <c r="F1587" s="2">
        <v>149.99</v>
      </c>
      <c r="G1587">
        <v>0</v>
      </c>
      <c r="H1587" s="2">
        <v>149.99</v>
      </c>
      <c r="I1587" s="2">
        <v>749.95</v>
      </c>
      <c r="J1587" t="s">
        <v>51</v>
      </c>
      <c r="K1587" t="s">
        <v>20</v>
      </c>
      <c r="L1587" t="s">
        <v>21</v>
      </c>
      <c r="M1587" t="s">
        <v>46</v>
      </c>
      <c r="N1587" t="s">
        <v>47</v>
      </c>
      <c r="O1587" t="s">
        <v>48</v>
      </c>
      <c r="Q1587" s="2">
        <f>Ventas[[#This Row],[precio_base]]*Ventas[[#This Row],[cantidad]]</f>
        <v>749.95</v>
      </c>
      <c r="R1587" s="2">
        <f>Ventas[[#This Row],[Total bruto (antes de descuento)]]-Ventas[[#This Row],[total_venta]]</f>
        <v>0</v>
      </c>
    </row>
    <row r="1588" spans="1:18" x14ac:dyDescent="0.25">
      <c r="A1588" t="s">
        <v>1681</v>
      </c>
      <c r="B1588" s="1">
        <v>45316</v>
      </c>
      <c r="C1588" t="s">
        <v>72</v>
      </c>
      <c r="D1588" t="s">
        <v>31</v>
      </c>
      <c r="E1588">
        <v>5</v>
      </c>
      <c r="F1588" s="2">
        <v>29.99</v>
      </c>
      <c r="G1588">
        <v>0</v>
      </c>
      <c r="H1588" s="2">
        <v>29.99</v>
      </c>
      <c r="I1588" s="2">
        <v>149.94999999999999</v>
      </c>
      <c r="J1588" t="s">
        <v>51</v>
      </c>
      <c r="K1588" t="s">
        <v>44</v>
      </c>
      <c r="L1588" t="s">
        <v>152</v>
      </c>
      <c r="M1588" t="s">
        <v>101</v>
      </c>
      <c r="N1588" t="s">
        <v>102</v>
      </c>
      <c r="O1588" t="s">
        <v>35</v>
      </c>
      <c r="Q1588" s="2">
        <f>Ventas[[#This Row],[precio_base]]*Ventas[[#This Row],[cantidad]]</f>
        <v>149.94999999999999</v>
      </c>
      <c r="R1588" s="2">
        <f>Ventas[[#This Row],[Total bruto (antes de descuento)]]-Ventas[[#This Row],[total_venta]]</f>
        <v>0</v>
      </c>
    </row>
    <row r="1589" spans="1:18" x14ac:dyDescent="0.25">
      <c r="A1589" t="s">
        <v>1682</v>
      </c>
      <c r="B1589" s="1">
        <v>45234</v>
      </c>
      <c r="C1589" t="s">
        <v>143</v>
      </c>
      <c r="D1589" t="s">
        <v>43</v>
      </c>
      <c r="E1589">
        <v>2</v>
      </c>
      <c r="F1589" s="2">
        <v>34.99</v>
      </c>
      <c r="G1589">
        <v>0</v>
      </c>
      <c r="H1589" s="2">
        <v>34.99</v>
      </c>
      <c r="I1589" s="2">
        <v>69.98</v>
      </c>
      <c r="J1589" t="s">
        <v>51</v>
      </c>
      <c r="K1589" t="s">
        <v>52</v>
      </c>
      <c r="L1589" t="s">
        <v>45</v>
      </c>
      <c r="M1589" t="s">
        <v>101</v>
      </c>
      <c r="N1589" t="s">
        <v>102</v>
      </c>
      <c r="O1589" t="s">
        <v>35</v>
      </c>
      <c r="Q1589" s="2">
        <f>Ventas[[#This Row],[precio_base]]*Ventas[[#This Row],[cantidad]]</f>
        <v>69.98</v>
      </c>
      <c r="R1589" s="2">
        <f>Ventas[[#This Row],[Total bruto (antes de descuento)]]-Ventas[[#This Row],[total_venta]]</f>
        <v>0</v>
      </c>
    </row>
    <row r="1590" spans="1:18" x14ac:dyDescent="0.25">
      <c r="A1590" t="s">
        <v>1683</v>
      </c>
      <c r="B1590" s="1">
        <v>45292</v>
      </c>
      <c r="C1590" t="s">
        <v>50</v>
      </c>
      <c r="D1590" t="s">
        <v>27</v>
      </c>
      <c r="E1590">
        <v>4</v>
      </c>
      <c r="F1590" s="2">
        <v>149.99</v>
      </c>
      <c r="G1590">
        <v>0</v>
      </c>
      <c r="H1590" s="2">
        <v>149.99</v>
      </c>
      <c r="I1590" s="2">
        <v>599.96</v>
      </c>
      <c r="J1590" t="s">
        <v>19</v>
      </c>
      <c r="K1590" t="s">
        <v>57</v>
      </c>
      <c r="L1590" t="s">
        <v>32</v>
      </c>
      <c r="M1590" t="s">
        <v>95</v>
      </c>
      <c r="N1590" t="s">
        <v>96</v>
      </c>
      <c r="O1590" t="s">
        <v>48</v>
      </c>
      <c r="P1590">
        <v>3</v>
      </c>
      <c r="Q1590" s="2">
        <f>Ventas[[#This Row],[precio_base]]*Ventas[[#This Row],[cantidad]]</f>
        <v>599.96</v>
      </c>
      <c r="R1590" s="2">
        <f>Ventas[[#This Row],[Total bruto (antes de descuento)]]-Ventas[[#This Row],[total_venta]]</f>
        <v>0</v>
      </c>
    </row>
    <row r="1591" spans="1:18" x14ac:dyDescent="0.25">
      <c r="A1591" t="s">
        <v>1684</v>
      </c>
      <c r="B1591" s="1">
        <v>45356</v>
      </c>
      <c r="C1591" t="s">
        <v>151</v>
      </c>
      <c r="D1591" t="s">
        <v>27</v>
      </c>
      <c r="E1591">
        <v>3</v>
      </c>
      <c r="F1591" s="2">
        <v>599.99</v>
      </c>
      <c r="G1591">
        <v>0</v>
      </c>
      <c r="H1591" s="2">
        <v>599.99</v>
      </c>
      <c r="I1591" s="2">
        <v>1799.97</v>
      </c>
      <c r="J1591" t="s">
        <v>51</v>
      </c>
      <c r="K1591" t="s">
        <v>20</v>
      </c>
      <c r="L1591" t="s">
        <v>152</v>
      </c>
      <c r="M1591" t="s">
        <v>95</v>
      </c>
      <c r="N1591" t="s">
        <v>96</v>
      </c>
      <c r="O1591" t="s">
        <v>48</v>
      </c>
      <c r="Q1591" s="2">
        <f>Ventas[[#This Row],[precio_base]]*Ventas[[#This Row],[cantidad]]</f>
        <v>1799.97</v>
      </c>
      <c r="R1591" s="2">
        <f>Ventas[[#This Row],[Total bruto (antes de descuento)]]-Ventas[[#This Row],[total_venta]]</f>
        <v>0</v>
      </c>
    </row>
    <row r="1592" spans="1:18" x14ac:dyDescent="0.25">
      <c r="A1592" t="s">
        <v>1685</v>
      </c>
      <c r="B1592" s="1">
        <v>45603</v>
      </c>
      <c r="C1592" t="s">
        <v>17</v>
      </c>
      <c r="D1592" t="s">
        <v>18</v>
      </c>
      <c r="E1592">
        <v>3</v>
      </c>
      <c r="F1592" s="2">
        <v>45.99</v>
      </c>
      <c r="G1592">
        <v>15</v>
      </c>
      <c r="H1592" s="2">
        <v>39.090000000000003</v>
      </c>
      <c r="I1592" s="2">
        <v>117.27</v>
      </c>
      <c r="J1592" t="s">
        <v>19</v>
      </c>
      <c r="K1592" t="s">
        <v>52</v>
      </c>
      <c r="L1592" t="s">
        <v>45</v>
      </c>
      <c r="M1592" t="s">
        <v>63</v>
      </c>
      <c r="N1592" t="s">
        <v>34</v>
      </c>
      <c r="O1592" t="s">
        <v>24</v>
      </c>
      <c r="P1592">
        <v>4</v>
      </c>
      <c r="Q1592" s="2">
        <f>Ventas[[#This Row],[precio_base]]*Ventas[[#This Row],[cantidad]]</f>
        <v>137.97</v>
      </c>
      <c r="R1592" s="2">
        <f>Ventas[[#This Row],[Total bruto (antes de descuento)]]-Ventas[[#This Row],[total_venta]]</f>
        <v>20.700000000000003</v>
      </c>
    </row>
    <row r="1593" spans="1:18" x14ac:dyDescent="0.25">
      <c r="A1593" t="s">
        <v>1686</v>
      </c>
      <c r="B1593" s="1">
        <v>45542</v>
      </c>
      <c r="C1593" t="s">
        <v>37</v>
      </c>
      <c r="D1593" t="s">
        <v>38</v>
      </c>
      <c r="E1593">
        <v>2</v>
      </c>
      <c r="F1593" s="2">
        <v>34.99</v>
      </c>
      <c r="G1593">
        <v>0</v>
      </c>
      <c r="H1593" s="2">
        <v>34.99</v>
      </c>
      <c r="I1593" s="2">
        <v>69.98</v>
      </c>
      <c r="J1593" t="s">
        <v>19</v>
      </c>
      <c r="K1593" t="s">
        <v>20</v>
      </c>
      <c r="L1593" t="s">
        <v>32</v>
      </c>
      <c r="M1593" t="s">
        <v>65</v>
      </c>
      <c r="N1593" t="s">
        <v>54</v>
      </c>
      <c r="O1593" t="s">
        <v>35</v>
      </c>
      <c r="P1593">
        <v>4</v>
      </c>
      <c r="Q1593" s="2">
        <f>Ventas[[#This Row],[precio_base]]*Ventas[[#This Row],[cantidad]]</f>
        <v>69.98</v>
      </c>
      <c r="R1593" s="2">
        <f>Ventas[[#This Row],[Total bruto (antes de descuento)]]-Ventas[[#This Row],[total_venta]]</f>
        <v>0</v>
      </c>
    </row>
    <row r="1594" spans="1:18" x14ac:dyDescent="0.25">
      <c r="A1594" t="s">
        <v>1687</v>
      </c>
      <c r="B1594" s="1">
        <v>44989</v>
      </c>
      <c r="C1594" t="s">
        <v>50</v>
      </c>
      <c r="D1594" t="s">
        <v>27</v>
      </c>
      <c r="E1594">
        <v>3</v>
      </c>
      <c r="F1594" s="2">
        <v>149.99</v>
      </c>
      <c r="G1594">
        <v>0</v>
      </c>
      <c r="H1594" s="2">
        <v>149.99</v>
      </c>
      <c r="I1594" s="2">
        <v>449.97</v>
      </c>
      <c r="J1594" t="s">
        <v>51</v>
      </c>
      <c r="K1594" t="s">
        <v>20</v>
      </c>
      <c r="L1594" t="s">
        <v>45</v>
      </c>
      <c r="M1594" t="s">
        <v>120</v>
      </c>
      <c r="N1594" t="s">
        <v>23</v>
      </c>
      <c r="O1594" t="s">
        <v>24</v>
      </c>
      <c r="Q1594" s="2">
        <f>Ventas[[#This Row],[precio_base]]*Ventas[[#This Row],[cantidad]]</f>
        <v>449.97</v>
      </c>
      <c r="R1594" s="2">
        <f>Ventas[[#This Row],[Total bruto (antes de descuento)]]-Ventas[[#This Row],[total_venta]]</f>
        <v>0</v>
      </c>
    </row>
    <row r="1595" spans="1:18" x14ac:dyDescent="0.25">
      <c r="A1595" t="s">
        <v>1688</v>
      </c>
      <c r="B1595" s="1">
        <v>45335</v>
      </c>
      <c r="C1595" t="s">
        <v>61</v>
      </c>
      <c r="D1595" t="s">
        <v>38</v>
      </c>
      <c r="E1595">
        <v>1</v>
      </c>
      <c r="F1595" s="2">
        <v>19.989999999999998</v>
      </c>
      <c r="G1595">
        <v>0</v>
      </c>
      <c r="H1595" s="2">
        <v>19.989999999999998</v>
      </c>
      <c r="I1595" s="2">
        <v>19.989999999999998</v>
      </c>
      <c r="J1595" t="s">
        <v>19</v>
      </c>
      <c r="K1595" t="s">
        <v>20</v>
      </c>
      <c r="L1595" t="s">
        <v>32</v>
      </c>
      <c r="M1595" t="s">
        <v>22</v>
      </c>
      <c r="N1595" t="s">
        <v>23</v>
      </c>
      <c r="O1595" t="s">
        <v>24</v>
      </c>
      <c r="P1595">
        <v>3</v>
      </c>
      <c r="Q1595" s="2">
        <f>Ventas[[#This Row],[precio_base]]*Ventas[[#This Row],[cantidad]]</f>
        <v>19.989999999999998</v>
      </c>
      <c r="R1595" s="2">
        <f>Ventas[[#This Row],[Total bruto (antes de descuento)]]-Ventas[[#This Row],[total_venta]]</f>
        <v>0</v>
      </c>
    </row>
    <row r="1596" spans="1:18" x14ac:dyDescent="0.25">
      <c r="A1596" t="s">
        <v>1689</v>
      </c>
      <c r="B1596" s="1">
        <v>45385</v>
      </c>
      <c r="C1596" t="s">
        <v>37</v>
      </c>
      <c r="D1596" t="s">
        <v>38</v>
      </c>
      <c r="E1596">
        <v>2</v>
      </c>
      <c r="F1596" s="2">
        <v>34.99</v>
      </c>
      <c r="G1596">
        <v>10</v>
      </c>
      <c r="H1596" s="2">
        <v>31.49</v>
      </c>
      <c r="I1596" s="2">
        <v>62.98</v>
      </c>
      <c r="J1596" t="s">
        <v>62</v>
      </c>
      <c r="K1596" t="s">
        <v>20</v>
      </c>
      <c r="L1596" t="s">
        <v>28</v>
      </c>
      <c r="M1596" t="s">
        <v>65</v>
      </c>
      <c r="N1596" t="s">
        <v>54</v>
      </c>
      <c r="O1596" t="s">
        <v>35</v>
      </c>
      <c r="Q1596" s="2">
        <f>Ventas[[#This Row],[precio_base]]*Ventas[[#This Row],[cantidad]]</f>
        <v>69.98</v>
      </c>
      <c r="R1596" s="2">
        <f>Ventas[[#This Row],[Total bruto (antes de descuento)]]-Ventas[[#This Row],[total_venta]]</f>
        <v>7.0000000000000071</v>
      </c>
    </row>
    <row r="1597" spans="1:18" x14ac:dyDescent="0.25">
      <c r="A1597" t="s">
        <v>1690</v>
      </c>
      <c r="B1597" s="1">
        <v>45555</v>
      </c>
      <c r="C1597" t="s">
        <v>156</v>
      </c>
      <c r="D1597" t="s">
        <v>27</v>
      </c>
      <c r="E1597">
        <v>3</v>
      </c>
      <c r="F1597" s="2">
        <v>49.99</v>
      </c>
      <c r="G1597">
        <v>0</v>
      </c>
      <c r="H1597" s="2">
        <v>49.99</v>
      </c>
      <c r="I1597" s="2">
        <v>149.97</v>
      </c>
      <c r="J1597" t="s">
        <v>51</v>
      </c>
      <c r="K1597" t="s">
        <v>57</v>
      </c>
      <c r="L1597" t="s">
        <v>21</v>
      </c>
      <c r="M1597" t="s">
        <v>46</v>
      </c>
      <c r="N1597" t="s">
        <v>47</v>
      </c>
      <c r="O1597" t="s">
        <v>48</v>
      </c>
      <c r="Q1597" s="2">
        <f>Ventas[[#This Row],[precio_base]]*Ventas[[#This Row],[cantidad]]</f>
        <v>149.97</v>
      </c>
      <c r="R1597" s="2">
        <f>Ventas[[#This Row],[Total bruto (antes de descuento)]]-Ventas[[#This Row],[total_venta]]</f>
        <v>0</v>
      </c>
    </row>
    <row r="1598" spans="1:18" x14ac:dyDescent="0.25">
      <c r="A1598" t="s">
        <v>1691</v>
      </c>
      <c r="B1598" s="1">
        <v>45315</v>
      </c>
      <c r="C1598" t="s">
        <v>56</v>
      </c>
      <c r="D1598" t="s">
        <v>18</v>
      </c>
      <c r="E1598">
        <v>3</v>
      </c>
      <c r="F1598" s="2">
        <v>89.99</v>
      </c>
      <c r="G1598">
        <v>0</v>
      </c>
      <c r="H1598" s="2">
        <v>89.99</v>
      </c>
      <c r="I1598" s="2">
        <v>269.97000000000003</v>
      </c>
      <c r="J1598" t="s">
        <v>51</v>
      </c>
      <c r="K1598" t="s">
        <v>20</v>
      </c>
      <c r="L1598" t="s">
        <v>21</v>
      </c>
      <c r="M1598" t="s">
        <v>65</v>
      </c>
      <c r="N1598" t="s">
        <v>54</v>
      </c>
      <c r="O1598" t="s">
        <v>35</v>
      </c>
      <c r="Q1598" s="2">
        <f>Ventas[[#This Row],[precio_base]]*Ventas[[#This Row],[cantidad]]</f>
        <v>269.96999999999997</v>
      </c>
      <c r="R1598" s="2">
        <f>Ventas[[#This Row],[Total bruto (antes de descuento)]]-Ventas[[#This Row],[total_venta]]</f>
        <v>0</v>
      </c>
    </row>
    <row r="1599" spans="1:18" x14ac:dyDescent="0.25">
      <c r="A1599" t="s">
        <v>1692</v>
      </c>
      <c r="B1599" s="1">
        <v>45142</v>
      </c>
      <c r="C1599" t="s">
        <v>89</v>
      </c>
      <c r="D1599" t="s">
        <v>38</v>
      </c>
      <c r="E1599">
        <v>5</v>
      </c>
      <c r="F1599" s="2">
        <v>69.989999999999995</v>
      </c>
      <c r="G1599">
        <v>0</v>
      </c>
      <c r="H1599" s="2">
        <v>69.989999999999995</v>
      </c>
      <c r="I1599" s="2">
        <v>349.95</v>
      </c>
      <c r="J1599" t="s">
        <v>116</v>
      </c>
      <c r="K1599" t="s">
        <v>44</v>
      </c>
      <c r="L1599" t="s">
        <v>32</v>
      </c>
      <c r="M1599" t="s">
        <v>67</v>
      </c>
      <c r="N1599" t="s">
        <v>68</v>
      </c>
      <c r="O1599" t="s">
        <v>35</v>
      </c>
      <c r="Q1599" s="2">
        <f>Ventas[[#This Row],[precio_base]]*Ventas[[#This Row],[cantidad]]</f>
        <v>349.95</v>
      </c>
      <c r="R1599" s="2">
        <f>Ventas[[#This Row],[Total bruto (antes de descuento)]]-Ventas[[#This Row],[total_venta]]</f>
        <v>0</v>
      </c>
    </row>
    <row r="1600" spans="1:18" x14ac:dyDescent="0.25">
      <c r="A1600" t="s">
        <v>1693</v>
      </c>
      <c r="B1600" s="1">
        <v>45161</v>
      </c>
      <c r="C1600" t="s">
        <v>83</v>
      </c>
      <c r="D1600" t="s">
        <v>38</v>
      </c>
      <c r="E1600">
        <v>2</v>
      </c>
      <c r="F1600" s="2">
        <v>49.99</v>
      </c>
      <c r="G1600">
        <v>0</v>
      </c>
      <c r="H1600" s="2">
        <v>49.99</v>
      </c>
      <c r="I1600" s="2">
        <v>99.98</v>
      </c>
      <c r="J1600" t="s">
        <v>19</v>
      </c>
      <c r="K1600" t="s">
        <v>44</v>
      </c>
      <c r="L1600" t="s">
        <v>21</v>
      </c>
      <c r="M1600" t="s">
        <v>22</v>
      </c>
      <c r="N1600" t="s">
        <v>23</v>
      </c>
      <c r="O1600" t="s">
        <v>24</v>
      </c>
      <c r="P1600">
        <v>1</v>
      </c>
      <c r="Q1600" s="2">
        <f>Ventas[[#This Row],[precio_base]]*Ventas[[#This Row],[cantidad]]</f>
        <v>99.98</v>
      </c>
      <c r="R1600" s="2">
        <f>Ventas[[#This Row],[Total bruto (antes de descuento)]]-Ventas[[#This Row],[total_venta]]</f>
        <v>0</v>
      </c>
    </row>
    <row r="1601" spans="1:18" x14ac:dyDescent="0.25">
      <c r="A1601" t="s">
        <v>1694</v>
      </c>
      <c r="B1601" s="1">
        <v>44963</v>
      </c>
      <c r="C1601" t="s">
        <v>42</v>
      </c>
      <c r="D1601" t="s">
        <v>43</v>
      </c>
      <c r="E1601">
        <v>1</v>
      </c>
      <c r="F1601" s="2">
        <v>349.99</v>
      </c>
      <c r="G1601">
        <v>20</v>
      </c>
      <c r="H1601" s="2">
        <v>279.99</v>
      </c>
      <c r="I1601" s="2">
        <v>279.99</v>
      </c>
      <c r="J1601" t="s">
        <v>90</v>
      </c>
      <c r="K1601" t="s">
        <v>44</v>
      </c>
      <c r="L1601" t="s">
        <v>28</v>
      </c>
      <c r="M1601" t="s">
        <v>95</v>
      </c>
      <c r="N1601" t="s">
        <v>96</v>
      </c>
      <c r="O1601" t="s">
        <v>48</v>
      </c>
      <c r="Q1601" s="2">
        <f>Ventas[[#This Row],[precio_base]]*Ventas[[#This Row],[cantidad]]</f>
        <v>349.99</v>
      </c>
      <c r="R1601" s="2">
        <f>Ventas[[#This Row],[Total bruto (antes de descuento)]]-Ventas[[#This Row],[total_venta]]</f>
        <v>70</v>
      </c>
    </row>
    <row r="1602" spans="1:18" x14ac:dyDescent="0.25">
      <c r="A1602" t="s">
        <v>1695</v>
      </c>
      <c r="B1602" s="1">
        <v>44970</v>
      </c>
      <c r="C1602" t="s">
        <v>205</v>
      </c>
      <c r="D1602" t="s">
        <v>18</v>
      </c>
      <c r="E1602">
        <v>3</v>
      </c>
      <c r="F1602" s="2">
        <v>129.99</v>
      </c>
      <c r="G1602">
        <v>0</v>
      </c>
      <c r="H1602" s="2">
        <v>129.99</v>
      </c>
      <c r="I1602" s="2">
        <v>389.97</v>
      </c>
      <c r="J1602" t="s">
        <v>19</v>
      </c>
      <c r="K1602" t="s">
        <v>52</v>
      </c>
      <c r="L1602" t="s">
        <v>21</v>
      </c>
      <c r="M1602" t="s">
        <v>73</v>
      </c>
      <c r="N1602" t="s">
        <v>74</v>
      </c>
      <c r="O1602" t="s">
        <v>35</v>
      </c>
      <c r="P1602">
        <v>3</v>
      </c>
      <c r="Q1602" s="2">
        <f>Ventas[[#This Row],[precio_base]]*Ventas[[#This Row],[cantidad]]</f>
        <v>389.97</v>
      </c>
      <c r="R1602" s="2">
        <f>Ventas[[#This Row],[Total bruto (antes de descuento)]]-Ventas[[#This Row],[total_venta]]</f>
        <v>0</v>
      </c>
    </row>
    <row r="1603" spans="1:18" x14ac:dyDescent="0.25">
      <c r="A1603" t="s">
        <v>1696</v>
      </c>
      <c r="B1603" s="1">
        <v>45053</v>
      </c>
      <c r="C1603" t="s">
        <v>143</v>
      </c>
      <c r="D1603" t="s">
        <v>43</v>
      </c>
      <c r="E1603">
        <v>4</v>
      </c>
      <c r="F1603" s="2">
        <v>34.99</v>
      </c>
      <c r="G1603">
        <v>15</v>
      </c>
      <c r="H1603" s="2">
        <v>29.74</v>
      </c>
      <c r="I1603" s="2">
        <v>118.96</v>
      </c>
      <c r="J1603" t="s">
        <v>19</v>
      </c>
      <c r="K1603" t="s">
        <v>44</v>
      </c>
      <c r="L1603" t="s">
        <v>21</v>
      </c>
      <c r="M1603" t="s">
        <v>67</v>
      </c>
      <c r="N1603" t="s">
        <v>68</v>
      </c>
      <c r="O1603" t="s">
        <v>35</v>
      </c>
      <c r="P1603">
        <v>1</v>
      </c>
      <c r="Q1603" s="2">
        <f>Ventas[[#This Row],[precio_base]]*Ventas[[#This Row],[cantidad]]</f>
        <v>139.96</v>
      </c>
      <c r="R1603" s="2">
        <f>Ventas[[#This Row],[Total bruto (antes de descuento)]]-Ventas[[#This Row],[total_venta]]</f>
        <v>21.000000000000014</v>
      </c>
    </row>
    <row r="1604" spans="1:18" x14ac:dyDescent="0.25">
      <c r="A1604" t="s">
        <v>1697</v>
      </c>
      <c r="B1604" s="1">
        <v>45005</v>
      </c>
      <c r="C1604" t="s">
        <v>56</v>
      </c>
      <c r="D1604" t="s">
        <v>18</v>
      </c>
      <c r="E1604">
        <v>5</v>
      </c>
      <c r="F1604" s="2">
        <v>89.99</v>
      </c>
      <c r="G1604">
        <v>15</v>
      </c>
      <c r="H1604" s="2">
        <v>76.489999999999995</v>
      </c>
      <c r="I1604" s="2">
        <v>382.45</v>
      </c>
      <c r="J1604" t="s">
        <v>51</v>
      </c>
      <c r="K1604" t="s">
        <v>20</v>
      </c>
      <c r="L1604" t="s">
        <v>21</v>
      </c>
      <c r="M1604" t="s">
        <v>84</v>
      </c>
      <c r="N1604" t="s">
        <v>85</v>
      </c>
      <c r="O1604" t="s">
        <v>35</v>
      </c>
      <c r="Q1604" s="2">
        <f>Ventas[[#This Row],[precio_base]]*Ventas[[#This Row],[cantidad]]</f>
        <v>449.95</v>
      </c>
      <c r="R1604" s="2">
        <f>Ventas[[#This Row],[Total bruto (antes de descuento)]]-Ventas[[#This Row],[total_venta]]</f>
        <v>67.5</v>
      </c>
    </row>
    <row r="1605" spans="1:18" x14ac:dyDescent="0.25">
      <c r="A1605" t="s">
        <v>1698</v>
      </c>
      <c r="B1605" s="1">
        <v>45481</v>
      </c>
      <c r="C1605" t="s">
        <v>156</v>
      </c>
      <c r="D1605" t="s">
        <v>27</v>
      </c>
      <c r="E1605">
        <v>2</v>
      </c>
      <c r="F1605" s="2">
        <v>49.99</v>
      </c>
      <c r="G1605">
        <v>0</v>
      </c>
      <c r="H1605" s="2">
        <v>49.99</v>
      </c>
      <c r="I1605" s="2">
        <v>99.98</v>
      </c>
      <c r="J1605" t="s">
        <v>51</v>
      </c>
      <c r="K1605" t="s">
        <v>20</v>
      </c>
      <c r="L1605" t="s">
        <v>32</v>
      </c>
      <c r="M1605" t="s">
        <v>39</v>
      </c>
      <c r="N1605" t="s">
        <v>40</v>
      </c>
      <c r="O1605" t="s">
        <v>35</v>
      </c>
      <c r="Q1605" s="2">
        <f>Ventas[[#This Row],[precio_base]]*Ventas[[#This Row],[cantidad]]</f>
        <v>99.98</v>
      </c>
      <c r="R1605" s="2">
        <f>Ventas[[#This Row],[Total bruto (antes de descuento)]]-Ventas[[#This Row],[total_venta]]</f>
        <v>0</v>
      </c>
    </row>
    <row r="1606" spans="1:18" x14ac:dyDescent="0.25">
      <c r="A1606" t="s">
        <v>1699</v>
      </c>
      <c r="B1606" s="1">
        <v>45246</v>
      </c>
      <c r="C1606" t="s">
        <v>70</v>
      </c>
      <c r="D1606" t="s">
        <v>31</v>
      </c>
      <c r="E1606">
        <v>3</v>
      </c>
      <c r="F1606" s="2">
        <v>59.99</v>
      </c>
      <c r="G1606">
        <v>5</v>
      </c>
      <c r="H1606" s="2">
        <v>56.99</v>
      </c>
      <c r="I1606" s="2">
        <v>170.97</v>
      </c>
      <c r="J1606" t="s">
        <v>19</v>
      </c>
      <c r="K1606" t="s">
        <v>20</v>
      </c>
      <c r="L1606" t="s">
        <v>45</v>
      </c>
      <c r="M1606" t="s">
        <v>46</v>
      </c>
      <c r="N1606" t="s">
        <v>47</v>
      </c>
      <c r="O1606" t="s">
        <v>48</v>
      </c>
      <c r="P1606">
        <v>1</v>
      </c>
      <c r="Q1606" s="2">
        <f>Ventas[[#This Row],[precio_base]]*Ventas[[#This Row],[cantidad]]</f>
        <v>179.97</v>
      </c>
      <c r="R1606" s="2">
        <f>Ventas[[#This Row],[Total bruto (antes de descuento)]]-Ventas[[#This Row],[total_venta]]</f>
        <v>9</v>
      </c>
    </row>
    <row r="1607" spans="1:18" x14ac:dyDescent="0.25">
      <c r="A1607" t="s">
        <v>1700</v>
      </c>
      <c r="B1607" s="1">
        <v>45197</v>
      </c>
      <c r="C1607" t="s">
        <v>72</v>
      </c>
      <c r="D1607" t="s">
        <v>31</v>
      </c>
      <c r="E1607">
        <v>5</v>
      </c>
      <c r="F1607" s="2">
        <v>29.99</v>
      </c>
      <c r="G1607">
        <v>5</v>
      </c>
      <c r="H1607" s="2">
        <v>28.49</v>
      </c>
      <c r="I1607" s="2">
        <v>142.44999999999999</v>
      </c>
      <c r="J1607" t="s">
        <v>19</v>
      </c>
      <c r="K1607" t="s">
        <v>20</v>
      </c>
      <c r="L1607" t="s">
        <v>152</v>
      </c>
      <c r="M1607" t="s">
        <v>120</v>
      </c>
      <c r="N1607" t="s">
        <v>23</v>
      </c>
      <c r="O1607" t="s">
        <v>24</v>
      </c>
      <c r="P1607">
        <v>5</v>
      </c>
      <c r="Q1607" s="2">
        <f>Ventas[[#This Row],[precio_base]]*Ventas[[#This Row],[cantidad]]</f>
        <v>149.94999999999999</v>
      </c>
      <c r="R1607" s="2">
        <f>Ventas[[#This Row],[Total bruto (antes de descuento)]]-Ventas[[#This Row],[total_venta]]</f>
        <v>7.5</v>
      </c>
    </row>
    <row r="1608" spans="1:18" x14ac:dyDescent="0.25">
      <c r="A1608" t="s">
        <v>1701</v>
      </c>
      <c r="B1608" s="1">
        <v>45212</v>
      </c>
      <c r="C1608" t="s">
        <v>92</v>
      </c>
      <c r="D1608" t="s">
        <v>27</v>
      </c>
      <c r="E1608">
        <v>3</v>
      </c>
      <c r="F1608" s="2">
        <v>79.989999999999995</v>
      </c>
      <c r="G1608">
        <v>15</v>
      </c>
      <c r="H1608" s="2">
        <v>67.989999999999995</v>
      </c>
      <c r="I1608" s="2">
        <v>203.97</v>
      </c>
      <c r="J1608" t="s">
        <v>19</v>
      </c>
      <c r="K1608" t="s">
        <v>20</v>
      </c>
      <c r="L1608" t="s">
        <v>152</v>
      </c>
      <c r="M1608" t="s">
        <v>22</v>
      </c>
      <c r="N1608" t="s">
        <v>23</v>
      </c>
      <c r="O1608" t="s">
        <v>24</v>
      </c>
      <c r="P1608">
        <v>4</v>
      </c>
      <c r="Q1608" s="2">
        <f>Ventas[[#This Row],[precio_base]]*Ventas[[#This Row],[cantidad]]</f>
        <v>239.96999999999997</v>
      </c>
      <c r="R1608" s="2">
        <f>Ventas[[#This Row],[Total bruto (antes de descuento)]]-Ventas[[#This Row],[total_venta]]</f>
        <v>35.999999999999972</v>
      </c>
    </row>
    <row r="1609" spans="1:18" x14ac:dyDescent="0.25">
      <c r="A1609" t="s">
        <v>1702</v>
      </c>
      <c r="B1609" s="1">
        <v>45308</v>
      </c>
      <c r="C1609" t="s">
        <v>98</v>
      </c>
      <c r="D1609" t="s">
        <v>31</v>
      </c>
      <c r="E1609">
        <v>5</v>
      </c>
      <c r="F1609" s="2">
        <v>99.99</v>
      </c>
      <c r="G1609">
        <v>15</v>
      </c>
      <c r="H1609" s="2">
        <v>84.99</v>
      </c>
      <c r="I1609" s="2">
        <v>424.95</v>
      </c>
      <c r="J1609" t="s">
        <v>19</v>
      </c>
      <c r="K1609" t="s">
        <v>44</v>
      </c>
      <c r="L1609" t="s">
        <v>21</v>
      </c>
      <c r="M1609" t="s">
        <v>22</v>
      </c>
      <c r="N1609" t="s">
        <v>23</v>
      </c>
      <c r="O1609" t="s">
        <v>24</v>
      </c>
      <c r="P1609">
        <v>2</v>
      </c>
      <c r="Q1609" s="2">
        <f>Ventas[[#This Row],[precio_base]]*Ventas[[#This Row],[cantidad]]</f>
        <v>499.95</v>
      </c>
      <c r="R1609" s="2">
        <f>Ventas[[#This Row],[Total bruto (antes de descuento)]]-Ventas[[#This Row],[total_venta]]</f>
        <v>75</v>
      </c>
    </row>
    <row r="1610" spans="1:18" x14ac:dyDescent="0.25">
      <c r="A1610" t="s">
        <v>1703</v>
      </c>
      <c r="B1610" s="1">
        <v>45384</v>
      </c>
      <c r="C1610" t="s">
        <v>89</v>
      </c>
      <c r="D1610" t="s">
        <v>38</v>
      </c>
      <c r="E1610">
        <v>4</v>
      </c>
      <c r="F1610" s="2">
        <v>69.989999999999995</v>
      </c>
      <c r="G1610">
        <v>10</v>
      </c>
      <c r="H1610" s="2">
        <v>62.99</v>
      </c>
      <c r="I1610" s="2">
        <v>251.96</v>
      </c>
      <c r="J1610" t="s">
        <v>19</v>
      </c>
      <c r="K1610" t="s">
        <v>20</v>
      </c>
      <c r="L1610" t="s">
        <v>32</v>
      </c>
      <c r="M1610" t="s">
        <v>58</v>
      </c>
      <c r="N1610" t="s">
        <v>59</v>
      </c>
      <c r="O1610" t="s">
        <v>24</v>
      </c>
      <c r="P1610">
        <v>1</v>
      </c>
      <c r="Q1610" s="2">
        <f>Ventas[[#This Row],[precio_base]]*Ventas[[#This Row],[cantidad]]</f>
        <v>279.95999999999998</v>
      </c>
      <c r="R1610" s="2">
        <f>Ventas[[#This Row],[Total bruto (antes de descuento)]]-Ventas[[#This Row],[total_venta]]</f>
        <v>27.999999999999972</v>
      </c>
    </row>
    <row r="1611" spans="1:18" x14ac:dyDescent="0.25">
      <c r="A1611" t="s">
        <v>1704</v>
      </c>
      <c r="B1611" s="1">
        <v>45024</v>
      </c>
      <c r="C1611" t="s">
        <v>50</v>
      </c>
      <c r="D1611" t="s">
        <v>27</v>
      </c>
      <c r="E1611">
        <v>2</v>
      </c>
      <c r="F1611" s="2">
        <v>149.99</v>
      </c>
      <c r="G1611">
        <v>0</v>
      </c>
      <c r="H1611" s="2">
        <v>149.99</v>
      </c>
      <c r="I1611" s="2">
        <v>299.98</v>
      </c>
      <c r="J1611" t="s">
        <v>62</v>
      </c>
      <c r="K1611" t="s">
        <v>44</v>
      </c>
      <c r="L1611" t="s">
        <v>21</v>
      </c>
      <c r="M1611" t="s">
        <v>101</v>
      </c>
      <c r="N1611" t="s">
        <v>102</v>
      </c>
      <c r="O1611" t="s">
        <v>35</v>
      </c>
      <c r="Q1611" s="2">
        <f>Ventas[[#This Row],[precio_base]]*Ventas[[#This Row],[cantidad]]</f>
        <v>299.98</v>
      </c>
      <c r="R1611" s="2">
        <f>Ventas[[#This Row],[Total bruto (antes de descuento)]]-Ventas[[#This Row],[total_venta]]</f>
        <v>0</v>
      </c>
    </row>
    <row r="1612" spans="1:18" x14ac:dyDescent="0.25">
      <c r="A1612" t="s">
        <v>1705</v>
      </c>
      <c r="B1612" s="1">
        <v>45339</v>
      </c>
      <c r="C1612" t="s">
        <v>156</v>
      </c>
      <c r="D1612" t="s">
        <v>27</v>
      </c>
      <c r="E1612">
        <v>4</v>
      </c>
      <c r="F1612" s="2">
        <v>49.99</v>
      </c>
      <c r="G1612">
        <v>10</v>
      </c>
      <c r="H1612" s="2">
        <v>44.99</v>
      </c>
      <c r="I1612" s="2">
        <v>179.96</v>
      </c>
      <c r="J1612" t="s">
        <v>51</v>
      </c>
      <c r="K1612" t="s">
        <v>52</v>
      </c>
      <c r="L1612" t="s">
        <v>21</v>
      </c>
      <c r="M1612" t="s">
        <v>33</v>
      </c>
      <c r="N1612" t="s">
        <v>34</v>
      </c>
      <c r="O1612" t="s">
        <v>35</v>
      </c>
      <c r="Q1612" s="2">
        <f>Ventas[[#This Row],[precio_base]]*Ventas[[#This Row],[cantidad]]</f>
        <v>199.96</v>
      </c>
      <c r="R1612" s="2">
        <f>Ventas[[#This Row],[Total bruto (antes de descuento)]]-Ventas[[#This Row],[total_venta]]</f>
        <v>20</v>
      </c>
    </row>
    <row r="1613" spans="1:18" x14ac:dyDescent="0.25">
      <c r="A1613" t="s">
        <v>1706</v>
      </c>
      <c r="B1613" s="1">
        <v>45432</v>
      </c>
      <c r="C1613" t="s">
        <v>61</v>
      </c>
      <c r="D1613" t="s">
        <v>38</v>
      </c>
      <c r="E1613">
        <v>4</v>
      </c>
      <c r="F1613" s="2">
        <v>19.989999999999998</v>
      </c>
      <c r="G1613">
        <v>0</v>
      </c>
      <c r="H1613" s="2">
        <v>19.989999999999998</v>
      </c>
      <c r="I1613" s="2">
        <v>79.959999999999994</v>
      </c>
      <c r="J1613" t="s">
        <v>51</v>
      </c>
      <c r="K1613" t="s">
        <v>20</v>
      </c>
      <c r="L1613" t="s">
        <v>21</v>
      </c>
      <c r="M1613" t="s">
        <v>67</v>
      </c>
      <c r="N1613" t="s">
        <v>68</v>
      </c>
      <c r="O1613" t="s">
        <v>35</v>
      </c>
      <c r="Q1613" s="2">
        <f>Ventas[[#This Row],[precio_base]]*Ventas[[#This Row],[cantidad]]</f>
        <v>79.959999999999994</v>
      </c>
      <c r="R1613" s="2">
        <f>Ventas[[#This Row],[Total bruto (antes de descuento)]]-Ventas[[#This Row],[total_venta]]</f>
        <v>0</v>
      </c>
    </row>
    <row r="1614" spans="1:18" x14ac:dyDescent="0.25">
      <c r="A1614" t="s">
        <v>1707</v>
      </c>
      <c r="B1614" s="1">
        <v>45505</v>
      </c>
      <c r="C1614" t="s">
        <v>156</v>
      </c>
      <c r="D1614" t="s">
        <v>27</v>
      </c>
      <c r="E1614">
        <v>4</v>
      </c>
      <c r="F1614" s="2">
        <v>49.99</v>
      </c>
      <c r="G1614">
        <v>20</v>
      </c>
      <c r="H1614" s="2">
        <v>39.99</v>
      </c>
      <c r="I1614" s="2">
        <v>159.96</v>
      </c>
      <c r="J1614" t="s">
        <v>19</v>
      </c>
      <c r="K1614" t="s">
        <v>20</v>
      </c>
      <c r="L1614" t="s">
        <v>45</v>
      </c>
      <c r="M1614" t="s">
        <v>84</v>
      </c>
      <c r="N1614" t="s">
        <v>85</v>
      </c>
      <c r="O1614" t="s">
        <v>35</v>
      </c>
      <c r="P1614">
        <v>4</v>
      </c>
      <c r="Q1614" s="2">
        <f>Ventas[[#This Row],[precio_base]]*Ventas[[#This Row],[cantidad]]</f>
        <v>199.96</v>
      </c>
      <c r="R1614" s="2">
        <f>Ventas[[#This Row],[Total bruto (antes de descuento)]]-Ventas[[#This Row],[total_venta]]</f>
        <v>40</v>
      </c>
    </row>
    <row r="1615" spans="1:18" x14ac:dyDescent="0.25">
      <c r="A1615" t="s">
        <v>1708</v>
      </c>
      <c r="B1615" s="1">
        <v>45485</v>
      </c>
      <c r="C1615" t="s">
        <v>92</v>
      </c>
      <c r="D1615" t="s">
        <v>27</v>
      </c>
      <c r="E1615">
        <v>3</v>
      </c>
      <c r="F1615" s="2">
        <v>79.989999999999995</v>
      </c>
      <c r="G1615">
        <v>15</v>
      </c>
      <c r="H1615" s="2">
        <v>67.989999999999995</v>
      </c>
      <c r="I1615" s="2">
        <v>203.97</v>
      </c>
      <c r="J1615" t="s">
        <v>19</v>
      </c>
      <c r="K1615" t="s">
        <v>44</v>
      </c>
      <c r="L1615" t="s">
        <v>45</v>
      </c>
      <c r="M1615" t="s">
        <v>101</v>
      </c>
      <c r="N1615" t="s">
        <v>102</v>
      </c>
      <c r="O1615" t="s">
        <v>35</v>
      </c>
      <c r="P1615">
        <v>1</v>
      </c>
      <c r="Q1615" s="2">
        <f>Ventas[[#This Row],[precio_base]]*Ventas[[#This Row],[cantidad]]</f>
        <v>239.96999999999997</v>
      </c>
      <c r="R1615" s="2">
        <f>Ventas[[#This Row],[Total bruto (antes de descuento)]]-Ventas[[#This Row],[total_venta]]</f>
        <v>35.999999999999972</v>
      </c>
    </row>
    <row r="1616" spans="1:18" x14ac:dyDescent="0.25">
      <c r="A1616" t="s">
        <v>1709</v>
      </c>
      <c r="B1616" s="1">
        <v>45034</v>
      </c>
      <c r="C1616" t="s">
        <v>37</v>
      </c>
      <c r="D1616" t="s">
        <v>38</v>
      </c>
      <c r="E1616">
        <v>1</v>
      </c>
      <c r="F1616" s="2">
        <v>34.99</v>
      </c>
      <c r="G1616">
        <v>5</v>
      </c>
      <c r="H1616" s="2">
        <v>33.24</v>
      </c>
      <c r="I1616" s="2">
        <v>33.24</v>
      </c>
      <c r="J1616" t="s">
        <v>19</v>
      </c>
      <c r="K1616" t="s">
        <v>20</v>
      </c>
      <c r="L1616" t="s">
        <v>28</v>
      </c>
      <c r="M1616" t="s">
        <v>46</v>
      </c>
      <c r="N1616" t="s">
        <v>47</v>
      </c>
      <c r="O1616" t="s">
        <v>48</v>
      </c>
      <c r="P1616">
        <v>2</v>
      </c>
      <c r="Q1616" s="2">
        <f>Ventas[[#This Row],[precio_base]]*Ventas[[#This Row],[cantidad]]</f>
        <v>34.99</v>
      </c>
      <c r="R1616" s="2">
        <f>Ventas[[#This Row],[Total bruto (antes de descuento)]]-Ventas[[#This Row],[total_venta]]</f>
        <v>1.75</v>
      </c>
    </row>
    <row r="1617" spans="1:18" x14ac:dyDescent="0.25">
      <c r="A1617" t="s">
        <v>1710</v>
      </c>
      <c r="B1617" s="1">
        <v>45129</v>
      </c>
      <c r="C1617" t="s">
        <v>151</v>
      </c>
      <c r="D1617" t="s">
        <v>27</v>
      </c>
      <c r="E1617">
        <v>1</v>
      </c>
      <c r="F1617" s="2">
        <v>599.99</v>
      </c>
      <c r="G1617">
        <v>0</v>
      </c>
      <c r="H1617" s="2">
        <v>599.99</v>
      </c>
      <c r="I1617" s="2">
        <v>599.99</v>
      </c>
      <c r="J1617" t="s">
        <v>62</v>
      </c>
      <c r="K1617" t="s">
        <v>20</v>
      </c>
      <c r="L1617" t="s">
        <v>32</v>
      </c>
      <c r="M1617" t="s">
        <v>101</v>
      </c>
      <c r="N1617" t="s">
        <v>102</v>
      </c>
      <c r="O1617" t="s">
        <v>35</v>
      </c>
      <c r="Q1617" s="2">
        <f>Ventas[[#This Row],[precio_base]]*Ventas[[#This Row],[cantidad]]</f>
        <v>599.99</v>
      </c>
      <c r="R1617" s="2">
        <f>Ventas[[#This Row],[Total bruto (antes de descuento)]]-Ventas[[#This Row],[total_venta]]</f>
        <v>0</v>
      </c>
    </row>
    <row r="1618" spans="1:18" x14ac:dyDescent="0.25">
      <c r="A1618" t="s">
        <v>1711</v>
      </c>
      <c r="B1618" s="1">
        <v>45425</v>
      </c>
      <c r="C1618" t="s">
        <v>78</v>
      </c>
      <c r="D1618" t="s">
        <v>18</v>
      </c>
      <c r="E1618">
        <v>5</v>
      </c>
      <c r="F1618" s="2">
        <v>349.99</v>
      </c>
      <c r="G1618">
        <v>5</v>
      </c>
      <c r="H1618" s="2">
        <v>332.49</v>
      </c>
      <c r="I1618" s="2">
        <v>1662.45</v>
      </c>
      <c r="J1618" t="s">
        <v>19</v>
      </c>
      <c r="K1618" t="s">
        <v>20</v>
      </c>
      <c r="L1618" t="s">
        <v>152</v>
      </c>
      <c r="M1618" t="s">
        <v>58</v>
      </c>
      <c r="N1618" t="s">
        <v>59</v>
      </c>
      <c r="O1618" t="s">
        <v>24</v>
      </c>
      <c r="P1618">
        <v>3</v>
      </c>
      <c r="Q1618" s="2">
        <f>Ventas[[#This Row],[precio_base]]*Ventas[[#This Row],[cantidad]]</f>
        <v>1749.95</v>
      </c>
      <c r="R1618" s="2">
        <f>Ventas[[#This Row],[Total bruto (antes de descuento)]]-Ventas[[#This Row],[total_venta]]</f>
        <v>87.5</v>
      </c>
    </row>
    <row r="1619" spans="1:18" x14ac:dyDescent="0.25">
      <c r="A1619" t="s">
        <v>1712</v>
      </c>
      <c r="B1619" s="1">
        <v>45462</v>
      </c>
      <c r="C1619" t="s">
        <v>141</v>
      </c>
      <c r="D1619" t="s">
        <v>38</v>
      </c>
      <c r="E1619">
        <v>5</v>
      </c>
      <c r="F1619" s="2">
        <v>89.99</v>
      </c>
      <c r="G1619">
        <v>0</v>
      </c>
      <c r="H1619" s="2">
        <v>89.99</v>
      </c>
      <c r="I1619" s="2">
        <v>449.95</v>
      </c>
      <c r="J1619" t="s">
        <v>19</v>
      </c>
      <c r="K1619" t="s">
        <v>20</v>
      </c>
      <c r="L1619" t="s">
        <v>45</v>
      </c>
      <c r="M1619" t="s">
        <v>63</v>
      </c>
      <c r="N1619" t="s">
        <v>34</v>
      </c>
      <c r="O1619" t="s">
        <v>24</v>
      </c>
      <c r="P1619">
        <v>2</v>
      </c>
      <c r="Q1619" s="2">
        <f>Ventas[[#This Row],[precio_base]]*Ventas[[#This Row],[cantidad]]</f>
        <v>449.95</v>
      </c>
      <c r="R1619" s="2">
        <f>Ventas[[#This Row],[Total bruto (antes de descuento)]]-Ventas[[#This Row],[total_venta]]</f>
        <v>0</v>
      </c>
    </row>
    <row r="1620" spans="1:18" x14ac:dyDescent="0.25">
      <c r="A1620" t="s">
        <v>1713</v>
      </c>
      <c r="B1620" s="1">
        <v>45555</v>
      </c>
      <c r="C1620" t="s">
        <v>30</v>
      </c>
      <c r="D1620" t="s">
        <v>31</v>
      </c>
      <c r="E1620">
        <v>3</v>
      </c>
      <c r="F1620" s="2">
        <v>299.99</v>
      </c>
      <c r="G1620">
        <v>10</v>
      </c>
      <c r="H1620" s="2">
        <v>269.99</v>
      </c>
      <c r="I1620" s="2">
        <v>809.97</v>
      </c>
      <c r="J1620" t="s">
        <v>51</v>
      </c>
      <c r="K1620" t="s">
        <v>44</v>
      </c>
      <c r="L1620" t="s">
        <v>152</v>
      </c>
      <c r="M1620" t="s">
        <v>101</v>
      </c>
      <c r="N1620" t="s">
        <v>102</v>
      </c>
      <c r="O1620" t="s">
        <v>35</v>
      </c>
      <c r="Q1620" s="2">
        <f>Ventas[[#This Row],[precio_base]]*Ventas[[#This Row],[cantidad]]</f>
        <v>899.97</v>
      </c>
      <c r="R1620" s="2">
        <f>Ventas[[#This Row],[Total bruto (antes de descuento)]]-Ventas[[#This Row],[total_venta]]</f>
        <v>90</v>
      </c>
    </row>
    <row r="1621" spans="1:18" x14ac:dyDescent="0.25">
      <c r="A1621" t="s">
        <v>1714</v>
      </c>
      <c r="B1621" s="1">
        <v>45065</v>
      </c>
      <c r="C1621" t="s">
        <v>205</v>
      </c>
      <c r="D1621" t="s">
        <v>18</v>
      </c>
      <c r="E1621">
        <v>5</v>
      </c>
      <c r="F1621" s="2">
        <v>129.99</v>
      </c>
      <c r="G1621">
        <v>15</v>
      </c>
      <c r="H1621" s="2">
        <v>110.49</v>
      </c>
      <c r="I1621" s="2">
        <v>552.45000000000005</v>
      </c>
      <c r="J1621" t="s">
        <v>62</v>
      </c>
      <c r="K1621" t="s">
        <v>20</v>
      </c>
      <c r="L1621" t="s">
        <v>21</v>
      </c>
      <c r="M1621" t="s">
        <v>46</v>
      </c>
      <c r="N1621" t="s">
        <v>47</v>
      </c>
      <c r="O1621" t="s">
        <v>48</v>
      </c>
      <c r="Q1621" s="2">
        <f>Ventas[[#This Row],[precio_base]]*Ventas[[#This Row],[cantidad]]</f>
        <v>649.95000000000005</v>
      </c>
      <c r="R1621" s="2">
        <f>Ventas[[#This Row],[Total bruto (antes de descuento)]]-Ventas[[#This Row],[total_venta]]</f>
        <v>97.5</v>
      </c>
    </row>
    <row r="1622" spans="1:18" x14ac:dyDescent="0.25">
      <c r="A1622" t="s">
        <v>1715</v>
      </c>
      <c r="B1622" s="1">
        <v>45408</v>
      </c>
      <c r="C1622" t="s">
        <v>56</v>
      </c>
      <c r="D1622" t="s">
        <v>18</v>
      </c>
      <c r="E1622">
        <v>1</v>
      </c>
      <c r="F1622" s="2">
        <v>89.99</v>
      </c>
      <c r="G1622">
        <v>0</v>
      </c>
      <c r="H1622" s="2">
        <v>89.99</v>
      </c>
      <c r="I1622" s="2">
        <v>89.99</v>
      </c>
      <c r="J1622" t="s">
        <v>51</v>
      </c>
      <c r="K1622" t="s">
        <v>44</v>
      </c>
      <c r="L1622" t="s">
        <v>45</v>
      </c>
      <c r="M1622" t="s">
        <v>22</v>
      </c>
      <c r="N1622" t="s">
        <v>23</v>
      </c>
      <c r="O1622" t="s">
        <v>24</v>
      </c>
      <c r="Q1622" s="2">
        <f>Ventas[[#This Row],[precio_base]]*Ventas[[#This Row],[cantidad]]</f>
        <v>89.99</v>
      </c>
      <c r="R1622" s="2">
        <f>Ventas[[#This Row],[Total bruto (antes de descuento)]]-Ventas[[#This Row],[total_venta]]</f>
        <v>0</v>
      </c>
    </row>
    <row r="1623" spans="1:18" x14ac:dyDescent="0.25">
      <c r="A1623" t="s">
        <v>1716</v>
      </c>
      <c r="B1623" s="1">
        <v>45265</v>
      </c>
      <c r="C1623" t="s">
        <v>17</v>
      </c>
      <c r="D1623" t="s">
        <v>18</v>
      </c>
      <c r="E1623">
        <v>1</v>
      </c>
      <c r="F1623" s="2">
        <v>45.99</v>
      </c>
      <c r="G1623">
        <v>10</v>
      </c>
      <c r="H1623" s="2">
        <v>41.39</v>
      </c>
      <c r="I1623" s="2">
        <v>41.39</v>
      </c>
      <c r="J1623" t="s">
        <v>19</v>
      </c>
      <c r="K1623" t="s">
        <v>20</v>
      </c>
      <c r="L1623" t="s">
        <v>28</v>
      </c>
      <c r="M1623" t="s">
        <v>63</v>
      </c>
      <c r="N1623" t="s">
        <v>34</v>
      </c>
      <c r="O1623" t="s">
        <v>24</v>
      </c>
      <c r="P1623">
        <v>2</v>
      </c>
      <c r="Q1623" s="2">
        <f>Ventas[[#This Row],[precio_base]]*Ventas[[#This Row],[cantidad]]</f>
        <v>45.99</v>
      </c>
      <c r="R1623" s="2">
        <f>Ventas[[#This Row],[Total bruto (antes de descuento)]]-Ventas[[#This Row],[total_venta]]</f>
        <v>4.6000000000000014</v>
      </c>
    </row>
    <row r="1624" spans="1:18" x14ac:dyDescent="0.25">
      <c r="A1624" t="s">
        <v>1717</v>
      </c>
      <c r="B1624" s="1">
        <v>45280</v>
      </c>
      <c r="C1624" t="s">
        <v>72</v>
      </c>
      <c r="D1624" t="s">
        <v>31</v>
      </c>
      <c r="E1624">
        <v>1</v>
      </c>
      <c r="F1624" s="2">
        <v>29.99</v>
      </c>
      <c r="G1624">
        <v>0</v>
      </c>
      <c r="H1624" s="2">
        <v>29.99</v>
      </c>
      <c r="I1624" s="2">
        <v>29.99</v>
      </c>
      <c r="J1624" t="s">
        <v>19</v>
      </c>
      <c r="K1624" t="s">
        <v>52</v>
      </c>
      <c r="L1624" t="s">
        <v>45</v>
      </c>
      <c r="M1624" t="s">
        <v>67</v>
      </c>
      <c r="N1624" t="s">
        <v>68</v>
      </c>
      <c r="O1624" t="s">
        <v>35</v>
      </c>
      <c r="P1624">
        <v>3</v>
      </c>
      <c r="Q1624" s="2">
        <f>Ventas[[#This Row],[precio_base]]*Ventas[[#This Row],[cantidad]]</f>
        <v>29.99</v>
      </c>
      <c r="R1624" s="2">
        <f>Ventas[[#This Row],[Total bruto (antes de descuento)]]-Ventas[[#This Row],[total_venta]]</f>
        <v>0</v>
      </c>
    </row>
    <row r="1625" spans="1:18" x14ac:dyDescent="0.25">
      <c r="A1625" t="s">
        <v>1718</v>
      </c>
      <c r="B1625" s="1">
        <v>45303</v>
      </c>
      <c r="C1625" t="s">
        <v>156</v>
      </c>
      <c r="D1625" t="s">
        <v>27</v>
      </c>
      <c r="E1625">
        <v>4</v>
      </c>
      <c r="F1625" s="2">
        <v>49.99</v>
      </c>
      <c r="G1625">
        <v>0</v>
      </c>
      <c r="H1625" s="2">
        <v>49.99</v>
      </c>
      <c r="I1625" s="2">
        <v>199.96</v>
      </c>
      <c r="J1625" t="s">
        <v>19</v>
      </c>
      <c r="K1625" t="s">
        <v>44</v>
      </c>
      <c r="L1625" t="s">
        <v>21</v>
      </c>
      <c r="M1625" t="s">
        <v>73</v>
      </c>
      <c r="N1625" t="s">
        <v>74</v>
      </c>
      <c r="O1625" t="s">
        <v>35</v>
      </c>
      <c r="P1625">
        <v>2</v>
      </c>
      <c r="Q1625" s="2">
        <f>Ventas[[#This Row],[precio_base]]*Ventas[[#This Row],[cantidad]]</f>
        <v>199.96</v>
      </c>
      <c r="R1625" s="2">
        <f>Ventas[[#This Row],[Total bruto (antes de descuento)]]-Ventas[[#This Row],[total_venta]]</f>
        <v>0</v>
      </c>
    </row>
    <row r="1626" spans="1:18" x14ac:dyDescent="0.25">
      <c r="A1626" t="s">
        <v>1719</v>
      </c>
      <c r="B1626" s="1">
        <v>45032</v>
      </c>
      <c r="C1626" t="s">
        <v>76</v>
      </c>
      <c r="D1626" t="s">
        <v>31</v>
      </c>
      <c r="E1626">
        <v>2</v>
      </c>
      <c r="F1626" s="2">
        <v>69.989999999999995</v>
      </c>
      <c r="G1626">
        <v>0</v>
      </c>
      <c r="H1626" s="2">
        <v>69.989999999999995</v>
      </c>
      <c r="I1626" s="2">
        <v>139.97999999999999</v>
      </c>
      <c r="J1626" t="s">
        <v>19</v>
      </c>
      <c r="K1626" t="s">
        <v>20</v>
      </c>
      <c r="L1626" t="s">
        <v>28</v>
      </c>
      <c r="M1626" t="s">
        <v>33</v>
      </c>
      <c r="N1626" t="s">
        <v>34</v>
      </c>
      <c r="O1626" t="s">
        <v>35</v>
      </c>
      <c r="P1626">
        <v>5</v>
      </c>
      <c r="Q1626" s="2">
        <f>Ventas[[#This Row],[precio_base]]*Ventas[[#This Row],[cantidad]]</f>
        <v>139.97999999999999</v>
      </c>
      <c r="R1626" s="2">
        <f>Ventas[[#This Row],[Total bruto (antes de descuento)]]-Ventas[[#This Row],[total_venta]]</f>
        <v>0</v>
      </c>
    </row>
    <row r="1627" spans="1:18" x14ac:dyDescent="0.25">
      <c r="A1627" t="s">
        <v>1720</v>
      </c>
      <c r="B1627" s="1">
        <v>45587</v>
      </c>
      <c r="C1627" t="s">
        <v>98</v>
      </c>
      <c r="D1627" t="s">
        <v>31</v>
      </c>
      <c r="E1627">
        <v>4</v>
      </c>
      <c r="F1627" s="2">
        <v>99.99</v>
      </c>
      <c r="G1627">
        <v>0</v>
      </c>
      <c r="H1627" s="2">
        <v>99.99</v>
      </c>
      <c r="I1627" s="2">
        <v>399.96</v>
      </c>
      <c r="J1627" t="s">
        <v>19</v>
      </c>
      <c r="K1627" t="s">
        <v>44</v>
      </c>
      <c r="L1627" t="s">
        <v>21</v>
      </c>
      <c r="M1627" t="s">
        <v>67</v>
      </c>
      <c r="N1627" t="s">
        <v>68</v>
      </c>
      <c r="O1627" t="s">
        <v>35</v>
      </c>
      <c r="P1627">
        <v>5</v>
      </c>
      <c r="Q1627" s="2">
        <f>Ventas[[#This Row],[precio_base]]*Ventas[[#This Row],[cantidad]]</f>
        <v>399.96</v>
      </c>
      <c r="R1627" s="2">
        <f>Ventas[[#This Row],[Total bruto (antes de descuento)]]-Ventas[[#This Row],[total_venta]]</f>
        <v>0</v>
      </c>
    </row>
    <row r="1628" spans="1:18" x14ac:dyDescent="0.25">
      <c r="A1628" t="s">
        <v>1721</v>
      </c>
      <c r="B1628" s="1">
        <v>45611</v>
      </c>
      <c r="C1628" t="s">
        <v>122</v>
      </c>
      <c r="D1628" t="s">
        <v>43</v>
      </c>
      <c r="E1628">
        <v>4</v>
      </c>
      <c r="F1628" s="2">
        <v>44.99</v>
      </c>
      <c r="G1628">
        <v>0</v>
      </c>
      <c r="H1628" s="2">
        <v>44.99</v>
      </c>
      <c r="I1628" s="2">
        <v>179.96</v>
      </c>
      <c r="J1628" t="s">
        <v>19</v>
      </c>
      <c r="K1628" t="s">
        <v>20</v>
      </c>
      <c r="L1628" t="s">
        <v>21</v>
      </c>
      <c r="M1628" t="s">
        <v>39</v>
      </c>
      <c r="N1628" t="s">
        <v>40</v>
      </c>
      <c r="O1628" t="s">
        <v>35</v>
      </c>
      <c r="P1628">
        <v>5</v>
      </c>
      <c r="Q1628" s="2">
        <f>Ventas[[#This Row],[precio_base]]*Ventas[[#This Row],[cantidad]]</f>
        <v>179.96</v>
      </c>
      <c r="R1628" s="2">
        <f>Ventas[[#This Row],[Total bruto (antes de descuento)]]-Ventas[[#This Row],[total_venta]]</f>
        <v>0</v>
      </c>
    </row>
    <row r="1629" spans="1:18" x14ac:dyDescent="0.25">
      <c r="A1629" t="s">
        <v>1722</v>
      </c>
      <c r="B1629" s="1">
        <v>45077</v>
      </c>
      <c r="C1629" t="s">
        <v>78</v>
      </c>
      <c r="D1629" t="s">
        <v>18</v>
      </c>
      <c r="E1629">
        <v>2</v>
      </c>
      <c r="F1629" s="2">
        <v>349.99</v>
      </c>
      <c r="G1629">
        <v>5</v>
      </c>
      <c r="H1629" s="2">
        <v>332.49</v>
      </c>
      <c r="I1629" s="2">
        <v>664.98</v>
      </c>
      <c r="J1629" t="s">
        <v>62</v>
      </c>
      <c r="K1629" t="s">
        <v>20</v>
      </c>
      <c r="L1629" t="s">
        <v>152</v>
      </c>
      <c r="M1629" t="s">
        <v>123</v>
      </c>
      <c r="N1629" t="s">
        <v>124</v>
      </c>
      <c r="O1629" t="s">
        <v>24</v>
      </c>
      <c r="Q1629" s="2">
        <f>Ventas[[#This Row],[precio_base]]*Ventas[[#This Row],[cantidad]]</f>
        <v>699.98</v>
      </c>
      <c r="R1629" s="2">
        <f>Ventas[[#This Row],[Total bruto (antes de descuento)]]-Ventas[[#This Row],[total_venta]]</f>
        <v>35</v>
      </c>
    </row>
    <row r="1630" spans="1:18" x14ac:dyDescent="0.25">
      <c r="A1630" t="s">
        <v>1723</v>
      </c>
      <c r="B1630" s="1">
        <v>45067</v>
      </c>
      <c r="C1630" t="s">
        <v>87</v>
      </c>
      <c r="D1630" t="s">
        <v>27</v>
      </c>
      <c r="E1630">
        <v>4</v>
      </c>
      <c r="F1630" s="2">
        <v>249.99</v>
      </c>
      <c r="G1630">
        <v>5</v>
      </c>
      <c r="H1630" s="2">
        <v>237.49</v>
      </c>
      <c r="I1630" s="2">
        <v>949.96</v>
      </c>
      <c r="J1630" t="s">
        <v>51</v>
      </c>
      <c r="K1630" t="s">
        <v>20</v>
      </c>
      <c r="L1630" t="s">
        <v>28</v>
      </c>
      <c r="M1630" t="s">
        <v>123</v>
      </c>
      <c r="N1630" t="s">
        <v>124</v>
      </c>
      <c r="O1630" t="s">
        <v>24</v>
      </c>
      <c r="Q1630" s="2">
        <f>Ventas[[#This Row],[precio_base]]*Ventas[[#This Row],[cantidad]]</f>
        <v>999.96</v>
      </c>
      <c r="R1630" s="2">
        <f>Ventas[[#This Row],[Total bruto (antes de descuento)]]-Ventas[[#This Row],[total_venta]]</f>
        <v>50</v>
      </c>
    </row>
    <row r="1631" spans="1:18" x14ac:dyDescent="0.25">
      <c r="A1631" t="s">
        <v>1724</v>
      </c>
      <c r="B1631" s="1">
        <v>45173</v>
      </c>
      <c r="C1631" t="s">
        <v>50</v>
      </c>
      <c r="D1631" t="s">
        <v>27</v>
      </c>
      <c r="E1631">
        <v>4</v>
      </c>
      <c r="F1631" s="2">
        <v>149.99</v>
      </c>
      <c r="G1631">
        <v>5</v>
      </c>
      <c r="H1631" s="2">
        <v>142.49</v>
      </c>
      <c r="I1631" s="2">
        <v>569.96</v>
      </c>
      <c r="J1631" t="s">
        <v>51</v>
      </c>
      <c r="K1631" t="s">
        <v>44</v>
      </c>
      <c r="L1631" t="s">
        <v>21</v>
      </c>
      <c r="M1631" t="s">
        <v>84</v>
      </c>
      <c r="N1631" t="s">
        <v>85</v>
      </c>
      <c r="O1631" t="s">
        <v>35</v>
      </c>
      <c r="Q1631" s="2">
        <f>Ventas[[#This Row],[precio_base]]*Ventas[[#This Row],[cantidad]]</f>
        <v>599.96</v>
      </c>
      <c r="R1631" s="2">
        <f>Ventas[[#This Row],[Total bruto (antes de descuento)]]-Ventas[[#This Row],[total_venta]]</f>
        <v>30</v>
      </c>
    </row>
    <row r="1632" spans="1:18" x14ac:dyDescent="0.25">
      <c r="A1632" t="s">
        <v>1725</v>
      </c>
      <c r="B1632" s="1">
        <v>45461</v>
      </c>
      <c r="C1632" t="s">
        <v>141</v>
      </c>
      <c r="D1632" t="s">
        <v>38</v>
      </c>
      <c r="E1632">
        <v>5</v>
      </c>
      <c r="F1632" s="2">
        <v>89.99</v>
      </c>
      <c r="G1632">
        <v>0</v>
      </c>
      <c r="H1632" s="2">
        <v>89.99</v>
      </c>
      <c r="I1632" s="2">
        <v>449.95</v>
      </c>
      <c r="J1632" t="s">
        <v>62</v>
      </c>
      <c r="K1632" t="s">
        <v>20</v>
      </c>
      <c r="L1632" t="s">
        <v>21</v>
      </c>
      <c r="M1632" t="s">
        <v>67</v>
      </c>
      <c r="N1632" t="s">
        <v>68</v>
      </c>
      <c r="O1632" t="s">
        <v>35</v>
      </c>
      <c r="Q1632" s="2">
        <f>Ventas[[#This Row],[precio_base]]*Ventas[[#This Row],[cantidad]]</f>
        <v>449.95</v>
      </c>
      <c r="R1632" s="2">
        <f>Ventas[[#This Row],[Total bruto (antes de descuento)]]-Ventas[[#This Row],[total_venta]]</f>
        <v>0</v>
      </c>
    </row>
    <row r="1633" spans="1:18" x14ac:dyDescent="0.25">
      <c r="A1633" t="s">
        <v>1726</v>
      </c>
      <c r="B1633" s="1">
        <v>45575</v>
      </c>
      <c r="C1633" t="s">
        <v>143</v>
      </c>
      <c r="D1633" t="s">
        <v>43</v>
      </c>
      <c r="E1633">
        <v>3</v>
      </c>
      <c r="F1633" s="2">
        <v>34.99</v>
      </c>
      <c r="G1633">
        <v>15</v>
      </c>
      <c r="H1633" s="2">
        <v>29.74</v>
      </c>
      <c r="I1633" s="2">
        <v>89.22</v>
      </c>
      <c r="J1633" t="s">
        <v>19</v>
      </c>
      <c r="K1633" t="s">
        <v>44</v>
      </c>
      <c r="L1633" t="s">
        <v>45</v>
      </c>
      <c r="M1633" t="s">
        <v>120</v>
      </c>
      <c r="N1633" t="s">
        <v>23</v>
      </c>
      <c r="O1633" t="s">
        <v>24</v>
      </c>
      <c r="P1633">
        <v>3</v>
      </c>
      <c r="Q1633" s="2">
        <f>Ventas[[#This Row],[precio_base]]*Ventas[[#This Row],[cantidad]]</f>
        <v>104.97</v>
      </c>
      <c r="R1633" s="2">
        <f>Ventas[[#This Row],[Total bruto (antes de descuento)]]-Ventas[[#This Row],[total_venta]]</f>
        <v>15.75</v>
      </c>
    </row>
    <row r="1634" spans="1:18" x14ac:dyDescent="0.25">
      <c r="A1634" t="s">
        <v>1727</v>
      </c>
      <c r="B1634" s="1">
        <v>45628</v>
      </c>
      <c r="C1634" t="s">
        <v>17</v>
      </c>
      <c r="D1634" t="s">
        <v>18</v>
      </c>
      <c r="E1634">
        <v>5</v>
      </c>
      <c r="F1634" s="2">
        <v>45.99</v>
      </c>
      <c r="G1634">
        <v>5</v>
      </c>
      <c r="H1634" s="2">
        <v>43.69</v>
      </c>
      <c r="I1634" s="2">
        <v>218.45</v>
      </c>
      <c r="J1634" t="s">
        <v>51</v>
      </c>
      <c r="K1634" t="s">
        <v>20</v>
      </c>
      <c r="L1634" t="s">
        <v>45</v>
      </c>
      <c r="M1634" t="s">
        <v>63</v>
      </c>
      <c r="N1634" t="s">
        <v>34</v>
      </c>
      <c r="O1634" t="s">
        <v>24</v>
      </c>
      <c r="Q1634" s="2">
        <f>Ventas[[#This Row],[precio_base]]*Ventas[[#This Row],[cantidad]]</f>
        <v>229.95000000000002</v>
      </c>
      <c r="R1634" s="2">
        <f>Ventas[[#This Row],[Total bruto (antes de descuento)]]-Ventas[[#This Row],[total_venta]]</f>
        <v>11.500000000000028</v>
      </c>
    </row>
    <row r="1635" spans="1:18" x14ac:dyDescent="0.25">
      <c r="A1635" t="s">
        <v>1728</v>
      </c>
      <c r="B1635" s="1">
        <v>45404</v>
      </c>
      <c r="C1635" t="s">
        <v>98</v>
      </c>
      <c r="D1635" t="s">
        <v>31</v>
      </c>
      <c r="E1635">
        <v>3</v>
      </c>
      <c r="F1635" s="2">
        <v>99.99</v>
      </c>
      <c r="G1635">
        <v>15</v>
      </c>
      <c r="H1635" s="2">
        <v>84.99</v>
      </c>
      <c r="I1635" s="2">
        <v>254.97</v>
      </c>
      <c r="J1635" t="s">
        <v>19</v>
      </c>
      <c r="K1635" t="s">
        <v>44</v>
      </c>
      <c r="L1635" t="s">
        <v>152</v>
      </c>
      <c r="M1635" t="s">
        <v>33</v>
      </c>
      <c r="N1635" t="s">
        <v>34</v>
      </c>
      <c r="O1635" t="s">
        <v>35</v>
      </c>
      <c r="P1635">
        <v>2</v>
      </c>
      <c r="Q1635" s="2">
        <f>Ventas[[#This Row],[precio_base]]*Ventas[[#This Row],[cantidad]]</f>
        <v>299.96999999999997</v>
      </c>
      <c r="R1635" s="2">
        <f>Ventas[[#This Row],[Total bruto (antes de descuento)]]-Ventas[[#This Row],[total_venta]]</f>
        <v>44.999999999999972</v>
      </c>
    </row>
    <row r="1636" spans="1:18" x14ac:dyDescent="0.25">
      <c r="A1636" t="s">
        <v>1729</v>
      </c>
      <c r="B1636" s="1">
        <v>45318</v>
      </c>
      <c r="C1636" t="s">
        <v>89</v>
      </c>
      <c r="D1636" t="s">
        <v>38</v>
      </c>
      <c r="E1636">
        <v>2</v>
      </c>
      <c r="F1636" s="2">
        <v>69.989999999999995</v>
      </c>
      <c r="G1636">
        <v>15</v>
      </c>
      <c r="H1636" s="2">
        <v>59.49</v>
      </c>
      <c r="I1636" s="2">
        <v>118.98</v>
      </c>
      <c r="J1636" t="s">
        <v>116</v>
      </c>
      <c r="K1636" t="s">
        <v>20</v>
      </c>
      <c r="L1636" t="s">
        <v>45</v>
      </c>
      <c r="M1636" t="s">
        <v>22</v>
      </c>
      <c r="N1636" t="s">
        <v>23</v>
      </c>
      <c r="O1636" t="s">
        <v>24</v>
      </c>
      <c r="Q1636" s="2">
        <f>Ventas[[#This Row],[precio_base]]*Ventas[[#This Row],[cantidad]]</f>
        <v>139.97999999999999</v>
      </c>
      <c r="R1636" s="2">
        <f>Ventas[[#This Row],[Total bruto (antes de descuento)]]-Ventas[[#This Row],[total_venta]]</f>
        <v>20.999999999999986</v>
      </c>
    </row>
    <row r="1637" spans="1:18" x14ac:dyDescent="0.25">
      <c r="A1637" t="s">
        <v>1730</v>
      </c>
      <c r="B1637" s="1">
        <v>44932</v>
      </c>
      <c r="C1637" t="s">
        <v>26</v>
      </c>
      <c r="D1637" t="s">
        <v>27</v>
      </c>
      <c r="E1637">
        <v>3</v>
      </c>
      <c r="F1637" s="2">
        <v>399.99</v>
      </c>
      <c r="G1637">
        <v>0</v>
      </c>
      <c r="H1637" s="2">
        <v>399.99</v>
      </c>
      <c r="I1637" s="2">
        <v>1199.97</v>
      </c>
      <c r="J1637" t="s">
        <v>19</v>
      </c>
      <c r="K1637" t="s">
        <v>52</v>
      </c>
      <c r="L1637" t="s">
        <v>45</v>
      </c>
      <c r="M1637" t="s">
        <v>123</v>
      </c>
      <c r="N1637" t="s">
        <v>124</v>
      </c>
      <c r="O1637" t="s">
        <v>24</v>
      </c>
      <c r="P1637">
        <v>1</v>
      </c>
      <c r="Q1637" s="2">
        <f>Ventas[[#This Row],[precio_base]]*Ventas[[#This Row],[cantidad]]</f>
        <v>1199.97</v>
      </c>
      <c r="R1637" s="2">
        <f>Ventas[[#This Row],[Total bruto (antes de descuento)]]-Ventas[[#This Row],[total_venta]]</f>
        <v>0</v>
      </c>
    </row>
    <row r="1638" spans="1:18" x14ac:dyDescent="0.25">
      <c r="A1638" t="s">
        <v>1731</v>
      </c>
      <c r="B1638" s="1">
        <v>45548</v>
      </c>
      <c r="C1638" t="s">
        <v>61</v>
      </c>
      <c r="D1638" t="s">
        <v>38</v>
      </c>
      <c r="E1638">
        <v>1</v>
      </c>
      <c r="F1638" s="2">
        <v>19.989999999999998</v>
      </c>
      <c r="G1638">
        <v>15</v>
      </c>
      <c r="H1638" s="2">
        <v>16.989999999999998</v>
      </c>
      <c r="I1638" s="2">
        <v>16.989999999999998</v>
      </c>
      <c r="J1638" t="s">
        <v>19</v>
      </c>
      <c r="K1638" t="s">
        <v>20</v>
      </c>
      <c r="L1638" t="s">
        <v>152</v>
      </c>
      <c r="M1638" t="s">
        <v>101</v>
      </c>
      <c r="N1638" t="s">
        <v>102</v>
      </c>
      <c r="O1638" t="s">
        <v>35</v>
      </c>
      <c r="P1638">
        <v>3</v>
      </c>
      <c r="Q1638" s="2">
        <f>Ventas[[#This Row],[precio_base]]*Ventas[[#This Row],[cantidad]]</f>
        <v>19.989999999999998</v>
      </c>
      <c r="R1638" s="2">
        <f>Ventas[[#This Row],[Total bruto (antes de descuento)]]-Ventas[[#This Row],[total_venta]]</f>
        <v>3</v>
      </c>
    </row>
    <row r="1639" spans="1:18" x14ac:dyDescent="0.25">
      <c r="A1639" t="s">
        <v>1732</v>
      </c>
      <c r="B1639" s="1">
        <v>45207</v>
      </c>
      <c r="C1639" t="s">
        <v>72</v>
      </c>
      <c r="D1639" t="s">
        <v>31</v>
      </c>
      <c r="E1639">
        <v>1</v>
      </c>
      <c r="F1639" s="2">
        <v>29.99</v>
      </c>
      <c r="G1639">
        <v>10</v>
      </c>
      <c r="H1639" s="2">
        <v>26.99</v>
      </c>
      <c r="I1639" s="2">
        <v>26.99</v>
      </c>
      <c r="J1639" t="s">
        <v>62</v>
      </c>
      <c r="K1639" t="s">
        <v>44</v>
      </c>
      <c r="L1639" t="s">
        <v>45</v>
      </c>
      <c r="M1639" t="s">
        <v>67</v>
      </c>
      <c r="N1639" t="s">
        <v>68</v>
      </c>
      <c r="O1639" t="s">
        <v>35</v>
      </c>
      <c r="Q1639" s="2">
        <f>Ventas[[#This Row],[precio_base]]*Ventas[[#This Row],[cantidad]]</f>
        <v>29.99</v>
      </c>
      <c r="R1639" s="2">
        <f>Ventas[[#This Row],[Total bruto (antes de descuento)]]-Ventas[[#This Row],[total_venta]]</f>
        <v>3</v>
      </c>
    </row>
    <row r="1640" spans="1:18" x14ac:dyDescent="0.25">
      <c r="A1640" t="s">
        <v>1733</v>
      </c>
      <c r="B1640" s="1">
        <v>45549</v>
      </c>
      <c r="C1640" t="s">
        <v>72</v>
      </c>
      <c r="D1640" t="s">
        <v>31</v>
      </c>
      <c r="E1640">
        <v>4</v>
      </c>
      <c r="F1640" s="2">
        <v>29.99</v>
      </c>
      <c r="G1640">
        <v>5</v>
      </c>
      <c r="H1640" s="2">
        <v>28.49</v>
      </c>
      <c r="I1640" s="2">
        <v>113.96</v>
      </c>
      <c r="J1640" t="s">
        <v>19</v>
      </c>
      <c r="K1640" t="s">
        <v>52</v>
      </c>
      <c r="L1640" t="s">
        <v>28</v>
      </c>
      <c r="M1640" t="s">
        <v>84</v>
      </c>
      <c r="N1640" t="s">
        <v>85</v>
      </c>
      <c r="O1640" t="s">
        <v>35</v>
      </c>
      <c r="P1640">
        <v>1</v>
      </c>
      <c r="Q1640" s="2">
        <f>Ventas[[#This Row],[precio_base]]*Ventas[[#This Row],[cantidad]]</f>
        <v>119.96</v>
      </c>
      <c r="R1640" s="2">
        <f>Ventas[[#This Row],[Total bruto (antes de descuento)]]-Ventas[[#This Row],[total_venta]]</f>
        <v>6</v>
      </c>
    </row>
    <row r="1641" spans="1:18" x14ac:dyDescent="0.25">
      <c r="A1641" t="s">
        <v>1734</v>
      </c>
      <c r="B1641" s="1">
        <v>44966</v>
      </c>
      <c r="C1641" t="s">
        <v>89</v>
      </c>
      <c r="D1641" t="s">
        <v>38</v>
      </c>
      <c r="E1641">
        <v>1</v>
      </c>
      <c r="F1641" s="2">
        <v>69.989999999999995</v>
      </c>
      <c r="G1641">
        <v>10</v>
      </c>
      <c r="H1641" s="2">
        <v>62.99</v>
      </c>
      <c r="I1641" s="2">
        <v>62.99</v>
      </c>
      <c r="J1641" t="s">
        <v>62</v>
      </c>
      <c r="K1641" t="s">
        <v>44</v>
      </c>
      <c r="L1641" t="s">
        <v>21</v>
      </c>
      <c r="M1641" t="s">
        <v>63</v>
      </c>
      <c r="N1641" t="s">
        <v>34</v>
      </c>
      <c r="O1641" t="s">
        <v>24</v>
      </c>
      <c r="Q1641" s="2">
        <f>Ventas[[#This Row],[precio_base]]*Ventas[[#This Row],[cantidad]]</f>
        <v>69.989999999999995</v>
      </c>
      <c r="R1641" s="2">
        <f>Ventas[[#This Row],[Total bruto (antes de descuento)]]-Ventas[[#This Row],[total_venta]]</f>
        <v>6.9999999999999929</v>
      </c>
    </row>
    <row r="1642" spans="1:18" x14ac:dyDescent="0.25">
      <c r="A1642" t="s">
        <v>1735</v>
      </c>
      <c r="B1642" s="1">
        <v>45061</v>
      </c>
      <c r="C1642" t="s">
        <v>56</v>
      </c>
      <c r="D1642" t="s">
        <v>18</v>
      </c>
      <c r="E1642">
        <v>4</v>
      </c>
      <c r="F1642" s="2">
        <v>89.99</v>
      </c>
      <c r="G1642">
        <v>20</v>
      </c>
      <c r="H1642" s="2">
        <v>71.989999999999995</v>
      </c>
      <c r="I1642" s="2">
        <v>287.95999999999998</v>
      </c>
      <c r="J1642" t="s">
        <v>62</v>
      </c>
      <c r="K1642" t="s">
        <v>20</v>
      </c>
      <c r="L1642" t="s">
        <v>28</v>
      </c>
      <c r="M1642" t="s">
        <v>46</v>
      </c>
      <c r="N1642" t="s">
        <v>47</v>
      </c>
      <c r="O1642" t="s">
        <v>48</v>
      </c>
      <c r="Q1642" s="2">
        <f>Ventas[[#This Row],[precio_base]]*Ventas[[#This Row],[cantidad]]</f>
        <v>359.96</v>
      </c>
      <c r="R1642" s="2">
        <f>Ventas[[#This Row],[Total bruto (antes de descuento)]]-Ventas[[#This Row],[total_venta]]</f>
        <v>72</v>
      </c>
    </row>
    <row r="1643" spans="1:18" x14ac:dyDescent="0.25">
      <c r="A1643" t="s">
        <v>1736</v>
      </c>
      <c r="B1643" s="1">
        <v>45248</v>
      </c>
      <c r="C1643" t="s">
        <v>17</v>
      </c>
      <c r="D1643" t="s">
        <v>18</v>
      </c>
      <c r="E1643">
        <v>5</v>
      </c>
      <c r="F1643" s="2">
        <v>45.99</v>
      </c>
      <c r="G1643">
        <v>0</v>
      </c>
      <c r="H1643" s="2">
        <v>45.99</v>
      </c>
      <c r="I1643" s="2">
        <v>229.95</v>
      </c>
      <c r="J1643" t="s">
        <v>116</v>
      </c>
      <c r="K1643" t="s">
        <v>44</v>
      </c>
      <c r="L1643" t="s">
        <v>28</v>
      </c>
      <c r="M1643" t="s">
        <v>22</v>
      </c>
      <c r="N1643" t="s">
        <v>23</v>
      </c>
      <c r="O1643" t="s">
        <v>24</v>
      </c>
      <c r="Q1643" s="2">
        <f>Ventas[[#This Row],[precio_base]]*Ventas[[#This Row],[cantidad]]</f>
        <v>229.95000000000002</v>
      </c>
      <c r="R1643" s="2">
        <f>Ventas[[#This Row],[Total bruto (antes de descuento)]]-Ventas[[#This Row],[total_venta]]</f>
        <v>0</v>
      </c>
    </row>
    <row r="1644" spans="1:18" x14ac:dyDescent="0.25">
      <c r="A1644" t="s">
        <v>1737</v>
      </c>
      <c r="B1644" s="1">
        <v>45267</v>
      </c>
      <c r="C1644" t="s">
        <v>143</v>
      </c>
      <c r="D1644" t="s">
        <v>43</v>
      </c>
      <c r="E1644">
        <v>3</v>
      </c>
      <c r="F1644" s="2">
        <v>34.99</v>
      </c>
      <c r="G1644">
        <v>15</v>
      </c>
      <c r="H1644" s="2">
        <v>29.74</v>
      </c>
      <c r="I1644" s="2">
        <v>89.22</v>
      </c>
      <c r="J1644" t="s">
        <v>19</v>
      </c>
      <c r="K1644" t="s">
        <v>44</v>
      </c>
      <c r="L1644" t="s">
        <v>45</v>
      </c>
      <c r="M1644" t="s">
        <v>33</v>
      </c>
      <c r="N1644" t="s">
        <v>34</v>
      </c>
      <c r="O1644" t="s">
        <v>35</v>
      </c>
      <c r="P1644">
        <v>1</v>
      </c>
      <c r="Q1644" s="2">
        <f>Ventas[[#This Row],[precio_base]]*Ventas[[#This Row],[cantidad]]</f>
        <v>104.97</v>
      </c>
      <c r="R1644" s="2">
        <f>Ventas[[#This Row],[Total bruto (antes de descuento)]]-Ventas[[#This Row],[total_venta]]</f>
        <v>15.75</v>
      </c>
    </row>
    <row r="1645" spans="1:18" x14ac:dyDescent="0.25">
      <c r="A1645" t="s">
        <v>1738</v>
      </c>
      <c r="B1645" s="1">
        <v>45607</v>
      </c>
      <c r="C1645" t="s">
        <v>109</v>
      </c>
      <c r="D1645" t="s">
        <v>38</v>
      </c>
      <c r="E1645">
        <v>4</v>
      </c>
      <c r="F1645" s="2">
        <v>39.99</v>
      </c>
      <c r="G1645">
        <v>20</v>
      </c>
      <c r="H1645" s="2">
        <v>31.99</v>
      </c>
      <c r="I1645" s="2">
        <v>127.96</v>
      </c>
      <c r="J1645" t="s">
        <v>51</v>
      </c>
      <c r="K1645" t="s">
        <v>20</v>
      </c>
      <c r="L1645" t="s">
        <v>32</v>
      </c>
      <c r="M1645" t="s">
        <v>46</v>
      </c>
      <c r="N1645" t="s">
        <v>47</v>
      </c>
      <c r="O1645" t="s">
        <v>48</v>
      </c>
      <c r="Q1645" s="2">
        <f>Ventas[[#This Row],[precio_base]]*Ventas[[#This Row],[cantidad]]</f>
        <v>159.96</v>
      </c>
      <c r="R1645" s="2">
        <f>Ventas[[#This Row],[Total bruto (antes de descuento)]]-Ventas[[#This Row],[total_venta]]</f>
        <v>32.000000000000014</v>
      </c>
    </row>
    <row r="1646" spans="1:18" x14ac:dyDescent="0.25">
      <c r="A1646" t="s">
        <v>1739</v>
      </c>
      <c r="B1646" s="1">
        <v>45440</v>
      </c>
      <c r="C1646" t="s">
        <v>78</v>
      </c>
      <c r="D1646" t="s">
        <v>18</v>
      </c>
      <c r="E1646">
        <v>3</v>
      </c>
      <c r="F1646" s="2">
        <v>349.99</v>
      </c>
      <c r="G1646">
        <v>0</v>
      </c>
      <c r="H1646" s="2">
        <v>349.99</v>
      </c>
      <c r="I1646" s="2">
        <v>1049.97</v>
      </c>
      <c r="J1646" t="s">
        <v>19</v>
      </c>
      <c r="K1646" t="s">
        <v>20</v>
      </c>
      <c r="L1646" t="s">
        <v>21</v>
      </c>
      <c r="M1646" t="s">
        <v>46</v>
      </c>
      <c r="N1646" t="s">
        <v>47</v>
      </c>
      <c r="O1646" t="s">
        <v>48</v>
      </c>
      <c r="P1646">
        <v>5</v>
      </c>
      <c r="Q1646" s="2">
        <f>Ventas[[#This Row],[precio_base]]*Ventas[[#This Row],[cantidad]]</f>
        <v>1049.97</v>
      </c>
      <c r="R1646" s="2">
        <f>Ventas[[#This Row],[Total bruto (antes de descuento)]]-Ventas[[#This Row],[total_venta]]</f>
        <v>0</v>
      </c>
    </row>
    <row r="1647" spans="1:18" x14ac:dyDescent="0.25">
      <c r="A1647" t="s">
        <v>1740</v>
      </c>
      <c r="B1647" s="1">
        <v>45346</v>
      </c>
      <c r="C1647" t="s">
        <v>205</v>
      </c>
      <c r="D1647" t="s">
        <v>18</v>
      </c>
      <c r="E1647">
        <v>1</v>
      </c>
      <c r="F1647" s="2">
        <v>129.99</v>
      </c>
      <c r="G1647">
        <v>0</v>
      </c>
      <c r="H1647" s="2">
        <v>129.99</v>
      </c>
      <c r="I1647" s="2">
        <v>129.99</v>
      </c>
      <c r="J1647" t="s">
        <v>19</v>
      </c>
      <c r="K1647" t="s">
        <v>20</v>
      </c>
      <c r="L1647" t="s">
        <v>45</v>
      </c>
      <c r="M1647" t="s">
        <v>123</v>
      </c>
      <c r="N1647" t="s">
        <v>124</v>
      </c>
      <c r="O1647" t="s">
        <v>24</v>
      </c>
      <c r="P1647">
        <v>1</v>
      </c>
      <c r="Q1647" s="2">
        <f>Ventas[[#This Row],[precio_base]]*Ventas[[#This Row],[cantidad]]</f>
        <v>129.99</v>
      </c>
      <c r="R1647" s="2">
        <f>Ventas[[#This Row],[Total bruto (antes de descuento)]]-Ventas[[#This Row],[total_venta]]</f>
        <v>0</v>
      </c>
    </row>
    <row r="1648" spans="1:18" x14ac:dyDescent="0.25">
      <c r="A1648" t="s">
        <v>1741</v>
      </c>
      <c r="B1648" s="1">
        <v>45506</v>
      </c>
      <c r="C1648" t="s">
        <v>122</v>
      </c>
      <c r="D1648" t="s">
        <v>43</v>
      </c>
      <c r="E1648">
        <v>4</v>
      </c>
      <c r="F1648" s="2">
        <v>44.99</v>
      </c>
      <c r="G1648">
        <v>0</v>
      </c>
      <c r="H1648" s="2">
        <v>44.99</v>
      </c>
      <c r="I1648" s="2">
        <v>179.96</v>
      </c>
      <c r="J1648" t="s">
        <v>19</v>
      </c>
      <c r="K1648" t="s">
        <v>20</v>
      </c>
      <c r="L1648" t="s">
        <v>21</v>
      </c>
      <c r="M1648" t="s">
        <v>95</v>
      </c>
      <c r="N1648" t="s">
        <v>96</v>
      </c>
      <c r="O1648" t="s">
        <v>48</v>
      </c>
      <c r="P1648">
        <v>3</v>
      </c>
      <c r="Q1648" s="2">
        <f>Ventas[[#This Row],[precio_base]]*Ventas[[#This Row],[cantidad]]</f>
        <v>179.96</v>
      </c>
      <c r="R1648" s="2">
        <f>Ventas[[#This Row],[Total bruto (antes de descuento)]]-Ventas[[#This Row],[total_venta]]</f>
        <v>0</v>
      </c>
    </row>
    <row r="1649" spans="1:18" x14ac:dyDescent="0.25">
      <c r="A1649" t="s">
        <v>1742</v>
      </c>
      <c r="B1649" s="1">
        <v>45532</v>
      </c>
      <c r="C1649" t="s">
        <v>72</v>
      </c>
      <c r="D1649" t="s">
        <v>31</v>
      </c>
      <c r="E1649">
        <v>1</v>
      </c>
      <c r="F1649" s="2">
        <v>29.99</v>
      </c>
      <c r="G1649">
        <v>20</v>
      </c>
      <c r="H1649" s="2">
        <v>23.99</v>
      </c>
      <c r="I1649" s="2">
        <v>23.99</v>
      </c>
      <c r="J1649" t="s">
        <v>19</v>
      </c>
      <c r="K1649" t="s">
        <v>20</v>
      </c>
      <c r="L1649" t="s">
        <v>45</v>
      </c>
      <c r="M1649" t="s">
        <v>46</v>
      </c>
      <c r="N1649" t="s">
        <v>47</v>
      </c>
      <c r="O1649" t="s">
        <v>48</v>
      </c>
      <c r="P1649">
        <v>1</v>
      </c>
      <c r="Q1649" s="2">
        <f>Ventas[[#This Row],[precio_base]]*Ventas[[#This Row],[cantidad]]</f>
        <v>29.99</v>
      </c>
      <c r="R1649" s="2">
        <f>Ventas[[#This Row],[Total bruto (antes de descuento)]]-Ventas[[#This Row],[total_venta]]</f>
        <v>6</v>
      </c>
    </row>
    <row r="1650" spans="1:18" x14ac:dyDescent="0.25">
      <c r="A1650" t="s">
        <v>1743</v>
      </c>
      <c r="B1650" s="1">
        <v>45179</v>
      </c>
      <c r="C1650" t="s">
        <v>83</v>
      </c>
      <c r="D1650" t="s">
        <v>38</v>
      </c>
      <c r="E1650">
        <v>2</v>
      </c>
      <c r="F1650" s="2">
        <v>49.99</v>
      </c>
      <c r="G1650">
        <v>15</v>
      </c>
      <c r="H1650" s="2">
        <v>42.49</v>
      </c>
      <c r="I1650" s="2">
        <v>84.98</v>
      </c>
      <c r="J1650" t="s">
        <v>51</v>
      </c>
      <c r="K1650" t="s">
        <v>20</v>
      </c>
      <c r="L1650" t="s">
        <v>45</v>
      </c>
      <c r="M1650" t="s">
        <v>63</v>
      </c>
      <c r="N1650" t="s">
        <v>34</v>
      </c>
      <c r="O1650" t="s">
        <v>24</v>
      </c>
      <c r="Q1650" s="2">
        <f>Ventas[[#This Row],[precio_base]]*Ventas[[#This Row],[cantidad]]</f>
        <v>99.98</v>
      </c>
      <c r="R1650" s="2">
        <f>Ventas[[#This Row],[Total bruto (antes de descuento)]]-Ventas[[#This Row],[total_venta]]</f>
        <v>15</v>
      </c>
    </row>
    <row r="1651" spans="1:18" x14ac:dyDescent="0.25">
      <c r="A1651" t="s">
        <v>1744</v>
      </c>
      <c r="B1651" s="1">
        <v>45220</v>
      </c>
      <c r="C1651" t="s">
        <v>205</v>
      </c>
      <c r="D1651" t="s">
        <v>18</v>
      </c>
      <c r="E1651">
        <v>3</v>
      </c>
      <c r="F1651" s="2">
        <v>129.99</v>
      </c>
      <c r="G1651">
        <v>0</v>
      </c>
      <c r="H1651" s="2">
        <v>129.99</v>
      </c>
      <c r="I1651" s="2">
        <v>389.97</v>
      </c>
      <c r="J1651" t="s">
        <v>19</v>
      </c>
      <c r="K1651" t="s">
        <v>20</v>
      </c>
      <c r="L1651" t="s">
        <v>21</v>
      </c>
      <c r="M1651" t="s">
        <v>120</v>
      </c>
      <c r="N1651" t="s">
        <v>23</v>
      </c>
      <c r="O1651" t="s">
        <v>24</v>
      </c>
      <c r="P1651">
        <v>2</v>
      </c>
      <c r="Q1651" s="2">
        <f>Ventas[[#This Row],[precio_base]]*Ventas[[#This Row],[cantidad]]</f>
        <v>389.97</v>
      </c>
      <c r="R1651" s="2">
        <f>Ventas[[#This Row],[Total bruto (antes de descuento)]]-Ventas[[#This Row],[total_venta]]</f>
        <v>0</v>
      </c>
    </row>
    <row r="1652" spans="1:18" x14ac:dyDescent="0.25">
      <c r="A1652" t="s">
        <v>1745</v>
      </c>
      <c r="B1652" s="1">
        <v>45108</v>
      </c>
      <c r="C1652" t="s">
        <v>83</v>
      </c>
      <c r="D1652" t="s">
        <v>38</v>
      </c>
      <c r="E1652">
        <v>3</v>
      </c>
      <c r="F1652" s="2">
        <v>49.99</v>
      </c>
      <c r="G1652">
        <v>15</v>
      </c>
      <c r="H1652" s="2">
        <v>42.49</v>
      </c>
      <c r="I1652" s="2">
        <v>127.47</v>
      </c>
      <c r="J1652" t="s">
        <v>19</v>
      </c>
      <c r="K1652" t="s">
        <v>44</v>
      </c>
      <c r="L1652" t="s">
        <v>45</v>
      </c>
      <c r="M1652" t="s">
        <v>95</v>
      </c>
      <c r="N1652" t="s">
        <v>96</v>
      </c>
      <c r="O1652" t="s">
        <v>48</v>
      </c>
      <c r="P1652">
        <v>3</v>
      </c>
      <c r="Q1652" s="2">
        <f>Ventas[[#This Row],[precio_base]]*Ventas[[#This Row],[cantidad]]</f>
        <v>149.97</v>
      </c>
      <c r="R1652" s="2">
        <f>Ventas[[#This Row],[Total bruto (antes de descuento)]]-Ventas[[#This Row],[total_venta]]</f>
        <v>22.5</v>
      </c>
    </row>
    <row r="1653" spans="1:18" x14ac:dyDescent="0.25">
      <c r="A1653" t="s">
        <v>1746</v>
      </c>
      <c r="B1653" s="1">
        <v>45584</v>
      </c>
      <c r="C1653" t="s">
        <v>87</v>
      </c>
      <c r="D1653" t="s">
        <v>27</v>
      </c>
      <c r="E1653">
        <v>4</v>
      </c>
      <c r="F1653" s="2">
        <v>249.99</v>
      </c>
      <c r="G1653">
        <v>20</v>
      </c>
      <c r="H1653" s="2">
        <v>199.99</v>
      </c>
      <c r="I1653" s="2">
        <v>799.96</v>
      </c>
      <c r="J1653" t="s">
        <v>51</v>
      </c>
      <c r="K1653" t="s">
        <v>20</v>
      </c>
      <c r="L1653" t="s">
        <v>152</v>
      </c>
      <c r="M1653" t="s">
        <v>67</v>
      </c>
      <c r="N1653" t="s">
        <v>68</v>
      </c>
      <c r="O1653" t="s">
        <v>35</v>
      </c>
      <c r="Q1653" s="2">
        <f>Ventas[[#This Row],[precio_base]]*Ventas[[#This Row],[cantidad]]</f>
        <v>999.96</v>
      </c>
      <c r="R1653" s="2">
        <f>Ventas[[#This Row],[Total bruto (antes de descuento)]]-Ventas[[#This Row],[total_venta]]</f>
        <v>200</v>
      </c>
    </row>
    <row r="1654" spans="1:18" x14ac:dyDescent="0.25">
      <c r="A1654" t="s">
        <v>1747</v>
      </c>
      <c r="B1654" s="1">
        <v>45526</v>
      </c>
      <c r="C1654" t="s">
        <v>109</v>
      </c>
      <c r="D1654" t="s">
        <v>38</v>
      </c>
      <c r="E1654">
        <v>2</v>
      </c>
      <c r="F1654" s="2">
        <v>39.99</v>
      </c>
      <c r="G1654">
        <v>10</v>
      </c>
      <c r="H1654" s="2">
        <v>35.99</v>
      </c>
      <c r="I1654" s="2">
        <v>71.98</v>
      </c>
      <c r="J1654" t="s">
        <v>19</v>
      </c>
      <c r="K1654" t="s">
        <v>20</v>
      </c>
      <c r="L1654" t="s">
        <v>28</v>
      </c>
      <c r="M1654" t="s">
        <v>84</v>
      </c>
      <c r="N1654" t="s">
        <v>85</v>
      </c>
      <c r="O1654" t="s">
        <v>35</v>
      </c>
      <c r="P1654">
        <v>3</v>
      </c>
      <c r="Q1654" s="2">
        <f>Ventas[[#This Row],[precio_base]]*Ventas[[#This Row],[cantidad]]</f>
        <v>79.98</v>
      </c>
      <c r="R1654" s="2">
        <f>Ventas[[#This Row],[Total bruto (antes de descuento)]]-Ventas[[#This Row],[total_venta]]</f>
        <v>8</v>
      </c>
    </row>
    <row r="1655" spans="1:18" x14ac:dyDescent="0.25">
      <c r="A1655" t="s">
        <v>1748</v>
      </c>
      <c r="B1655" s="1">
        <v>45139</v>
      </c>
      <c r="C1655" t="s">
        <v>141</v>
      </c>
      <c r="D1655" t="s">
        <v>38</v>
      </c>
      <c r="E1655">
        <v>5</v>
      </c>
      <c r="F1655" s="2">
        <v>89.99</v>
      </c>
      <c r="G1655">
        <v>10</v>
      </c>
      <c r="H1655" s="2">
        <v>80.989999999999995</v>
      </c>
      <c r="I1655" s="2">
        <v>404.95</v>
      </c>
      <c r="J1655" t="s">
        <v>62</v>
      </c>
      <c r="K1655" t="s">
        <v>20</v>
      </c>
      <c r="L1655" t="s">
        <v>45</v>
      </c>
      <c r="M1655" t="s">
        <v>39</v>
      </c>
      <c r="N1655" t="s">
        <v>40</v>
      </c>
      <c r="O1655" t="s">
        <v>35</v>
      </c>
      <c r="Q1655" s="2">
        <f>Ventas[[#This Row],[precio_base]]*Ventas[[#This Row],[cantidad]]</f>
        <v>449.95</v>
      </c>
      <c r="R1655" s="2">
        <f>Ventas[[#This Row],[Total bruto (antes de descuento)]]-Ventas[[#This Row],[total_venta]]</f>
        <v>45</v>
      </c>
    </row>
    <row r="1656" spans="1:18" x14ac:dyDescent="0.25">
      <c r="A1656" t="s">
        <v>1749</v>
      </c>
      <c r="B1656" s="1">
        <v>45142</v>
      </c>
      <c r="C1656" t="s">
        <v>61</v>
      </c>
      <c r="D1656" t="s">
        <v>38</v>
      </c>
      <c r="E1656">
        <v>2</v>
      </c>
      <c r="F1656" s="2">
        <v>19.989999999999998</v>
      </c>
      <c r="G1656">
        <v>5</v>
      </c>
      <c r="H1656" s="2">
        <v>18.989999999999998</v>
      </c>
      <c r="I1656" s="2">
        <v>37.979999999999997</v>
      </c>
      <c r="J1656" t="s">
        <v>19</v>
      </c>
      <c r="K1656" t="s">
        <v>20</v>
      </c>
      <c r="L1656" t="s">
        <v>28</v>
      </c>
      <c r="M1656" t="s">
        <v>53</v>
      </c>
      <c r="N1656" t="s">
        <v>54</v>
      </c>
      <c r="O1656" t="s">
        <v>35</v>
      </c>
      <c r="P1656">
        <v>2</v>
      </c>
      <c r="Q1656" s="2">
        <f>Ventas[[#This Row],[precio_base]]*Ventas[[#This Row],[cantidad]]</f>
        <v>39.979999999999997</v>
      </c>
      <c r="R1656" s="2">
        <f>Ventas[[#This Row],[Total bruto (antes de descuento)]]-Ventas[[#This Row],[total_venta]]</f>
        <v>2</v>
      </c>
    </row>
    <row r="1657" spans="1:18" x14ac:dyDescent="0.25">
      <c r="A1657" t="s">
        <v>1750</v>
      </c>
      <c r="B1657" s="1">
        <v>45413</v>
      </c>
      <c r="C1657" t="s">
        <v>78</v>
      </c>
      <c r="D1657" t="s">
        <v>18</v>
      </c>
      <c r="E1657">
        <v>4</v>
      </c>
      <c r="F1657" s="2">
        <v>349.99</v>
      </c>
      <c r="G1657">
        <v>10</v>
      </c>
      <c r="H1657" s="2">
        <v>314.99</v>
      </c>
      <c r="I1657" s="2">
        <v>1259.96</v>
      </c>
      <c r="J1657" t="s">
        <v>19</v>
      </c>
      <c r="K1657" t="s">
        <v>20</v>
      </c>
      <c r="L1657" t="s">
        <v>45</v>
      </c>
      <c r="M1657" t="s">
        <v>33</v>
      </c>
      <c r="N1657" t="s">
        <v>34</v>
      </c>
      <c r="O1657" t="s">
        <v>35</v>
      </c>
      <c r="P1657">
        <v>1</v>
      </c>
      <c r="Q1657" s="2">
        <f>Ventas[[#This Row],[precio_base]]*Ventas[[#This Row],[cantidad]]</f>
        <v>1399.96</v>
      </c>
      <c r="R1657" s="2">
        <f>Ventas[[#This Row],[Total bruto (antes de descuento)]]-Ventas[[#This Row],[total_venta]]</f>
        <v>140</v>
      </c>
    </row>
    <row r="1658" spans="1:18" x14ac:dyDescent="0.25">
      <c r="A1658" t="s">
        <v>1751</v>
      </c>
      <c r="B1658" s="1">
        <v>45257</v>
      </c>
      <c r="C1658" t="s">
        <v>30</v>
      </c>
      <c r="D1658" t="s">
        <v>31</v>
      </c>
      <c r="E1658">
        <v>1</v>
      </c>
      <c r="F1658" s="2">
        <v>299.99</v>
      </c>
      <c r="G1658">
        <v>15</v>
      </c>
      <c r="H1658" s="2">
        <v>254.99</v>
      </c>
      <c r="I1658" s="2">
        <v>254.99</v>
      </c>
      <c r="J1658" t="s">
        <v>19</v>
      </c>
      <c r="K1658" t="s">
        <v>20</v>
      </c>
      <c r="L1658" t="s">
        <v>45</v>
      </c>
      <c r="M1658" t="s">
        <v>53</v>
      </c>
      <c r="N1658" t="s">
        <v>54</v>
      </c>
      <c r="O1658" t="s">
        <v>35</v>
      </c>
      <c r="P1658">
        <v>3</v>
      </c>
      <c r="Q1658" s="2">
        <f>Ventas[[#This Row],[precio_base]]*Ventas[[#This Row],[cantidad]]</f>
        <v>299.99</v>
      </c>
      <c r="R1658" s="2">
        <f>Ventas[[#This Row],[Total bruto (antes de descuento)]]-Ventas[[#This Row],[total_venta]]</f>
        <v>45</v>
      </c>
    </row>
    <row r="1659" spans="1:18" x14ac:dyDescent="0.25">
      <c r="A1659" t="s">
        <v>1752</v>
      </c>
      <c r="B1659" s="1">
        <v>45271</v>
      </c>
      <c r="C1659" t="s">
        <v>72</v>
      </c>
      <c r="D1659" t="s">
        <v>31</v>
      </c>
      <c r="E1659">
        <v>1</v>
      </c>
      <c r="F1659" s="2">
        <v>29.99</v>
      </c>
      <c r="G1659">
        <v>0</v>
      </c>
      <c r="H1659" s="2">
        <v>29.99</v>
      </c>
      <c r="I1659" s="2">
        <v>29.99</v>
      </c>
      <c r="J1659" t="s">
        <v>90</v>
      </c>
      <c r="K1659" t="s">
        <v>20</v>
      </c>
      <c r="L1659" t="s">
        <v>45</v>
      </c>
      <c r="M1659" t="s">
        <v>58</v>
      </c>
      <c r="N1659" t="s">
        <v>59</v>
      </c>
      <c r="O1659" t="s">
        <v>24</v>
      </c>
      <c r="Q1659" s="2">
        <f>Ventas[[#This Row],[precio_base]]*Ventas[[#This Row],[cantidad]]</f>
        <v>29.99</v>
      </c>
      <c r="R1659" s="2">
        <f>Ventas[[#This Row],[Total bruto (antes de descuento)]]-Ventas[[#This Row],[total_venta]]</f>
        <v>0</v>
      </c>
    </row>
    <row r="1660" spans="1:18" x14ac:dyDescent="0.25">
      <c r="A1660" t="s">
        <v>1753</v>
      </c>
      <c r="B1660" s="1">
        <v>44949</v>
      </c>
      <c r="C1660" t="s">
        <v>151</v>
      </c>
      <c r="D1660" t="s">
        <v>27</v>
      </c>
      <c r="E1660">
        <v>5</v>
      </c>
      <c r="F1660" s="2">
        <v>599.99</v>
      </c>
      <c r="G1660">
        <v>5</v>
      </c>
      <c r="H1660" s="2">
        <v>569.99</v>
      </c>
      <c r="I1660" s="2">
        <v>2849.95</v>
      </c>
      <c r="J1660" t="s">
        <v>19</v>
      </c>
      <c r="K1660" t="s">
        <v>20</v>
      </c>
      <c r="L1660" t="s">
        <v>45</v>
      </c>
      <c r="M1660" t="s">
        <v>84</v>
      </c>
      <c r="N1660" t="s">
        <v>85</v>
      </c>
      <c r="O1660" t="s">
        <v>35</v>
      </c>
      <c r="P1660">
        <v>2</v>
      </c>
      <c r="Q1660" s="2">
        <f>Ventas[[#This Row],[precio_base]]*Ventas[[#This Row],[cantidad]]</f>
        <v>2999.95</v>
      </c>
      <c r="R1660" s="2">
        <f>Ventas[[#This Row],[Total bruto (antes de descuento)]]-Ventas[[#This Row],[total_venta]]</f>
        <v>150</v>
      </c>
    </row>
    <row r="1661" spans="1:18" x14ac:dyDescent="0.25">
      <c r="A1661" t="s">
        <v>1754</v>
      </c>
      <c r="B1661" s="1">
        <v>45185</v>
      </c>
      <c r="C1661" t="s">
        <v>76</v>
      </c>
      <c r="D1661" t="s">
        <v>31</v>
      </c>
      <c r="E1661">
        <v>3</v>
      </c>
      <c r="F1661" s="2">
        <v>69.989999999999995</v>
      </c>
      <c r="G1661">
        <v>10</v>
      </c>
      <c r="H1661" s="2">
        <v>62.99</v>
      </c>
      <c r="I1661" s="2">
        <v>188.97</v>
      </c>
      <c r="J1661" t="s">
        <v>19</v>
      </c>
      <c r="K1661" t="s">
        <v>20</v>
      </c>
      <c r="L1661" t="s">
        <v>21</v>
      </c>
      <c r="M1661" t="s">
        <v>73</v>
      </c>
      <c r="N1661" t="s">
        <v>74</v>
      </c>
      <c r="O1661" t="s">
        <v>35</v>
      </c>
      <c r="P1661">
        <v>2</v>
      </c>
      <c r="Q1661" s="2">
        <f>Ventas[[#This Row],[precio_base]]*Ventas[[#This Row],[cantidad]]</f>
        <v>209.96999999999997</v>
      </c>
      <c r="R1661" s="2">
        <f>Ventas[[#This Row],[Total bruto (antes de descuento)]]-Ventas[[#This Row],[total_venta]]</f>
        <v>20.999999999999972</v>
      </c>
    </row>
    <row r="1662" spans="1:18" x14ac:dyDescent="0.25">
      <c r="A1662" t="s">
        <v>1755</v>
      </c>
      <c r="B1662" s="1">
        <v>45446</v>
      </c>
      <c r="C1662" t="s">
        <v>17</v>
      </c>
      <c r="D1662" t="s">
        <v>18</v>
      </c>
      <c r="E1662">
        <v>4</v>
      </c>
      <c r="F1662" s="2">
        <v>45.99</v>
      </c>
      <c r="G1662">
        <v>5</v>
      </c>
      <c r="H1662" s="2">
        <v>43.69</v>
      </c>
      <c r="I1662" s="2">
        <v>174.76</v>
      </c>
      <c r="J1662" t="s">
        <v>51</v>
      </c>
      <c r="K1662" t="s">
        <v>20</v>
      </c>
      <c r="L1662" t="s">
        <v>21</v>
      </c>
      <c r="M1662" t="s">
        <v>33</v>
      </c>
      <c r="N1662" t="s">
        <v>34</v>
      </c>
      <c r="O1662" t="s">
        <v>35</v>
      </c>
      <c r="Q1662" s="2">
        <f>Ventas[[#This Row],[precio_base]]*Ventas[[#This Row],[cantidad]]</f>
        <v>183.96</v>
      </c>
      <c r="R1662" s="2">
        <f>Ventas[[#This Row],[Total bruto (antes de descuento)]]-Ventas[[#This Row],[total_venta]]</f>
        <v>9.2000000000000171</v>
      </c>
    </row>
    <row r="1663" spans="1:18" x14ac:dyDescent="0.25">
      <c r="A1663" t="s">
        <v>1756</v>
      </c>
      <c r="B1663" s="1">
        <v>45451</v>
      </c>
      <c r="C1663" t="s">
        <v>205</v>
      </c>
      <c r="D1663" t="s">
        <v>18</v>
      </c>
      <c r="E1663">
        <v>3</v>
      </c>
      <c r="F1663" s="2">
        <v>129.99</v>
      </c>
      <c r="G1663">
        <v>10</v>
      </c>
      <c r="H1663" s="2">
        <v>116.99</v>
      </c>
      <c r="I1663" s="2">
        <v>350.97</v>
      </c>
      <c r="J1663" t="s">
        <v>116</v>
      </c>
      <c r="K1663" t="s">
        <v>20</v>
      </c>
      <c r="L1663" t="s">
        <v>152</v>
      </c>
      <c r="M1663" t="s">
        <v>65</v>
      </c>
      <c r="N1663" t="s">
        <v>54</v>
      </c>
      <c r="O1663" t="s">
        <v>35</v>
      </c>
      <c r="Q1663" s="2">
        <f>Ventas[[#This Row],[precio_base]]*Ventas[[#This Row],[cantidad]]</f>
        <v>389.97</v>
      </c>
      <c r="R1663" s="2">
        <f>Ventas[[#This Row],[Total bruto (antes de descuento)]]-Ventas[[#This Row],[total_venta]]</f>
        <v>39</v>
      </c>
    </row>
    <row r="1664" spans="1:18" x14ac:dyDescent="0.25">
      <c r="A1664" t="s">
        <v>1757</v>
      </c>
      <c r="B1664" s="1">
        <v>45069</v>
      </c>
      <c r="C1664" t="s">
        <v>78</v>
      </c>
      <c r="D1664" t="s">
        <v>18</v>
      </c>
      <c r="E1664">
        <v>3</v>
      </c>
      <c r="F1664" s="2">
        <v>349.99</v>
      </c>
      <c r="G1664">
        <v>20</v>
      </c>
      <c r="H1664" s="2">
        <v>279.99</v>
      </c>
      <c r="I1664" s="2">
        <v>839.97</v>
      </c>
      <c r="J1664" t="s">
        <v>90</v>
      </c>
      <c r="K1664" t="s">
        <v>20</v>
      </c>
      <c r="L1664" t="s">
        <v>28</v>
      </c>
      <c r="M1664" t="s">
        <v>95</v>
      </c>
      <c r="N1664" t="s">
        <v>96</v>
      </c>
      <c r="O1664" t="s">
        <v>48</v>
      </c>
      <c r="Q1664" s="2">
        <f>Ventas[[#This Row],[precio_base]]*Ventas[[#This Row],[cantidad]]</f>
        <v>1049.97</v>
      </c>
      <c r="R1664" s="2">
        <f>Ventas[[#This Row],[Total bruto (antes de descuento)]]-Ventas[[#This Row],[total_venta]]</f>
        <v>210</v>
      </c>
    </row>
    <row r="1665" spans="1:18" x14ac:dyDescent="0.25">
      <c r="A1665" t="s">
        <v>1758</v>
      </c>
      <c r="B1665" s="1">
        <v>45281</v>
      </c>
      <c r="C1665" t="s">
        <v>151</v>
      </c>
      <c r="D1665" t="s">
        <v>27</v>
      </c>
      <c r="E1665">
        <v>4</v>
      </c>
      <c r="F1665" s="2">
        <v>599.99</v>
      </c>
      <c r="G1665">
        <v>0</v>
      </c>
      <c r="H1665" s="2">
        <v>599.99</v>
      </c>
      <c r="I1665" s="2">
        <v>2399.96</v>
      </c>
      <c r="J1665" t="s">
        <v>19</v>
      </c>
      <c r="K1665" t="s">
        <v>20</v>
      </c>
      <c r="L1665" t="s">
        <v>32</v>
      </c>
      <c r="M1665" t="s">
        <v>73</v>
      </c>
      <c r="N1665" t="s">
        <v>74</v>
      </c>
      <c r="O1665" t="s">
        <v>35</v>
      </c>
      <c r="P1665">
        <v>3</v>
      </c>
      <c r="Q1665" s="2">
        <f>Ventas[[#This Row],[precio_base]]*Ventas[[#This Row],[cantidad]]</f>
        <v>2399.96</v>
      </c>
      <c r="R1665" s="2">
        <f>Ventas[[#This Row],[Total bruto (antes de descuento)]]-Ventas[[#This Row],[total_venta]]</f>
        <v>0</v>
      </c>
    </row>
    <row r="1666" spans="1:18" x14ac:dyDescent="0.25">
      <c r="A1666" t="s">
        <v>1759</v>
      </c>
      <c r="B1666" s="1">
        <v>45241</v>
      </c>
      <c r="C1666" t="s">
        <v>56</v>
      </c>
      <c r="D1666" t="s">
        <v>18</v>
      </c>
      <c r="E1666">
        <v>2</v>
      </c>
      <c r="F1666" s="2">
        <v>89.99</v>
      </c>
      <c r="G1666">
        <v>0</v>
      </c>
      <c r="H1666" s="2">
        <v>89.99</v>
      </c>
      <c r="I1666" s="2">
        <v>179.98</v>
      </c>
      <c r="J1666" t="s">
        <v>62</v>
      </c>
      <c r="K1666" t="s">
        <v>20</v>
      </c>
      <c r="L1666" t="s">
        <v>21</v>
      </c>
      <c r="M1666" t="s">
        <v>120</v>
      </c>
      <c r="N1666" t="s">
        <v>23</v>
      </c>
      <c r="O1666" t="s">
        <v>24</v>
      </c>
      <c r="Q1666" s="2">
        <f>Ventas[[#This Row],[precio_base]]*Ventas[[#This Row],[cantidad]]</f>
        <v>179.98</v>
      </c>
      <c r="R1666" s="2">
        <f>Ventas[[#This Row],[Total bruto (antes de descuento)]]-Ventas[[#This Row],[total_venta]]</f>
        <v>0</v>
      </c>
    </row>
    <row r="1667" spans="1:18" x14ac:dyDescent="0.25">
      <c r="A1667" t="s">
        <v>1760</v>
      </c>
      <c r="B1667" s="1">
        <v>45628</v>
      </c>
      <c r="C1667" t="s">
        <v>50</v>
      </c>
      <c r="D1667" t="s">
        <v>27</v>
      </c>
      <c r="E1667">
        <v>3</v>
      </c>
      <c r="F1667" s="2">
        <v>149.99</v>
      </c>
      <c r="G1667">
        <v>0</v>
      </c>
      <c r="H1667" s="2">
        <v>149.99</v>
      </c>
      <c r="I1667" s="2">
        <v>449.97</v>
      </c>
      <c r="J1667" t="s">
        <v>19</v>
      </c>
      <c r="K1667" t="s">
        <v>20</v>
      </c>
      <c r="L1667" t="s">
        <v>45</v>
      </c>
      <c r="M1667" t="s">
        <v>123</v>
      </c>
      <c r="N1667" t="s">
        <v>124</v>
      </c>
      <c r="O1667" t="s">
        <v>24</v>
      </c>
      <c r="P1667">
        <v>4</v>
      </c>
      <c r="Q1667" s="2">
        <f>Ventas[[#This Row],[precio_base]]*Ventas[[#This Row],[cantidad]]</f>
        <v>449.97</v>
      </c>
      <c r="R1667" s="2">
        <f>Ventas[[#This Row],[Total bruto (antes de descuento)]]-Ventas[[#This Row],[total_venta]]</f>
        <v>0</v>
      </c>
    </row>
    <row r="1668" spans="1:18" x14ac:dyDescent="0.25">
      <c r="A1668" t="s">
        <v>1761</v>
      </c>
      <c r="B1668" s="1">
        <v>45642</v>
      </c>
      <c r="C1668" t="s">
        <v>115</v>
      </c>
      <c r="D1668" t="s">
        <v>18</v>
      </c>
      <c r="E1668">
        <v>4</v>
      </c>
      <c r="F1668" s="2">
        <v>799.99</v>
      </c>
      <c r="G1668">
        <v>15</v>
      </c>
      <c r="H1668" s="2">
        <v>679.99</v>
      </c>
      <c r="I1668" s="2">
        <v>2719.96</v>
      </c>
      <c r="J1668" t="s">
        <v>19</v>
      </c>
      <c r="K1668" t="s">
        <v>44</v>
      </c>
      <c r="L1668" t="s">
        <v>28</v>
      </c>
      <c r="M1668" t="s">
        <v>101</v>
      </c>
      <c r="N1668" t="s">
        <v>102</v>
      </c>
      <c r="O1668" t="s">
        <v>35</v>
      </c>
      <c r="P1668">
        <v>1</v>
      </c>
      <c r="Q1668" s="2">
        <f>Ventas[[#This Row],[precio_base]]*Ventas[[#This Row],[cantidad]]</f>
        <v>3199.96</v>
      </c>
      <c r="R1668" s="2">
        <f>Ventas[[#This Row],[Total bruto (antes de descuento)]]-Ventas[[#This Row],[total_venta]]</f>
        <v>480</v>
      </c>
    </row>
    <row r="1669" spans="1:18" x14ac:dyDescent="0.25">
      <c r="A1669" t="s">
        <v>1762</v>
      </c>
      <c r="B1669" s="1">
        <v>45323</v>
      </c>
      <c r="C1669" t="s">
        <v>78</v>
      </c>
      <c r="D1669" t="s">
        <v>18</v>
      </c>
      <c r="E1669">
        <v>3</v>
      </c>
      <c r="F1669" s="2">
        <v>349.99</v>
      </c>
      <c r="G1669">
        <v>20</v>
      </c>
      <c r="H1669" s="2">
        <v>279.99</v>
      </c>
      <c r="I1669" s="2">
        <v>839.97</v>
      </c>
      <c r="J1669" t="s">
        <v>90</v>
      </c>
      <c r="K1669" t="s">
        <v>52</v>
      </c>
      <c r="L1669" t="s">
        <v>32</v>
      </c>
      <c r="M1669" t="s">
        <v>120</v>
      </c>
      <c r="N1669" t="s">
        <v>23</v>
      </c>
      <c r="O1669" t="s">
        <v>24</v>
      </c>
      <c r="Q1669" s="2">
        <f>Ventas[[#This Row],[precio_base]]*Ventas[[#This Row],[cantidad]]</f>
        <v>1049.97</v>
      </c>
      <c r="R1669" s="2">
        <f>Ventas[[#This Row],[Total bruto (antes de descuento)]]-Ventas[[#This Row],[total_venta]]</f>
        <v>210</v>
      </c>
    </row>
    <row r="1670" spans="1:18" x14ac:dyDescent="0.25">
      <c r="A1670" t="s">
        <v>1763</v>
      </c>
      <c r="B1670" s="1">
        <v>45617</v>
      </c>
      <c r="C1670" t="s">
        <v>76</v>
      </c>
      <c r="D1670" t="s">
        <v>31</v>
      </c>
      <c r="E1670">
        <v>4</v>
      </c>
      <c r="F1670" s="2">
        <v>69.989999999999995</v>
      </c>
      <c r="G1670">
        <v>10</v>
      </c>
      <c r="H1670" s="2">
        <v>62.99</v>
      </c>
      <c r="I1670" s="2">
        <v>251.96</v>
      </c>
      <c r="J1670" t="s">
        <v>19</v>
      </c>
      <c r="K1670" t="s">
        <v>20</v>
      </c>
      <c r="L1670" t="s">
        <v>28</v>
      </c>
      <c r="M1670" t="s">
        <v>95</v>
      </c>
      <c r="N1670" t="s">
        <v>96</v>
      </c>
      <c r="O1670" t="s">
        <v>48</v>
      </c>
      <c r="P1670">
        <v>5</v>
      </c>
      <c r="Q1670" s="2">
        <f>Ventas[[#This Row],[precio_base]]*Ventas[[#This Row],[cantidad]]</f>
        <v>279.95999999999998</v>
      </c>
      <c r="R1670" s="2">
        <f>Ventas[[#This Row],[Total bruto (antes de descuento)]]-Ventas[[#This Row],[total_venta]]</f>
        <v>27.999999999999972</v>
      </c>
    </row>
    <row r="1671" spans="1:18" x14ac:dyDescent="0.25">
      <c r="A1671" t="s">
        <v>1764</v>
      </c>
      <c r="B1671" s="1">
        <v>44954</v>
      </c>
      <c r="C1671" t="s">
        <v>163</v>
      </c>
      <c r="D1671" t="s">
        <v>18</v>
      </c>
      <c r="E1671">
        <v>5</v>
      </c>
      <c r="F1671" s="2">
        <v>499.99</v>
      </c>
      <c r="G1671">
        <v>0</v>
      </c>
      <c r="H1671" s="2">
        <v>499.99</v>
      </c>
      <c r="I1671" s="2">
        <v>2499.9499999999998</v>
      </c>
      <c r="J1671" t="s">
        <v>51</v>
      </c>
      <c r="K1671" t="s">
        <v>20</v>
      </c>
      <c r="L1671" t="s">
        <v>45</v>
      </c>
      <c r="M1671" t="s">
        <v>123</v>
      </c>
      <c r="N1671" t="s">
        <v>124</v>
      </c>
      <c r="O1671" t="s">
        <v>24</v>
      </c>
      <c r="Q1671" s="2">
        <f>Ventas[[#This Row],[precio_base]]*Ventas[[#This Row],[cantidad]]</f>
        <v>2499.9499999999998</v>
      </c>
      <c r="R1671" s="2">
        <f>Ventas[[#This Row],[Total bruto (antes de descuento)]]-Ventas[[#This Row],[total_venta]]</f>
        <v>0</v>
      </c>
    </row>
    <row r="1672" spans="1:18" x14ac:dyDescent="0.25">
      <c r="A1672" t="s">
        <v>1765</v>
      </c>
      <c r="B1672" s="1">
        <v>44928</v>
      </c>
      <c r="C1672" t="s">
        <v>156</v>
      </c>
      <c r="D1672" t="s">
        <v>27</v>
      </c>
      <c r="E1672">
        <v>5</v>
      </c>
      <c r="F1672" s="2">
        <v>49.99</v>
      </c>
      <c r="G1672">
        <v>20</v>
      </c>
      <c r="H1672" s="2">
        <v>39.99</v>
      </c>
      <c r="I1672" s="2">
        <v>199.95</v>
      </c>
      <c r="J1672" t="s">
        <v>19</v>
      </c>
      <c r="K1672" t="s">
        <v>44</v>
      </c>
      <c r="L1672" t="s">
        <v>21</v>
      </c>
      <c r="M1672" t="s">
        <v>95</v>
      </c>
      <c r="N1672" t="s">
        <v>96</v>
      </c>
      <c r="O1672" t="s">
        <v>48</v>
      </c>
      <c r="P1672">
        <v>2</v>
      </c>
      <c r="Q1672" s="2">
        <f>Ventas[[#This Row],[precio_base]]*Ventas[[#This Row],[cantidad]]</f>
        <v>249.95000000000002</v>
      </c>
      <c r="R1672" s="2">
        <f>Ventas[[#This Row],[Total bruto (antes de descuento)]]-Ventas[[#This Row],[total_venta]]</f>
        <v>50.000000000000028</v>
      </c>
    </row>
    <row r="1673" spans="1:18" x14ac:dyDescent="0.25">
      <c r="A1673" t="s">
        <v>1766</v>
      </c>
      <c r="B1673" s="1">
        <v>44972</v>
      </c>
      <c r="C1673" t="s">
        <v>115</v>
      </c>
      <c r="D1673" t="s">
        <v>18</v>
      </c>
      <c r="E1673">
        <v>3</v>
      </c>
      <c r="F1673" s="2">
        <v>799.99</v>
      </c>
      <c r="G1673">
        <v>5</v>
      </c>
      <c r="H1673" s="2">
        <v>759.99</v>
      </c>
      <c r="I1673" s="2">
        <v>2279.9699999999998</v>
      </c>
      <c r="J1673" t="s">
        <v>19</v>
      </c>
      <c r="K1673" t="s">
        <v>44</v>
      </c>
      <c r="L1673" t="s">
        <v>45</v>
      </c>
      <c r="M1673" t="s">
        <v>120</v>
      </c>
      <c r="N1673" t="s">
        <v>23</v>
      </c>
      <c r="O1673" t="s">
        <v>24</v>
      </c>
      <c r="P1673">
        <v>3</v>
      </c>
      <c r="Q1673" s="2">
        <f>Ventas[[#This Row],[precio_base]]*Ventas[[#This Row],[cantidad]]</f>
        <v>2399.9700000000003</v>
      </c>
      <c r="R1673" s="2">
        <f>Ventas[[#This Row],[Total bruto (antes de descuento)]]-Ventas[[#This Row],[total_venta]]</f>
        <v>120.00000000000045</v>
      </c>
    </row>
    <row r="1674" spans="1:18" x14ac:dyDescent="0.25">
      <c r="A1674" t="s">
        <v>1767</v>
      </c>
      <c r="B1674" s="1">
        <v>45245</v>
      </c>
      <c r="C1674" t="s">
        <v>109</v>
      </c>
      <c r="D1674" t="s">
        <v>38</v>
      </c>
      <c r="E1674">
        <v>4</v>
      </c>
      <c r="F1674" s="2">
        <v>39.99</v>
      </c>
      <c r="G1674">
        <v>0</v>
      </c>
      <c r="H1674" s="2">
        <v>39.99</v>
      </c>
      <c r="I1674" s="2">
        <v>159.96</v>
      </c>
      <c r="J1674" t="s">
        <v>19</v>
      </c>
      <c r="K1674" t="s">
        <v>20</v>
      </c>
      <c r="L1674" t="s">
        <v>45</v>
      </c>
      <c r="M1674" t="s">
        <v>120</v>
      </c>
      <c r="N1674" t="s">
        <v>23</v>
      </c>
      <c r="O1674" t="s">
        <v>24</v>
      </c>
      <c r="P1674">
        <v>5</v>
      </c>
      <c r="Q1674" s="2">
        <f>Ventas[[#This Row],[precio_base]]*Ventas[[#This Row],[cantidad]]</f>
        <v>159.96</v>
      </c>
      <c r="R1674" s="2">
        <f>Ventas[[#This Row],[Total bruto (antes de descuento)]]-Ventas[[#This Row],[total_venta]]</f>
        <v>0</v>
      </c>
    </row>
    <row r="1675" spans="1:18" x14ac:dyDescent="0.25">
      <c r="A1675" t="s">
        <v>1768</v>
      </c>
      <c r="B1675" s="1">
        <v>45035</v>
      </c>
      <c r="C1675" t="s">
        <v>151</v>
      </c>
      <c r="D1675" t="s">
        <v>27</v>
      </c>
      <c r="E1675">
        <v>1</v>
      </c>
      <c r="F1675" s="2">
        <v>599.99</v>
      </c>
      <c r="G1675">
        <v>0</v>
      </c>
      <c r="H1675" s="2">
        <v>599.99</v>
      </c>
      <c r="I1675" s="2">
        <v>599.99</v>
      </c>
      <c r="J1675" t="s">
        <v>51</v>
      </c>
      <c r="K1675" t="s">
        <v>44</v>
      </c>
      <c r="L1675" t="s">
        <v>45</v>
      </c>
      <c r="M1675" t="s">
        <v>95</v>
      </c>
      <c r="N1675" t="s">
        <v>96</v>
      </c>
      <c r="O1675" t="s">
        <v>48</v>
      </c>
      <c r="Q1675" s="2">
        <f>Ventas[[#This Row],[precio_base]]*Ventas[[#This Row],[cantidad]]</f>
        <v>599.99</v>
      </c>
      <c r="R1675" s="2">
        <f>Ventas[[#This Row],[Total bruto (antes de descuento)]]-Ventas[[#This Row],[total_venta]]</f>
        <v>0</v>
      </c>
    </row>
    <row r="1676" spans="1:18" x14ac:dyDescent="0.25">
      <c r="A1676" t="s">
        <v>1769</v>
      </c>
      <c r="B1676" s="1">
        <v>44939</v>
      </c>
      <c r="C1676" t="s">
        <v>205</v>
      </c>
      <c r="D1676" t="s">
        <v>18</v>
      </c>
      <c r="E1676">
        <v>3</v>
      </c>
      <c r="F1676" s="2">
        <v>129.99</v>
      </c>
      <c r="G1676">
        <v>0</v>
      </c>
      <c r="H1676" s="2">
        <v>129.99</v>
      </c>
      <c r="I1676" s="2">
        <v>389.97</v>
      </c>
      <c r="J1676" t="s">
        <v>19</v>
      </c>
      <c r="K1676" t="s">
        <v>44</v>
      </c>
      <c r="L1676" t="s">
        <v>21</v>
      </c>
      <c r="M1676" t="s">
        <v>120</v>
      </c>
      <c r="N1676" t="s">
        <v>23</v>
      </c>
      <c r="O1676" t="s">
        <v>24</v>
      </c>
      <c r="P1676">
        <v>4</v>
      </c>
      <c r="Q1676" s="2">
        <f>Ventas[[#This Row],[precio_base]]*Ventas[[#This Row],[cantidad]]</f>
        <v>389.97</v>
      </c>
      <c r="R1676" s="2">
        <f>Ventas[[#This Row],[Total bruto (antes de descuento)]]-Ventas[[#This Row],[total_venta]]</f>
        <v>0</v>
      </c>
    </row>
    <row r="1677" spans="1:18" x14ac:dyDescent="0.25">
      <c r="A1677" t="s">
        <v>1770</v>
      </c>
      <c r="B1677" s="1">
        <v>45359</v>
      </c>
      <c r="C1677" t="s">
        <v>98</v>
      </c>
      <c r="D1677" t="s">
        <v>31</v>
      </c>
      <c r="E1677">
        <v>1</v>
      </c>
      <c r="F1677" s="2">
        <v>99.99</v>
      </c>
      <c r="G1677">
        <v>0</v>
      </c>
      <c r="H1677" s="2">
        <v>99.99</v>
      </c>
      <c r="I1677" s="2">
        <v>99.99</v>
      </c>
      <c r="J1677" t="s">
        <v>19</v>
      </c>
      <c r="K1677" t="s">
        <v>44</v>
      </c>
      <c r="L1677" t="s">
        <v>28</v>
      </c>
      <c r="M1677" t="s">
        <v>84</v>
      </c>
      <c r="N1677" t="s">
        <v>85</v>
      </c>
      <c r="O1677" t="s">
        <v>35</v>
      </c>
      <c r="P1677">
        <v>4</v>
      </c>
      <c r="Q1677" s="2">
        <f>Ventas[[#This Row],[precio_base]]*Ventas[[#This Row],[cantidad]]</f>
        <v>99.99</v>
      </c>
      <c r="R1677" s="2">
        <f>Ventas[[#This Row],[Total bruto (antes de descuento)]]-Ventas[[#This Row],[total_venta]]</f>
        <v>0</v>
      </c>
    </row>
    <row r="1678" spans="1:18" x14ac:dyDescent="0.25">
      <c r="A1678" t="s">
        <v>1771</v>
      </c>
      <c r="B1678" s="1">
        <v>45441</v>
      </c>
      <c r="C1678" t="s">
        <v>89</v>
      </c>
      <c r="D1678" t="s">
        <v>38</v>
      </c>
      <c r="E1678">
        <v>4</v>
      </c>
      <c r="F1678" s="2">
        <v>69.989999999999995</v>
      </c>
      <c r="G1678">
        <v>15</v>
      </c>
      <c r="H1678" s="2">
        <v>59.49</v>
      </c>
      <c r="I1678" s="2">
        <v>237.96</v>
      </c>
      <c r="J1678" t="s">
        <v>19</v>
      </c>
      <c r="K1678" t="s">
        <v>57</v>
      </c>
      <c r="L1678" t="s">
        <v>21</v>
      </c>
      <c r="M1678" t="s">
        <v>65</v>
      </c>
      <c r="N1678" t="s">
        <v>54</v>
      </c>
      <c r="O1678" t="s">
        <v>35</v>
      </c>
      <c r="P1678">
        <v>2</v>
      </c>
      <c r="Q1678" s="2">
        <f>Ventas[[#This Row],[precio_base]]*Ventas[[#This Row],[cantidad]]</f>
        <v>279.95999999999998</v>
      </c>
      <c r="R1678" s="2">
        <f>Ventas[[#This Row],[Total bruto (antes de descuento)]]-Ventas[[#This Row],[total_venta]]</f>
        <v>41.999999999999972</v>
      </c>
    </row>
    <row r="1679" spans="1:18" x14ac:dyDescent="0.25">
      <c r="A1679" t="s">
        <v>1772</v>
      </c>
      <c r="B1679" s="1">
        <v>45361</v>
      </c>
      <c r="C1679" t="s">
        <v>50</v>
      </c>
      <c r="D1679" t="s">
        <v>27</v>
      </c>
      <c r="E1679">
        <v>4</v>
      </c>
      <c r="F1679" s="2">
        <v>149.99</v>
      </c>
      <c r="G1679">
        <v>20</v>
      </c>
      <c r="H1679" s="2">
        <v>119.99</v>
      </c>
      <c r="I1679" s="2">
        <v>479.96</v>
      </c>
      <c r="J1679" t="s">
        <v>51</v>
      </c>
      <c r="K1679" t="s">
        <v>20</v>
      </c>
      <c r="L1679" t="s">
        <v>152</v>
      </c>
      <c r="M1679" t="s">
        <v>63</v>
      </c>
      <c r="N1679" t="s">
        <v>34</v>
      </c>
      <c r="O1679" t="s">
        <v>24</v>
      </c>
      <c r="Q1679" s="2">
        <f>Ventas[[#This Row],[precio_base]]*Ventas[[#This Row],[cantidad]]</f>
        <v>599.96</v>
      </c>
      <c r="R1679" s="2">
        <f>Ventas[[#This Row],[Total bruto (antes de descuento)]]-Ventas[[#This Row],[total_venta]]</f>
        <v>120.00000000000006</v>
      </c>
    </row>
    <row r="1680" spans="1:18" x14ac:dyDescent="0.25">
      <c r="A1680" t="s">
        <v>1773</v>
      </c>
      <c r="B1680" s="1">
        <v>45651</v>
      </c>
      <c r="C1680" t="s">
        <v>26</v>
      </c>
      <c r="D1680" t="s">
        <v>27</v>
      </c>
      <c r="E1680">
        <v>3</v>
      </c>
      <c r="F1680" s="2">
        <v>399.99</v>
      </c>
      <c r="G1680">
        <v>0</v>
      </c>
      <c r="H1680" s="2">
        <v>399.99</v>
      </c>
      <c r="I1680" s="2">
        <v>1199.97</v>
      </c>
      <c r="J1680" t="s">
        <v>19</v>
      </c>
      <c r="K1680" t="s">
        <v>44</v>
      </c>
      <c r="L1680" t="s">
        <v>45</v>
      </c>
      <c r="M1680" t="s">
        <v>33</v>
      </c>
      <c r="N1680" t="s">
        <v>34</v>
      </c>
      <c r="O1680" t="s">
        <v>35</v>
      </c>
      <c r="P1680">
        <v>1</v>
      </c>
      <c r="Q1680" s="2">
        <f>Ventas[[#This Row],[precio_base]]*Ventas[[#This Row],[cantidad]]</f>
        <v>1199.97</v>
      </c>
      <c r="R1680" s="2">
        <f>Ventas[[#This Row],[Total bruto (antes de descuento)]]-Ventas[[#This Row],[total_venta]]</f>
        <v>0</v>
      </c>
    </row>
    <row r="1681" spans="1:18" x14ac:dyDescent="0.25">
      <c r="A1681" t="s">
        <v>1774</v>
      </c>
      <c r="B1681" s="1">
        <v>45402</v>
      </c>
      <c r="C1681" t="s">
        <v>83</v>
      </c>
      <c r="D1681" t="s">
        <v>38</v>
      </c>
      <c r="E1681">
        <v>1</v>
      </c>
      <c r="F1681" s="2">
        <v>49.99</v>
      </c>
      <c r="G1681">
        <v>0</v>
      </c>
      <c r="H1681" s="2">
        <v>49.99</v>
      </c>
      <c r="I1681" s="2">
        <v>49.99</v>
      </c>
      <c r="J1681" t="s">
        <v>62</v>
      </c>
      <c r="K1681" t="s">
        <v>20</v>
      </c>
      <c r="L1681" t="s">
        <v>32</v>
      </c>
      <c r="M1681" t="s">
        <v>101</v>
      </c>
      <c r="N1681" t="s">
        <v>102</v>
      </c>
      <c r="O1681" t="s">
        <v>35</v>
      </c>
      <c r="Q1681" s="2">
        <f>Ventas[[#This Row],[precio_base]]*Ventas[[#This Row],[cantidad]]</f>
        <v>49.99</v>
      </c>
      <c r="R1681" s="2">
        <f>Ventas[[#This Row],[Total bruto (antes de descuento)]]-Ventas[[#This Row],[total_venta]]</f>
        <v>0</v>
      </c>
    </row>
    <row r="1682" spans="1:18" x14ac:dyDescent="0.25">
      <c r="A1682" t="s">
        <v>1775</v>
      </c>
      <c r="B1682" s="1">
        <v>45629</v>
      </c>
      <c r="C1682" t="s">
        <v>89</v>
      </c>
      <c r="D1682" t="s">
        <v>38</v>
      </c>
      <c r="E1682">
        <v>3</v>
      </c>
      <c r="F1682" s="2">
        <v>69.989999999999995</v>
      </c>
      <c r="G1682">
        <v>5</v>
      </c>
      <c r="H1682" s="2">
        <v>66.489999999999995</v>
      </c>
      <c r="I1682" s="2">
        <v>199.47</v>
      </c>
      <c r="J1682" t="s">
        <v>19</v>
      </c>
      <c r="K1682" t="s">
        <v>52</v>
      </c>
      <c r="L1682" t="s">
        <v>21</v>
      </c>
      <c r="M1682" t="s">
        <v>58</v>
      </c>
      <c r="N1682" t="s">
        <v>59</v>
      </c>
      <c r="O1682" t="s">
        <v>24</v>
      </c>
      <c r="P1682">
        <v>3</v>
      </c>
      <c r="Q1682" s="2">
        <f>Ventas[[#This Row],[precio_base]]*Ventas[[#This Row],[cantidad]]</f>
        <v>209.96999999999997</v>
      </c>
      <c r="R1682" s="2">
        <f>Ventas[[#This Row],[Total bruto (antes de descuento)]]-Ventas[[#This Row],[total_venta]]</f>
        <v>10.499999999999972</v>
      </c>
    </row>
    <row r="1683" spans="1:18" x14ac:dyDescent="0.25">
      <c r="A1683" t="s">
        <v>1776</v>
      </c>
      <c r="B1683" s="1">
        <v>45110</v>
      </c>
      <c r="C1683" t="s">
        <v>83</v>
      </c>
      <c r="D1683" t="s">
        <v>38</v>
      </c>
      <c r="E1683">
        <v>3</v>
      </c>
      <c r="F1683" s="2">
        <v>49.99</v>
      </c>
      <c r="G1683">
        <v>5</v>
      </c>
      <c r="H1683" s="2">
        <v>47.49</v>
      </c>
      <c r="I1683" s="2">
        <v>142.47</v>
      </c>
      <c r="J1683" t="s">
        <v>19</v>
      </c>
      <c r="K1683" t="s">
        <v>20</v>
      </c>
      <c r="L1683" t="s">
        <v>21</v>
      </c>
      <c r="M1683" t="s">
        <v>123</v>
      </c>
      <c r="N1683" t="s">
        <v>124</v>
      </c>
      <c r="O1683" t="s">
        <v>24</v>
      </c>
      <c r="P1683">
        <v>1</v>
      </c>
      <c r="Q1683" s="2">
        <f>Ventas[[#This Row],[precio_base]]*Ventas[[#This Row],[cantidad]]</f>
        <v>149.97</v>
      </c>
      <c r="R1683" s="2">
        <f>Ventas[[#This Row],[Total bruto (antes de descuento)]]-Ventas[[#This Row],[total_venta]]</f>
        <v>7.5</v>
      </c>
    </row>
    <row r="1684" spans="1:18" x14ac:dyDescent="0.25">
      <c r="A1684" t="s">
        <v>1777</v>
      </c>
      <c r="B1684" s="1">
        <v>45292</v>
      </c>
      <c r="C1684" t="s">
        <v>76</v>
      </c>
      <c r="D1684" t="s">
        <v>31</v>
      </c>
      <c r="E1684">
        <v>1</v>
      </c>
      <c r="F1684" s="2">
        <v>69.989999999999995</v>
      </c>
      <c r="G1684">
        <v>10</v>
      </c>
      <c r="H1684" s="2">
        <v>62.99</v>
      </c>
      <c r="I1684" s="2">
        <v>62.99</v>
      </c>
      <c r="J1684" t="s">
        <v>51</v>
      </c>
      <c r="K1684" t="s">
        <v>20</v>
      </c>
      <c r="L1684" t="s">
        <v>45</v>
      </c>
      <c r="M1684" t="s">
        <v>22</v>
      </c>
      <c r="N1684" t="s">
        <v>23</v>
      </c>
      <c r="O1684" t="s">
        <v>24</v>
      </c>
      <c r="Q1684" s="2">
        <f>Ventas[[#This Row],[precio_base]]*Ventas[[#This Row],[cantidad]]</f>
        <v>69.989999999999995</v>
      </c>
      <c r="R1684" s="2">
        <f>Ventas[[#This Row],[Total bruto (antes de descuento)]]-Ventas[[#This Row],[total_venta]]</f>
        <v>6.9999999999999929</v>
      </c>
    </row>
    <row r="1685" spans="1:18" x14ac:dyDescent="0.25">
      <c r="A1685" t="s">
        <v>1778</v>
      </c>
      <c r="B1685" s="1">
        <v>45056</v>
      </c>
      <c r="C1685" t="s">
        <v>76</v>
      </c>
      <c r="D1685" t="s">
        <v>31</v>
      </c>
      <c r="E1685">
        <v>2</v>
      </c>
      <c r="F1685" s="2">
        <v>69.989999999999995</v>
      </c>
      <c r="G1685">
        <v>15</v>
      </c>
      <c r="H1685" s="2">
        <v>59.49</v>
      </c>
      <c r="I1685" s="2">
        <v>118.98</v>
      </c>
      <c r="J1685" t="s">
        <v>19</v>
      </c>
      <c r="K1685" t="s">
        <v>20</v>
      </c>
      <c r="L1685" t="s">
        <v>152</v>
      </c>
      <c r="M1685" t="s">
        <v>53</v>
      </c>
      <c r="N1685" t="s">
        <v>54</v>
      </c>
      <c r="O1685" t="s">
        <v>35</v>
      </c>
      <c r="P1685">
        <v>5</v>
      </c>
      <c r="Q1685" s="2">
        <f>Ventas[[#This Row],[precio_base]]*Ventas[[#This Row],[cantidad]]</f>
        <v>139.97999999999999</v>
      </c>
      <c r="R1685" s="2">
        <f>Ventas[[#This Row],[Total bruto (antes de descuento)]]-Ventas[[#This Row],[total_venta]]</f>
        <v>20.999999999999986</v>
      </c>
    </row>
    <row r="1686" spans="1:18" x14ac:dyDescent="0.25">
      <c r="A1686" t="s">
        <v>1779</v>
      </c>
      <c r="B1686" s="1">
        <v>45176</v>
      </c>
      <c r="C1686" t="s">
        <v>122</v>
      </c>
      <c r="D1686" t="s">
        <v>43</v>
      </c>
      <c r="E1686">
        <v>5</v>
      </c>
      <c r="F1686" s="2">
        <v>44.99</v>
      </c>
      <c r="G1686">
        <v>10</v>
      </c>
      <c r="H1686" s="2">
        <v>40.49</v>
      </c>
      <c r="I1686" s="2">
        <v>202.45</v>
      </c>
      <c r="J1686" t="s">
        <v>19</v>
      </c>
      <c r="K1686" t="s">
        <v>20</v>
      </c>
      <c r="L1686" t="s">
        <v>21</v>
      </c>
      <c r="M1686" t="s">
        <v>95</v>
      </c>
      <c r="N1686" t="s">
        <v>96</v>
      </c>
      <c r="O1686" t="s">
        <v>48</v>
      </c>
      <c r="P1686">
        <v>5</v>
      </c>
      <c r="Q1686" s="2">
        <f>Ventas[[#This Row],[precio_base]]*Ventas[[#This Row],[cantidad]]</f>
        <v>224.95000000000002</v>
      </c>
      <c r="R1686" s="2">
        <f>Ventas[[#This Row],[Total bruto (antes de descuento)]]-Ventas[[#This Row],[total_venta]]</f>
        <v>22.500000000000028</v>
      </c>
    </row>
    <row r="1687" spans="1:18" x14ac:dyDescent="0.25">
      <c r="A1687" t="s">
        <v>1780</v>
      </c>
      <c r="B1687" s="1">
        <v>45580</v>
      </c>
      <c r="C1687" t="s">
        <v>70</v>
      </c>
      <c r="D1687" t="s">
        <v>31</v>
      </c>
      <c r="E1687">
        <v>1</v>
      </c>
      <c r="F1687" s="2">
        <v>59.99</v>
      </c>
      <c r="G1687">
        <v>5</v>
      </c>
      <c r="H1687" s="2">
        <v>56.99</v>
      </c>
      <c r="I1687" s="2">
        <v>56.99</v>
      </c>
      <c r="J1687" t="s">
        <v>19</v>
      </c>
      <c r="K1687" t="s">
        <v>20</v>
      </c>
      <c r="L1687" t="s">
        <v>152</v>
      </c>
      <c r="M1687" t="s">
        <v>84</v>
      </c>
      <c r="N1687" t="s">
        <v>85</v>
      </c>
      <c r="O1687" t="s">
        <v>35</v>
      </c>
      <c r="P1687">
        <v>3</v>
      </c>
      <c r="Q1687" s="2">
        <f>Ventas[[#This Row],[precio_base]]*Ventas[[#This Row],[cantidad]]</f>
        <v>59.99</v>
      </c>
      <c r="R1687" s="2">
        <f>Ventas[[#This Row],[Total bruto (antes de descuento)]]-Ventas[[#This Row],[total_venta]]</f>
        <v>3</v>
      </c>
    </row>
    <row r="1688" spans="1:18" x14ac:dyDescent="0.25">
      <c r="A1688" t="s">
        <v>1781</v>
      </c>
      <c r="B1688" s="1">
        <v>45359</v>
      </c>
      <c r="C1688" t="s">
        <v>109</v>
      </c>
      <c r="D1688" t="s">
        <v>38</v>
      </c>
      <c r="E1688">
        <v>1</v>
      </c>
      <c r="F1688" s="2">
        <v>39.99</v>
      </c>
      <c r="G1688">
        <v>0</v>
      </c>
      <c r="H1688" s="2">
        <v>39.99</v>
      </c>
      <c r="I1688" s="2">
        <v>39.99</v>
      </c>
      <c r="J1688" t="s">
        <v>90</v>
      </c>
      <c r="K1688" t="s">
        <v>44</v>
      </c>
      <c r="L1688" t="s">
        <v>28</v>
      </c>
      <c r="M1688" t="s">
        <v>58</v>
      </c>
      <c r="N1688" t="s">
        <v>59</v>
      </c>
      <c r="O1688" t="s">
        <v>24</v>
      </c>
      <c r="Q1688" s="2">
        <f>Ventas[[#This Row],[precio_base]]*Ventas[[#This Row],[cantidad]]</f>
        <v>39.99</v>
      </c>
      <c r="R1688" s="2">
        <f>Ventas[[#This Row],[Total bruto (antes de descuento)]]-Ventas[[#This Row],[total_venta]]</f>
        <v>0</v>
      </c>
    </row>
    <row r="1689" spans="1:18" x14ac:dyDescent="0.25">
      <c r="A1689" t="s">
        <v>1782</v>
      </c>
      <c r="B1689" s="1">
        <v>45008</v>
      </c>
      <c r="C1689" t="s">
        <v>143</v>
      </c>
      <c r="D1689" t="s">
        <v>43</v>
      </c>
      <c r="E1689">
        <v>4</v>
      </c>
      <c r="F1689" s="2">
        <v>34.99</v>
      </c>
      <c r="G1689">
        <v>0</v>
      </c>
      <c r="H1689" s="2">
        <v>34.99</v>
      </c>
      <c r="I1689" s="2">
        <v>139.96</v>
      </c>
      <c r="J1689" t="s">
        <v>51</v>
      </c>
      <c r="K1689" t="s">
        <v>20</v>
      </c>
      <c r="L1689" t="s">
        <v>21</v>
      </c>
      <c r="M1689" t="s">
        <v>33</v>
      </c>
      <c r="N1689" t="s">
        <v>34</v>
      </c>
      <c r="O1689" t="s">
        <v>35</v>
      </c>
      <c r="Q1689" s="2">
        <f>Ventas[[#This Row],[precio_base]]*Ventas[[#This Row],[cantidad]]</f>
        <v>139.96</v>
      </c>
      <c r="R1689" s="2">
        <f>Ventas[[#This Row],[Total bruto (antes de descuento)]]-Ventas[[#This Row],[total_venta]]</f>
        <v>0</v>
      </c>
    </row>
    <row r="1690" spans="1:18" x14ac:dyDescent="0.25">
      <c r="A1690" t="s">
        <v>1783</v>
      </c>
      <c r="B1690" s="1">
        <v>45453</v>
      </c>
      <c r="C1690" t="s">
        <v>50</v>
      </c>
      <c r="D1690" t="s">
        <v>27</v>
      </c>
      <c r="E1690">
        <v>2</v>
      </c>
      <c r="F1690" s="2">
        <v>149.99</v>
      </c>
      <c r="G1690">
        <v>15</v>
      </c>
      <c r="H1690" s="2">
        <v>127.49</v>
      </c>
      <c r="I1690" s="2">
        <v>254.98</v>
      </c>
      <c r="J1690" t="s">
        <v>51</v>
      </c>
      <c r="K1690" t="s">
        <v>44</v>
      </c>
      <c r="L1690" t="s">
        <v>21</v>
      </c>
      <c r="M1690" t="s">
        <v>123</v>
      </c>
      <c r="N1690" t="s">
        <v>124</v>
      </c>
      <c r="O1690" t="s">
        <v>24</v>
      </c>
      <c r="Q1690" s="2">
        <f>Ventas[[#This Row],[precio_base]]*Ventas[[#This Row],[cantidad]]</f>
        <v>299.98</v>
      </c>
      <c r="R1690" s="2">
        <f>Ventas[[#This Row],[Total bruto (antes de descuento)]]-Ventas[[#This Row],[total_venta]]</f>
        <v>45.000000000000028</v>
      </c>
    </row>
    <row r="1691" spans="1:18" x14ac:dyDescent="0.25">
      <c r="A1691" t="s">
        <v>1784</v>
      </c>
      <c r="B1691" s="1">
        <v>45374</v>
      </c>
      <c r="C1691" t="s">
        <v>61</v>
      </c>
      <c r="D1691" t="s">
        <v>38</v>
      </c>
      <c r="E1691">
        <v>2</v>
      </c>
      <c r="F1691" s="2">
        <v>19.989999999999998</v>
      </c>
      <c r="G1691">
        <v>0</v>
      </c>
      <c r="H1691" s="2">
        <v>19.989999999999998</v>
      </c>
      <c r="I1691" s="2">
        <v>39.979999999999997</v>
      </c>
      <c r="J1691" t="s">
        <v>19</v>
      </c>
      <c r="K1691" t="s">
        <v>44</v>
      </c>
      <c r="L1691" t="s">
        <v>152</v>
      </c>
      <c r="M1691" t="s">
        <v>46</v>
      </c>
      <c r="N1691" t="s">
        <v>47</v>
      </c>
      <c r="O1691" t="s">
        <v>48</v>
      </c>
      <c r="P1691">
        <v>3</v>
      </c>
      <c r="Q1691" s="2">
        <f>Ventas[[#This Row],[precio_base]]*Ventas[[#This Row],[cantidad]]</f>
        <v>39.979999999999997</v>
      </c>
      <c r="R1691" s="2">
        <f>Ventas[[#This Row],[Total bruto (antes de descuento)]]-Ventas[[#This Row],[total_venta]]</f>
        <v>0</v>
      </c>
    </row>
    <row r="1692" spans="1:18" x14ac:dyDescent="0.25">
      <c r="A1692" t="s">
        <v>1785</v>
      </c>
      <c r="B1692" s="1">
        <v>45206</v>
      </c>
      <c r="C1692" t="s">
        <v>104</v>
      </c>
      <c r="D1692" t="s">
        <v>18</v>
      </c>
      <c r="E1692">
        <v>4</v>
      </c>
      <c r="F1692" s="2">
        <v>1199.99</v>
      </c>
      <c r="G1692">
        <v>0</v>
      </c>
      <c r="H1692" s="2">
        <v>1199.99</v>
      </c>
      <c r="I1692" s="2">
        <v>4799.96</v>
      </c>
      <c r="J1692" t="s">
        <v>19</v>
      </c>
      <c r="K1692" t="s">
        <v>44</v>
      </c>
      <c r="L1692" t="s">
        <v>21</v>
      </c>
      <c r="M1692" t="s">
        <v>120</v>
      </c>
      <c r="N1692" t="s">
        <v>23</v>
      </c>
      <c r="O1692" t="s">
        <v>24</v>
      </c>
      <c r="P1692">
        <v>4</v>
      </c>
      <c r="Q1692" s="2">
        <f>Ventas[[#This Row],[precio_base]]*Ventas[[#This Row],[cantidad]]</f>
        <v>4799.96</v>
      </c>
      <c r="R1692" s="2">
        <f>Ventas[[#This Row],[Total bruto (antes de descuento)]]-Ventas[[#This Row],[total_venta]]</f>
        <v>0</v>
      </c>
    </row>
    <row r="1693" spans="1:18" x14ac:dyDescent="0.25">
      <c r="A1693" t="s">
        <v>1786</v>
      </c>
      <c r="B1693" s="1">
        <v>45540</v>
      </c>
      <c r="C1693" t="s">
        <v>70</v>
      </c>
      <c r="D1693" t="s">
        <v>31</v>
      </c>
      <c r="E1693">
        <v>3</v>
      </c>
      <c r="F1693" s="2">
        <v>59.99</v>
      </c>
      <c r="G1693">
        <v>0</v>
      </c>
      <c r="H1693" s="2">
        <v>59.99</v>
      </c>
      <c r="I1693" s="2">
        <v>179.97</v>
      </c>
      <c r="J1693" t="s">
        <v>19</v>
      </c>
      <c r="K1693" t="s">
        <v>44</v>
      </c>
      <c r="L1693" t="s">
        <v>21</v>
      </c>
      <c r="M1693" t="s">
        <v>46</v>
      </c>
      <c r="N1693" t="s">
        <v>47</v>
      </c>
      <c r="O1693" t="s">
        <v>48</v>
      </c>
      <c r="P1693">
        <v>5</v>
      </c>
      <c r="Q1693" s="2">
        <f>Ventas[[#This Row],[precio_base]]*Ventas[[#This Row],[cantidad]]</f>
        <v>179.97</v>
      </c>
      <c r="R1693" s="2">
        <f>Ventas[[#This Row],[Total bruto (antes de descuento)]]-Ventas[[#This Row],[total_venta]]</f>
        <v>0</v>
      </c>
    </row>
    <row r="1694" spans="1:18" x14ac:dyDescent="0.25">
      <c r="A1694" t="s">
        <v>1787</v>
      </c>
      <c r="B1694" s="1">
        <v>45221</v>
      </c>
      <c r="C1694" t="s">
        <v>76</v>
      </c>
      <c r="D1694" t="s">
        <v>31</v>
      </c>
      <c r="E1694">
        <v>5</v>
      </c>
      <c r="F1694" s="2">
        <v>69.989999999999995</v>
      </c>
      <c r="G1694">
        <v>20</v>
      </c>
      <c r="H1694" s="2">
        <v>55.99</v>
      </c>
      <c r="I1694" s="2">
        <v>279.95</v>
      </c>
      <c r="J1694" t="s">
        <v>19</v>
      </c>
      <c r="K1694" t="s">
        <v>44</v>
      </c>
      <c r="L1694" t="s">
        <v>21</v>
      </c>
      <c r="M1694" t="s">
        <v>120</v>
      </c>
      <c r="N1694" t="s">
        <v>23</v>
      </c>
      <c r="O1694" t="s">
        <v>24</v>
      </c>
      <c r="P1694">
        <v>4</v>
      </c>
      <c r="Q1694" s="2">
        <f>Ventas[[#This Row],[precio_base]]*Ventas[[#This Row],[cantidad]]</f>
        <v>349.95</v>
      </c>
      <c r="R1694" s="2">
        <f>Ventas[[#This Row],[Total bruto (antes de descuento)]]-Ventas[[#This Row],[total_venta]]</f>
        <v>70</v>
      </c>
    </row>
    <row r="1695" spans="1:18" x14ac:dyDescent="0.25">
      <c r="A1695" t="s">
        <v>1788</v>
      </c>
      <c r="B1695" s="1">
        <v>45414</v>
      </c>
      <c r="C1695" t="s">
        <v>122</v>
      </c>
      <c r="D1695" t="s">
        <v>43</v>
      </c>
      <c r="E1695">
        <v>5</v>
      </c>
      <c r="F1695" s="2">
        <v>44.99</v>
      </c>
      <c r="G1695">
        <v>0</v>
      </c>
      <c r="H1695" s="2">
        <v>44.99</v>
      </c>
      <c r="I1695" s="2">
        <v>224.95</v>
      </c>
      <c r="J1695" t="s">
        <v>19</v>
      </c>
      <c r="K1695" t="s">
        <v>20</v>
      </c>
      <c r="L1695" t="s">
        <v>45</v>
      </c>
      <c r="M1695" t="s">
        <v>123</v>
      </c>
      <c r="N1695" t="s">
        <v>124</v>
      </c>
      <c r="O1695" t="s">
        <v>24</v>
      </c>
      <c r="P1695">
        <v>4</v>
      </c>
      <c r="Q1695" s="2">
        <f>Ventas[[#This Row],[precio_base]]*Ventas[[#This Row],[cantidad]]</f>
        <v>224.95000000000002</v>
      </c>
      <c r="R1695" s="2">
        <f>Ventas[[#This Row],[Total bruto (antes de descuento)]]-Ventas[[#This Row],[total_venta]]</f>
        <v>0</v>
      </c>
    </row>
    <row r="1696" spans="1:18" x14ac:dyDescent="0.25">
      <c r="A1696" t="s">
        <v>1789</v>
      </c>
      <c r="B1696" s="1">
        <v>45437</v>
      </c>
      <c r="C1696" t="s">
        <v>115</v>
      </c>
      <c r="D1696" t="s">
        <v>18</v>
      </c>
      <c r="E1696">
        <v>5</v>
      </c>
      <c r="F1696" s="2">
        <v>799.99</v>
      </c>
      <c r="G1696">
        <v>15</v>
      </c>
      <c r="H1696" s="2">
        <v>679.99</v>
      </c>
      <c r="I1696" s="2">
        <v>3399.95</v>
      </c>
      <c r="J1696" t="s">
        <v>19</v>
      </c>
      <c r="K1696" t="s">
        <v>20</v>
      </c>
      <c r="L1696" t="s">
        <v>21</v>
      </c>
      <c r="M1696" t="s">
        <v>120</v>
      </c>
      <c r="N1696" t="s">
        <v>23</v>
      </c>
      <c r="O1696" t="s">
        <v>24</v>
      </c>
      <c r="P1696">
        <v>5</v>
      </c>
      <c r="Q1696" s="2">
        <f>Ventas[[#This Row],[precio_base]]*Ventas[[#This Row],[cantidad]]</f>
        <v>3999.95</v>
      </c>
      <c r="R1696" s="2">
        <f>Ventas[[#This Row],[Total bruto (antes de descuento)]]-Ventas[[#This Row],[total_venta]]</f>
        <v>600</v>
      </c>
    </row>
    <row r="1697" spans="1:18" x14ac:dyDescent="0.25">
      <c r="A1697" t="s">
        <v>1790</v>
      </c>
      <c r="B1697" s="1">
        <v>45007</v>
      </c>
      <c r="C1697" t="s">
        <v>72</v>
      </c>
      <c r="D1697" t="s">
        <v>31</v>
      </c>
      <c r="E1697">
        <v>4</v>
      </c>
      <c r="F1697" s="2">
        <v>29.99</v>
      </c>
      <c r="G1697">
        <v>10</v>
      </c>
      <c r="H1697" s="2">
        <v>26.99</v>
      </c>
      <c r="I1697" s="2">
        <v>107.96</v>
      </c>
      <c r="J1697" t="s">
        <v>116</v>
      </c>
      <c r="K1697" t="s">
        <v>20</v>
      </c>
      <c r="L1697" t="s">
        <v>152</v>
      </c>
      <c r="M1697" t="s">
        <v>95</v>
      </c>
      <c r="N1697" t="s">
        <v>96</v>
      </c>
      <c r="O1697" t="s">
        <v>48</v>
      </c>
      <c r="Q1697" s="2">
        <f>Ventas[[#This Row],[precio_base]]*Ventas[[#This Row],[cantidad]]</f>
        <v>119.96</v>
      </c>
      <c r="R1697" s="2">
        <f>Ventas[[#This Row],[Total bruto (antes de descuento)]]-Ventas[[#This Row],[total_venta]]</f>
        <v>12</v>
      </c>
    </row>
    <row r="1698" spans="1:18" x14ac:dyDescent="0.25">
      <c r="A1698" t="s">
        <v>1791</v>
      </c>
      <c r="B1698" s="1">
        <v>45305</v>
      </c>
      <c r="C1698" t="s">
        <v>83</v>
      </c>
      <c r="D1698" t="s">
        <v>38</v>
      </c>
      <c r="E1698">
        <v>3</v>
      </c>
      <c r="F1698" s="2">
        <v>49.99</v>
      </c>
      <c r="G1698">
        <v>20</v>
      </c>
      <c r="H1698" s="2">
        <v>39.99</v>
      </c>
      <c r="I1698" s="2">
        <v>119.97</v>
      </c>
      <c r="J1698" t="s">
        <v>19</v>
      </c>
      <c r="K1698" t="s">
        <v>44</v>
      </c>
      <c r="L1698" t="s">
        <v>21</v>
      </c>
      <c r="M1698" t="s">
        <v>73</v>
      </c>
      <c r="N1698" t="s">
        <v>74</v>
      </c>
      <c r="O1698" t="s">
        <v>35</v>
      </c>
      <c r="P1698">
        <v>5</v>
      </c>
      <c r="Q1698" s="2">
        <f>Ventas[[#This Row],[precio_base]]*Ventas[[#This Row],[cantidad]]</f>
        <v>149.97</v>
      </c>
      <c r="R1698" s="2">
        <f>Ventas[[#This Row],[Total bruto (antes de descuento)]]-Ventas[[#This Row],[total_venta]]</f>
        <v>30</v>
      </c>
    </row>
    <row r="1699" spans="1:18" x14ac:dyDescent="0.25">
      <c r="A1699" t="s">
        <v>1792</v>
      </c>
      <c r="B1699" s="1">
        <v>45097</v>
      </c>
      <c r="C1699" t="s">
        <v>156</v>
      </c>
      <c r="D1699" t="s">
        <v>27</v>
      </c>
      <c r="E1699">
        <v>3</v>
      </c>
      <c r="F1699" s="2">
        <v>49.99</v>
      </c>
      <c r="G1699">
        <v>10</v>
      </c>
      <c r="H1699" s="2">
        <v>44.99</v>
      </c>
      <c r="I1699" s="2">
        <v>134.97</v>
      </c>
      <c r="J1699" t="s">
        <v>19</v>
      </c>
      <c r="K1699" t="s">
        <v>20</v>
      </c>
      <c r="L1699" t="s">
        <v>152</v>
      </c>
      <c r="M1699" t="s">
        <v>39</v>
      </c>
      <c r="N1699" t="s">
        <v>40</v>
      </c>
      <c r="O1699" t="s">
        <v>35</v>
      </c>
      <c r="P1699">
        <v>5</v>
      </c>
      <c r="Q1699" s="2">
        <f>Ventas[[#This Row],[precio_base]]*Ventas[[#This Row],[cantidad]]</f>
        <v>149.97</v>
      </c>
      <c r="R1699" s="2">
        <f>Ventas[[#This Row],[Total bruto (antes de descuento)]]-Ventas[[#This Row],[total_venta]]</f>
        <v>15</v>
      </c>
    </row>
    <row r="1700" spans="1:18" x14ac:dyDescent="0.25">
      <c r="A1700" t="s">
        <v>1793</v>
      </c>
      <c r="B1700" s="1">
        <v>45429</v>
      </c>
      <c r="C1700" t="s">
        <v>163</v>
      </c>
      <c r="D1700" t="s">
        <v>18</v>
      </c>
      <c r="E1700">
        <v>4</v>
      </c>
      <c r="F1700" s="2">
        <v>499.99</v>
      </c>
      <c r="G1700">
        <v>10</v>
      </c>
      <c r="H1700" s="2">
        <v>449.99</v>
      </c>
      <c r="I1700" s="2">
        <v>1799.96</v>
      </c>
      <c r="J1700" t="s">
        <v>19</v>
      </c>
      <c r="K1700" t="s">
        <v>52</v>
      </c>
      <c r="L1700" t="s">
        <v>21</v>
      </c>
      <c r="M1700" t="s">
        <v>33</v>
      </c>
      <c r="N1700" t="s">
        <v>34</v>
      </c>
      <c r="O1700" t="s">
        <v>35</v>
      </c>
      <c r="P1700">
        <v>4</v>
      </c>
      <c r="Q1700" s="2">
        <f>Ventas[[#This Row],[precio_base]]*Ventas[[#This Row],[cantidad]]</f>
        <v>1999.96</v>
      </c>
      <c r="R1700" s="2">
        <f>Ventas[[#This Row],[Total bruto (antes de descuento)]]-Ventas[[#This Row],[total_venta]]</f>
        <v>200</v>
      </c>
    </row>
    <row r="1701" spans="1:18" x14ac:dyDescent="0.25">
      <c r="A1701" t="s">
        <v>1794</v>
      </c>
      <c r="B1701" s="1">
        <v>45150</v>
      </c>
      <c r="C1701" t="s">
        <v>115</v>
      </c>
      <c r="D1701" t="s">
        <v>18</v>
      </c>
      <c r="E1701">
        <v>1</v>
      </c>
      <c r="F1701" s="2">
        <v>799.99</v>
      </c>
      <c r="G1701">
        <v>10</v>
      </c>
      <c r="H1701" s="2">
        <v>719.99</v>
      </c>
      <c r="I1701" s="2">
        <v>719.99</v>
      </c>
      <c r="J1701" t="s">
        <v>19</v>
      </c>
      <c r="K1701" t="s">
        <v>20</v>
      </c>
      <c r="L1701" t="s">
        <v>28</v>
      </c>
      <c r="M1701" t="s">
        <v>67</v>
      </c>
      <c r="N1701" t="s">
        <v>68</v>
      </c>
      <c r="O1701" t="s">
        <v>35</v>
      </c>
      <c r="P1701">
        <v>4</v>
      </c>
      <c r="Q1701" s="2">
        <f>Ventas[[#This Row],[precio_base]]*Ventas[[#This Row],[cantidad]]</f>
        <v>799.99</v>
      </c>
      <c r="R1701" s="2">
        <f>Ventas[[#This Row],[Total bruto (antes de descuento)]]-Ventas[[#This Row],[total_venta]]</f>
        <v>80</v>
      </c>
    </row>
    <row r="1702" spans="1:18" x14ac:dyDescent="0.25">
      <c r="A1702" t="s">
        <v>1795</v>
      </c>
      <c r="B1702" s="1">
        <v>45490</v>
      </c>
      <c r="C1702" t="s">
        <v>37</v>
      </c>
      <c r="D1702" t="s">
        <v>38</v>
      </c>
      <c r="E1702">
        <v>3</v>
      </c>
      <c r="F1702" s="2">
        <v>34.99</v>
      </c>
      <c r="G1702">
        <v>20</v>
      </c>
      <c r="H1702" s="2">
        <v>27.99</v>
      </c>
      <c r="I1702" s="2">
        <v>83.97</v>
      </c>
      <c r="J1702" t="s">
        <v>19</v>
      </c>
      <c r="K1702" t="s">
        <v>44</v>
      </c>
      <c r="L1702" t="s">
        <v>21</v>
      </c>
      <c r="M1702" t="s">
        <v>53</v>
      </c>
      <c r="N1702" t="s">
        <v>54</v>
      </c>
      <c r="O1702" t="s">
        <v>35</v>
      </c>
      <c r="P1702">
        <v>3</v>
      </c>
      <c r="Q1702" s="2">
        <f>Ventas[[#This Row],[precio_base]]*Ventas[[#This Row],[cantidad]]</f>
        <v>104.97</v>
      </c>
      <c r="R1702" s="2">
        <f>Ventas[[#This Row],[Total bruto (antes de descuento)]]-Ventas[[#This Row],[total_venta]]</f>
        <v>21</v>
      </c>
    </row>
    <row r="1703" spans="1:18" x14ac:dyDescent="0.25">
      <c r="A1703" t="s">
        <v>1796</v>
      </c>
      <c r="B1703" s="1">
        <v>45572</v>
      </c>
      <c r="C1703" t="s">
        <v>17</v>
      </c>
      <c r="D1703" t="s">
        <v>18</v>
      </c>
      <c r="E1703">
        <v>3</v>
      </c>
      <c r="F1703" s="2">
        <v>45.99</v>
      </c>
      <c r="G1703">
        <v>10</v>
      </c>
      <c r="H1703" s="2">
        <v>41.39</v>
      </c>
      <c r="I1703" s="2">
        <v>124.17</v>
      </c>
      <c r="J1703" t="s">
        <v>19</v>
      </c>
      <c r="K1703" t="s">
        <v>20</v>
      </c>
      <c r="L1703" t="s">
        <v>45</v>
      </c>
      <c r="M1703" t="s">
        <v>120</v>
      </c>
      <c r="N1703" t="s">
        <v>23</v>
      </c>
      <c r="O1703" t="s">
        <v>24</v>
      </c>
      <c r="P1703">
        <v>4</v>
      </c>
      <c r="Q1703" s="2">
        <f>Ventas[[#This Row],[precio_base]]*Ventas[[#This Row],[cantidad]]</f>
        <v>137.97</v>
      </c>
      <c r="R1703" s="2">
        <f>Ventas[[#This Row],[Total bruto (antes de descuento)]]-Ventas[[#This Row],[total_venta]]</f>
        <v>13.799999999999997</v>
      </c>
    </row>
    <row r="1704" spans="1:18" x14ac:dyDescent="0.25">
      <c r="A1704" t="s">
        <v>1797</v>
      </c>
      <c r="B1704" s="1">
        <v>45220</v>
      </c>
      <c r="C1704" t="s">
        <v>143</v>
      </c>
      <c r="D1704" t="s">
        <v>43</v>
      </c>
      <c r="E1704">
        <v>4</v>
      </c>
      <c r="F1704" s="2">
        <v>34.99</v>
      </c>
      <c r="G1704">
        <v>0</v>
      </c>
      <c r="H1704" s="2">
        <v>34.99</v>
      </c>
      <c r="I1704" s="2">
        <v>139.96</v>
      </c>
      <c r="J1704" t="s">
        <v>90</v>
      </c>
      <c r="K1704" t="s">
        <v>20</v>
      </c>
      <c r="L1704" t="s">
        <v>21</v>
      </c>
      <c r="M1704" t="s">
        <v>63</v>
      </c>
      <c r="N1704" t="s">
        <v>34</v>
      </c>
      <c r="O1704" t="s">
        <v>24</v>
      </c>
      <c r="Q1704" s="2">
        <f>Ventas[[#This Row],[precio_base]]*Ventas[[#This Row],[cantidad]]</f>
        <v>139.96</v>
      </c>
      <c r="R1704" s="2">
        <f>Ventas[[#This Row],[Total bruto (antes de descuento)]]-Ventas[[#This Row],[total_venta]]</f>
        <v>0</v>
      </c>
    </row>
    <row r="1705" spans="1:18" x14ac:dyDescent="0.25">
      <c r="A1705" t="s">
        <v>1798</v>
      </c>
      <c r="B1705" s="1">
        <v>45269</v>
      </c>
      <c r="C1705" t="s">
        <v>98</v>
      </c>
      <c r="D1705" t="s">
        <v>31</v>
      </c>
      <c r="E1705">
        <v>4</v>
      </c>
      <c r="F1705" s="2">
        <v>99.99</v>
      </c>
      <c r="G1705">
        <v>15</v>
      </c>
      <c r="H1705" s="2">
        <v>84.99</v>
      </c>
      <c r="I1705" s="2">
        <v>339.96</v>
      </c>
      <c r="J1705" t="s">
        <v>19</v>
      </c>
      <c r="K1705" t="s">
        <v>20</v>
      </c>
      <c r="L1705" t="s">
        <v>45</v>
      </c>
      <c r="M1705" t="s">
        <v>53</v>
      </c>
      <c r="N1705" t="s">
        <v>54</v>
      </c>
      <c r="O1705" t="s">
        <v>35</v>
      </c>
      <c r="P1705">
        <v>4</v>
      </c>
      <c r="Q1705" s="2">
        <f>Ventas[[#This Row],[precio_base]]*Ventas[[#This Row],[cantidad]]</f>
        <v>399.96</v>
      </c>
      <c r="R1705" s="2">
        <f>Ventas[[#This Row],[Total bruto (antes de descuento)]]-Ventas[[#This Row],[total_venta]]</f>
        <v>60</v>
      </c>
    </row>
    <row r="1706" spans="1:18" x14ac:dyDescent="0.25">
      <c r="A1706" t="s">
        <v>1799</v>
      </c>
      <c r="B1706" s="1">
        <v>45355</v>
      </c>
      <c r="C1706" t="s">
        <v>37</v>
      </c>
      <c r="D1706" t="s">
        <v>38</v>
      </c>
      <c r="E1706">
        <v>2</v>
      </c>
      <c r="F1706" s="2">
        <v>34.99</v>
      </c>
      <c r="G1706">
        <v>15</v>
      </c>
      <c r="H1706" s="2">
        <v>29.74</v>
      </c>
      <c r="I1706" s="2">
        <v>59.48</v>
      </c>
      <c r="J1706" t="s">
        <v>19</v>
      </c>
      <c r="K1706" t="s">
        <v>20</v>
      </c>
      <c r="L1706" t="s">
        <v>28</v>
      </c>
      <c r="M1706" t="s">
        <v>22</v>
      </c>
      <c r="N1706" t="s">
        <v>23</v>
      </c>
      <c r="O1706" t="s">
        <v>24</v>
      </c>
      <c r="P1706">
        <v>1</v>
      </c>
      <c r="Q1706" s="2">
        <f>Ventas[[#This Row],[precio_base]]*Ventas[[#This Row],[cantidad]]</f>
        <v>69.98</v>
      </c>
      <c r="R1706" s="2">
        <f>Ventas[[#This Row],[Total bruto (antes de descuento)]]-Ventas[[#This Row],[total_venta]]</f>
        <v>10.500000000000007</v>
      </c>
    </row>
    <row r="1707" spans="1:18" x14ac:dyDescent="0.25">
      <c r="A1707" t="s">
        <v>1800</v>
      </c>
      <c r="B1707" s="1">
        <v>45540</v>
      </c>
      <c r="C1707" t="s">
        <v>26</v>
      </c>
      <c r="D1707" t="s">
        <v>27</v>
      </c>
      <c r="E1707">
        <v>4</v>
      </c>
      <c r="F1707" s="2">
        <v>399.99</v>
      </c>
      <c r="G1707">
        <v>0</v>
      </c>
      <c r="H1707" s="2">
        <v>399.99</v>
      </c>
      <c r="I1707" s="2">
        <v>1599.96</v>
      </c>
      <c r="J1707" t="s">
        <v>19</v>
      </c>
      <c r="K1707" t="s">
        <v>20</v>
      </c>
      <c r="L1707" t="s">
        <v>28</v>
      </c>
      <c r="M1707" t="s">
        <v>22</v>
      </c>
      <c r="N1707" t="s">
        <v>23</v>
      </c>
      <c r="O1707" t="s">
        <v>24</v>
      </c>
      <c r="P1707">
        <v>1</v>
      </c>
      <c r="Q1707" s="2">
        <f>Ventas[[#This Row],[precio_base]]*Ventas[[#This Row],[cantidad]]</f>
        <v>1599.96</v>
      </c>
      <c r="R1707" s="2">
        <f>Ventas[[#This Row],[Total bruto (antes de descuento)]]-Ventas[[#This Row],[total_venta]]</f>
        <v>0</v>
      </c>
    </row>
    <row r="1708" spans="1:18" x14ac:dyDescent="0.25">
      <c r="A1708" t="s">
        <v>1801</v>
      </c>
      <c r="B1708" s="1">
        <v>45306</v>
      </c>
      <c r="C1708" t="s">
        <v>104</v>
      </c>
      <c r="D1708" t="s">
        <v>18</v>
      </c>
      <c r="E1708">
        <v>5</v>
      </c>
      <c r="F1708" s="2">
        <v>1199.99</v>
      </c>
      <c r="G1708">
        <v>20</v>
      </c>
      <c r="H1708" s="2">
        <v>959.99</v>
      </c>
      <c r="I1708" s="2">
        <v>4799.95</v>
      </c>
      <c r="J1708" t="s">
        <v>51</v>
      </c>
      <c r="K1708" t="s">
        <v>44</v>
      </c>
      <c r="L1708" t="s">
        <v>21</v>
      </c>
      <c r="M1708" t="s">
        <v>65</v>
      </c>
      <c r="N1708" t="s">
        <v>54</v>
      </c>
      <c r="O1708" t="s">
        <v>35</v>
      </c>
      <c r="Q1708" s="2">
        <f>Ventas[[#This Row],[precio_base]]*Ventas[[#This Row],[cantidad]]</f>
        <v>5999.95</v>
      </c>
      <c r="R1708" s="2">
        <f>Ventas[[#This Row],[Total bruto (antes de descuento)]]-Ventas[[#This Row],[total_venta]]</f>
        <v>1200</v>
      </c>
    </row>
    <row r="1709" spans="1:18" x14ac:dyDescent="0.25">
      <c r="A1709" t="s">
        <v>1802</v>
      </c>
      <c r="B1709" s="1">
        <v>45092</v>
      </c>
      <c r="C1709" t="s">
        <v>151</v>
      </c>
      <c r="D1709" t="s">
        <v>27</v>
      </c>
      <c r="E1709">
        <v>3</v>
      </c>
      <c r="F1709" s="2">
        <v>599.99</v>
      </c>
      <c r="G1709">
        <v>15</v>
      </c>
      <c r="H1709" s="2">
        <v>509.99</v>
      </c>
      <c r="I1709" s="2">
        <v>1529.97</v>
      </c>
      <c r="J1709" t="s">
        <v>62</v>
      </c>
      <c r="K1709" t="s">
        <v>44</v>
      </c>
      <c r="L1709" t="s">
        <v>28</v>
      </c>
      <c r="M1709" t="s">
        <v>63</v>
      </c>
      <c r="N1709" t="s">
        <v>34</v>
      </c>
      <c r="O1709" t="s">
        <v>24</v>
      </c>
      <c r="Q1709" s="2">
        <f>Ventas[[#This Row],[precio_base]]*Ventas[[#This Row],[cantidad]]</f>
        <v>1799.97</v>
      </c>
      <c r="R1709" s="2">
        <f>Ventas[[#This Row],[Total bruto (antes de descuento)]]-Ventas[[#This Row],[total_venta]]</f>
        <v>270</v>
      </c>
    </row>
    <row r="1710" spans="1:18" x14ac:dyDescent="0.25">
      <c r="A1710" t="s">
        <v>1803</v>
      </c>
      <c r="B1710" s="1">
        <v>45131</v>
      </c>
      <c r="C1710" t="s">
        <v>141</v>
      </c>
      <c r="D1710" t="s">
        <v>38</v>
      </c>
      <c r="E1710">
        <v>2</v>
      </c>
      <c r="F1710" s="2">
        <v>89.99</v>
      </c>
      <c r="G1710">
        <v>0</v>
      </c>
      <c r="H1710" s="2">
        <v>89.99</v>
      </c>
      <c r="I1710" s="2">
        <v>179.98</v>
      </c>
      <c r="J1710" t="s">
        <v>19</v>
      </c>
      <c r="K1710" t="s">
        <v>20</v>
      </c>
      <c r="L1710" t="s">
        <v>45</v>
      </c>
      <c r="M1710" t="s">
        <v>46</v>
      </c>
      <c r="N1710" t="s">
        <v>47</v>
      </c>
      <c r="O1710" t="s">
        <v>48</v>
      </c>
      <c r="P1710">
        <v>2</v>
      </c>
      <c r="Q1710" s="2">
        <f>Ventas[[#This Row],[precio_base]]*Ventas[[#This Row],[cantidad]]</f>
        <v>179.98</v>
      </c>
      <c r="R1710" s="2">
        <f>Ventas[[#This Row],[Total bruto (antes de descuento)]]-Ventas[[#This Row],[total_venta]]</f>
        <v>0</v>
      </c>
    </row>
    <row r="1711" spans="1:18" x14ac:dyDescent="0.25">
      <c r="A1711" t="s">
        <v>1804</v>
      </c>
      <c r="B1711" s="1">
        <v>45627</v>
      </c>
      <c r="C1711" t="s">
        <v>156</v>
      </c>
      <c r="D1711" t="s">
        <v>27</v>
      </c>
      <c r="E1711">
        <v>4</v>
      </c>
      <c r="F1711" s="2">
        <v>49.99</v>
      </c>
      <c r="G1711">
        <v>0</v>
      </c>
      <c r="H1711" s="2">
        <v>49.99</v>
      </c>
      <c r="I1711" s="2">
        <v>199.96</v>
      </c>
      <c r="J1711" t="s">
        <v>51</v>
      </c>
      <c r="K1711" t="s">
        <v>44</v>
      </c>
      <c r="L1711" t="s">
        <v>21</v>
      </c>
      <c r="M1711" t="s">
        <v>101</v>
      </c>
      <c r="N1711" t="s">
        <v>102</v>
      </c>
      <c r="O1711" t="s">
        <v>35</v>
      </c>
      <c r="Q1711" s="2">
        <f>Ventas[[#This Row],[precio_base]]*Ventas[[#This Row],[cantidad]]</f>
        <v>199.96</v>
      </c>
      <c r="R1711" s="2">
        <f>Ventas[[#This Row],[Total bruto (antes de descuento)]]-Ventas[[#This Row],[total_venta]]</f>
        <v>0</v>
      </c>
    </row>
    <row r="1712" spans="1:18" x14ac:dyDescent="0.25">
      <c r="A1712" t="s">
        <v>1805</v>
      </c>
      <c r="B1712" s="1">
        <v>45545</v>
      </c>
      <c r="C1712" t="s">
        <v>143</v>
      </c>
      <c r="D1712" t="s">
        <v>43</v>
      </c>
      <c r="E1712">
        <v>3</v>
      </c>
      <c r="F1712" s="2">
        <v>34.99</v>
      </c>
      <c r="G1712">
        <v>20</v>
      </c>
      <c r="H1712" s="2">
        <v>27.99</v>
      </c>
      <c r="I1712" s="2">
        <v>83.97</v>
      </c>
      <c r="J1712" t="s">
        <v>90</v>
      </c>
      <c r="K1712" t="s">
        <v>20</v>
      </c>
      <c r="L1712" t="s">
        <v>28</v>
      </c>
      <c r="M1712" t="s">
        <v>63</v>
      </c>
      <c r="N1712" t="s">
        <v>34</v>
      </c>
      <c r="O1712" t="s">
        <v>24</v>
      </c>
      <c r="Q1712" s="2">
        <f>Ventas[[#This Row],[precio_base]]*Ventas[[#This Row],[cantidad]]</f>
        <v>104.97</v>
      </c>
      <c r="R1712" s="2">
        <f>Ventas[[#This Row],[Total bruto (antes de descuento)]]-Ventas[[#This Row],[total_venta]]</f>
        <v>21</v>
      </c>
    </row>
    <row r="1713" spans="1:18" x14ac:dyDescent="0.25">
      <c r="A1713" t="s">
        <v>1806</v>
      </c>
      <c r="B1713" s="1">
        <v>44998</v>
      </c>
      <c r="C1713" t="s">
        <v>104</v>
      </c>
      <c r="D1713" t="s">
        <v>18</v>
      </c>
      <c r="E1713">
        <v>1</v>
      </c>
      <c r="F1713" s="2">
        <v>1199.99</v>
      </c>
      <c r="G1713">
        <v>15</v>
      </c>
      <c r="H1713" s="2">
        <v>1019.99</v>
      </c>
      <c r="I1713" s="2">
        <v>1019.99</v>
      </c>
      <c r="J1713" t="s">
        <v>51</v>
      </c>
      <c r="K1713" t="s">
        <v>44</v>
      </c>
      <c r="L1713" t="s">
        <v>45</v>
      </c>
      <c r="M1713" t="s">
        <v>67</v>
      </c>
      <c r="N1713" t="s">
        <v>68</v>
      </c>
      <c r="O1713" t="s">
        <v>35</v>
      </c>
      <c r="Q1713" s="2">
        <f>Ventas[[#This Row],[precio_base]]*Ventas[[#This Row],[cantidad]]</f>
        <v>1199.99</v>
      </c>
      <c r="R1713" s="2">
        <f>Ventas[[#This Row],[Total bruto (antes de descuento)]]-Ventas[[#This Row],[total_venta]]</f>
        <v>180</v>
      </c>
    </row>
    <row r="1714" spans="1:18" x14ac:dyDescent="0.25">
      <c r="A1714" t="s">
        <v>1807</v>
      </c>
      <c r="B1714" s="1">
        <v>45321</v>
      </c>
      <c r="C1714" t="s">
        <v>56</v>
      </c>
      <c r="D1714" t="s">
        <v>18</v>
      </c>
      <c r="E1714">
        <v>4</v>
      </c>
      <c r="F1714" s="2">
        <v>89.99</v>
      </c>
      <c r="G1714">
        <v>0</v>
      </c>
      <c r="H1714" s="2">
        <v>89.99</v>
      </c>
      <c r="I1714" s="2">
        <v>359.96</v>
      </c>
      <c r="J1714" t="s">
        <v>62</v>
      </c>
      <c r="K1714" t="s">
        <v>20</v>
      </c>
      <c r="L1714" t="s">
        <v>28</v>
      </c>
      <c r="M1714" t="s">
        <v>65</v>
      </c>
      <c r="N1714" t="s">
        <v>54</v>
      </c>
      <c r="O1714" t="s">
        <v>35</v>
      </c>
      <c r="Q1714" s="2">
        <f>Ventas[[#This Row],[precio_base]]*Ventas[[#This Row],[cantidad]]</f>
        <v>359.96</v>
      </c>
      <c r="R1714" s="2">
        <f>Ventas[[#This Row],[Total bruto (antes de descuento)]]-Ventas[[#This Row],[total_venta]]</f>
        <v>0</v>
      </c>
    </row>
    <row r="1715" spans="1:18" x14ac:dyDescent="0.25">
      <c r="A1715" t="s">
        <v>1808</v>
      </c>
      <c r="B1715" s="1">
        <v>45589</v>
      </c>
      <c r="C1715" t="s">
        <v>50</v>
      </c>
      <c r="D1715" t="s">
        <v>27</v>
      </c>
      <c r="E1715">
        <v>1</v>
      </c>
      <c r="F1715" s="2">
        <v>149.99</v>
      </c>
      <c r="G1715">
        <v>5</v>
      </c>
      <c r="H1715" s="2">
        <v>142.49</v>
      </c>
      <c r="I1715" s="2">
        <v>142.49</v>
      </c>
      <c r="J1715" t="s">
        <v>19</v>
      </c>
      <c r="K1715" t="s">
        <v>20</v>
      </c>
      <c r="L1715" t="s">
        <v>32</v>
      </c>
      <c r="M1715" t="s">
        <v>84</v>
      </c>
      <c r="N1715" t="s">
        <v>85</v>
      </c>
      <c r="O1715" t="s">
        <v>35</v>
      </c>
      <c r="P1715">
        <v>1</v>
      </c>
      <c r="Q1715" s="2">
        <f>Ventas[[#This Row],[precio_base]]*Ventas[[#This Row],[cantidad]]</f>
        <v>149.99</v>
      </c>
      <c r="R1715" s="2">
        <f>Ventas[[#This Row],[Total bruto (antes de descuento)]]-Ventas[[#This Row],[total_venta]]</f>
        <v>7.5</v>
      </c>
    </row>
    <row r="1716" spans="1:18" x14ac:dyDescent="0.25">
      <c r="A1716" t="s">
        <v>1809</v>
      </c>
      <c r="B1716" s="1">
        <v>45299</v>
      </c>
      <c r="C1716" t="s">
        <v>109</v>
      </c>
      <c r="D1716" t="s">
        <v>38</v>
      </c>
      <c r="E1716">
        <v>5</v>
      </c>
      <c r="F1716" s="2">
        <v>39.99</v>
      </c>
      <c r="G1716">
        <v>15</v>
      </c>
      <c r="H1716" s="2">
        <v>33.99</v>
      </c>
      <c r="I1716" s="2">
        <v>169.95</v>
      </c>
      <c r="J1716" t="s">
        <v>51</v>
      </c>
      <c r="K1716" t="s">
        <v>52</v>
      </c>
      <c r="L1716" t="s">
        <v>21</v>
      </c>
      <c r="M1716" t="s">
        <v>120</v>
      </c>
      <c r="N1716" t="s">
        <v>23</v>
      </c>
      <c r="O1716" t="s">
        <v>24</v>
      </c>
      <c r="Q1716" s="2">
        <f>Ventas[[#This Row],[precio_base]]*Ventas[[#This Row],[cantidad]]</f>
        <v>199.95000000000002</v>
      </c>
      <c r="R1716" s="2">
        <f>Ventas[[#This Row],[Total bruto (antes de descuento)]]-Ventas[[#This Row],[total_venta]]</f>
        <v>30.000000000000028</v>
      </c>
    </row>
    <row r="1717" spans="1:18" x14ac:dyDescent="0.25">
      <c r="A1717" t="s">
        <v>1810</v>
      </c>
      <c r="B1717" s="1">
        <v>45195</v>
      </c>
      <c r="C1717" t="s">
        <v>98</v>
      </c>
      <c r="D1717" t="s">
        <v>31</v>
      </c>
      <c r="E1717">
        <v>5</v>
      </c>
      <c r="F1717" s="2">
        <v>99.99</v>
      </c>
      <c r="G1717">
        <v>20</v>
      </c>
      <c r="H1717" s="2">
        <v>79.989999999999995</v>
      </c>
      <c r="I1717" s="2">
        <v>399.95</v>
      </c>
      <c r="J1717" t="s">
        <v>51</v>
      </c>
      <c r="K1717" t="s">
        <v>20</v>
      </c>
      <c r="L1717" t="s">
        <v>45</v>
      </c>
      <c r="M1717" t="s">
        <v>84</v>
      </c>
      <c r="N1717" t="s">
        <v>85</v>
      </c>
      <c r="O1717" t="s">
        <v>35</v>
      </c>
      <c r="Q1717" s="2">
        <f>Ventas[[#This Row],[precio_base]]*Ventas[[#This Row],[cantidad]]</f>
        <v>499.95</v>
      </c>
      <c r="R1717" s="2">
        <f>Ventas[[#This Row],[Total bruto (antes de descuento)]]-Ventas[[#This Row],[total_venta]]</f>
        <v>100</v>
      </c>
    </row>
    <row r="1718" spans="1:18" x14ac:dyDescent="0.25">
      <c r="A1718" t="s">
        <v>1811</v>
      </c>
      <c r="B1718" s="1">
        <v>45274</v>
      </c>
      <c r="C1718" t="s">
        <v>78</v>
      </c>
      <c r="D1718" t="s">
        <v>18</v>
      </c>
      <c r="E1718">
        <v>2</v>
      </c>
      <c r="F1718" s="2">
        <v>349.99</v>
      </c>
      <c r="G1718">
        <v>20</v>
      </c>
      <c r="H1718" s="2">
        <v>279.99</v>
      </c>
      <c r="I1718" s="2">
        <v>559.98</v>
      </c>
      <c r="J1718" t="s">
        <v>19</v>
      </c>
      <c r="K1718" t="s">
        <v>20</v>
      </c>
      <c r="L1718" t="s">
        <v>28</v>
      </c>
      <c r="M1718" t="s">
        <v>58</v>
      </c>
      <c r="N1718" t="s">
        <v>59</v>
      </c>
      <c r="O1718" t="s">
        <v>24</v>
      </c>
      <c r="P1718">
        <v>1</v>
      </c>
      <c r="Q1718" s="2">
        <f>Ventas[[#This Row],[precio_base]]*Ventas[[#This Row],[cantidad]]</f>
        <v>699.98</v>
      </c>
      <c r="R1718" s="2">
        <f>Ventas[[#This Row],[Total bruto (antes de descuento)]]-Ventas[[#This Row],[total_venta]]</f>
        <v>140</v>
      </c>
    </row>
    <row r="1719" spans="1:18" x14ac:dyDescent="0.25">
      <c r="A1719" t="s">
        <v>1812</v>
      </c>
      <c r="B1719" s="1">
        <v>45396</v>
      </c>
      <c r="C1719" t="s">
        <v>130</v>
      </c>
      <c r="D1719" t="s">
        <v>43</v>
      </c>
      <c r="E1719">
        <v>4</v>
      </c>
      <c r="F1719" s="2">
        <v>24.99</v>
      </c>
      <c r="G1719">
        <v>20</v>
      </c>
      <c r="H1719" s="2">
        <v>19.989999999999998</v>
      </c>
      <c r="I1719" s="2">
        <v>79.959999999999994</v>
      </c>
      <c r="J1719" t="s">
        <v>19</v>
      </c>
      <c r="K1719" t="s">
        <v>20</v>
      </c>
      <c r="L1719" t="s">
        <v>28</v>
      </c>
      <c r="M1719" t="s">
        <v>58</v>
      </c>
      <c r="N1719" t="s">
        <v>59</v>
      </c>
      <c r="O1719" t="s">
        <v>24</v>
      </c>
      <c r="P1719">
        <v>3</v>
      </c>
      <c r="Q1719" s="2">
        <f>Ventas[[#This Row],[precio_base]]*Ventas[[#This Row],[cantidad]]</f>
        <v>99.96</v>
      </c>
      <c r="R1719" s="2">
        <f>Ventas[[#This Row],[Total bruto (antes de descuento)]]-Ventas[[#This Row],[total_venta]]</f>
        <v>20</v>
      </c>
    </row>
    <row r="1720" spans="1:18" x14ac:dyDescent="0.25">
      <c r="A1720" t="s">
        <v>1813</v>
      </c>
      <c r="B1720" s="1">
        <v>45388</v>
      </c>
      <c r="C1720" t="s">
        <v>30</v>
      </c>
      <c r="D1720" t="s">
        <v>31</v>
      </c>
      <c r="E1720">
        <v>3</v>
      </c>
      <c r="F1720" s="2">
        <v>299.99</v>
      </c>
      <c r="G1720">
        <v>10</v>
      </c>
      <c r="H1720" s="2">
        <v>269.99</v>
      </c>
      <c r="I1720" s="2">
        <v>809.97</v>
      </c>
      <c r="J1720" t="s">
        <v>19</v>
      </c>
      <c r="K1720" t="s">
        <v>52</v>
      </c>
      <c r="L1720" t="s">
        <v>21</v>
      </c>
      <c r="M1720" t="s">
        <v>46</v>
      </c>
      <c r="N1720" t="s">
        <v>47</v>
      </c>
      <c r="O1720" t="s">
        <v>48</v>
      </c>
      <c r="P1720">
        <v>3</v>
      </c>
      <c r="Q1720" s="2">
        <f>Ventas[[#This Row],[precio_base]]*Ventas[[#This Row],[cantidad]]</f>
        <v>899.97</v>
      </c>
      <c r="R1720" s="2">
        <f>Ventas[[#This Row],[Total bruto (antes de descuento)]]-Ventas[[#This Row],[total_venta]]</f>
        <v>90</v>
      </c>
    </row>
    <row r="1721" spans="1:18" x14ac:dyDescent="0.25">
      <c r="A1721" t="s">
        <v>1814</v>
      </c>
      <c r="B1721" s="1">
        <v>44953</v>
      </c>
      <c r="C1721" t="s">
        <v>163</v>
      </c>
      <c r="D1721" t="s">
        <v>18</v>
      </c>
      <c r="E1721">
        <v>3</v>
      </c>
      <c r="F1721" s="2">
        <v>499.99</v>
      </c>
      <c r="G1721">
        <v>10</v>
      </c>
      <c r="H1721" s="2">
        <v>449.99</v>
      </c>
      <c r="I1721" s="2">
        <v>1349.97</v>
      </c>
      <c r="J1721" t="s">
        <v>19</v>
      </c>
      <c r="K1721" t="s">
        <v>20</v>
      </c>
      <c r="L1721" t="s">
        <v>28</v>
      </c>
      <c r="M1721" t="s">
        <v>58</v>
      </c>
      <c r="N1721" t="s">
        <v>59</v>
      </c>
      <c r="O1721" t="s">
        <v>24</v>
      </c>
      <c r="P1721">
        <v>5</v>
      </c>
      <c r="Q1721" s="2">
        <f>Ventas[[#This Row],[precio_base]]*Ventas[[#This Row],[cantidad]]</f>
        <v>1499.97</v>
      </c>
      <c r="R1721" s="2">
        <f>Ventas[[#This Row],[Total bruto (antes de descuento)]]-Ventas[[#This Row],[total_venta]]</f>
        <v>150</v>
      </c>
    </row>
    <row r="1722" spans="1:18" x14ac:dyDescent="0.25">
      <c r="A1722" t="s">
        <v>1815</v>
      </c>
      <c r="B1722" s="1">
        <v>45576</v>
      </c>
      <c r="C1722" t="s">
        <v>83</v>
      </c>
      <c r="D1722" t="s">
        <v>38</v>
      </c>
      <c r="E1722">
        <v>4</v>
      </c>
      <c r="F1722" s="2">
        <v>49.99</v>
      </c>
      <c r="G1722">
        <v>15</v>
      </c>
      <c r="H1722" s="2">
        <v>42.49</v>
      </c>
      <c r="I1722" s="2">
        <v>169.96</v>
      </c>
      <c r="J1722" t="s">
        <v>19</v>
      </c>
      <c r="K1722" t="s">
        <v>20</v>
      </c>
      <c r="L1722" t="s">
        <v>32</v>
      </c>
      <c r="M1722" t="s">
        <v>58</v>
      </c>
      <c r="N1722" t="s">
        <v>59</v>
      </c>
      <c r="O1722" t="s">
        <v>24</v>
      </c>
      <c r="P1722">
        <v>2</v>
      </c>
      <c r="Q1722" s="2">
        <f>Ventas[[#This Row],[precio_base]]*Ventas[[#This Row],[cantidad]]</f>
        <v>199.96</v>
      </c>
      <c r="R1722" s="2">
        <f>Ventas[[#This Row],[Total bruto (antes de descuento)]]-Ventas[[#This Row],[total_venta]]</f>
        <v>30</v>
      </c>
    </row>
    <row r="1723" spans="1:18" x14ac:dyDescent="0.25">
      <c r="A1723" t="s">
        <v>1816</v>
      </c>
      <c r="B1723" s="1">
        <v>45077</v>
      </c>
      <c r="C1723" t="s">
        <v>156</v>
      </c>
      <c r="D1723" t="s">
        <v>27</v>
      </c>
      <c r="E1723">
        <v>3</v>
      </c>
      <c r="F1723" s="2">
        <v>49.99</v>
      </c>
      <c r="G1723">
        <v>20</v>
      </c>
      <c r="H1723" s="2">
        <v>39.99</v>
      </c>
      <c r="I1723" s="2">
        <v>119.97</v>
      </c>
      <c r="J1723" t="s">
        <v>19</v>
      </c>
      <c r="K1723" t="s">
        <v>20</v>
      </c>
      <c r="L1723" t="s">
        <v>32</v>
      </c>
      <c r="M1723" t="s">
        <v>73</v>
      </c>
      <c r="N1723" t="s">
        <v>74</v>
      </c>
      <c r="O1723" t="s">
        <v>35</v>
      </c>
      <c r="P1723">
        <v>5</v>
      </c>
      <c r="Q1723" s="2">
        <f>Ventas[[#This Row],[precio_base]]*Ventas[[#This Row],[cantidad]]</f>
        <v>149.97</v>
      </c>
      <c r="R1723" s="2">
        <f>Ventas[[#This Row],[Total bruto (antes de descuento)]]-Ventas[[#This Row],[total_venta]]</f>
        <v>30</v>
      </c>
    </row>
    <row r="1724" spans="1:18" x14ac:dyDescent="0.25">
      <c r="A1724" t="s">
        <v>1817</v>
      </c>
      <c r="B1724" s="1">
        <v>45237</v>
      </c>
      <c r="C1724" t="s">
        <v>78</v>
      </c>
      <c r="D1724" t="s">
        <v>18</v>
      </c>
      <c r="E1724">
        <v>5</v>
      </c>
      <c r="F1724" s="2">
        <v>349.99</v>
      </c>
      <c r="G1724">
        <v>0</v>
      </c>
      <c r="H1724" s="2">
        <v>349.99</v>
      </c>
      <c r="I1724" s="2">
        <v>1749.95</v>
      </c>
      <c r="J1724" t="s">
        <v>19</v>
      </c>
      <c r="K1724" t="s">
        <v>44</v>
      </c>
      <c r="L1724" t="s">
        <v>32</v>
      </c>
      <c r="M1724" t="s">
        <v>84</v>
      </c>
      <c r="N1724" t="s">
        <v>85</v>
      </c>
      <c r="O1724" t="s">
        <v>35</v>
      </c>
      <c r="P1724">
        <v>5</v>
      </c>
      <c r="Q1724" s="2">
        <f>Ventas[[#This Row],[precio_base]]*Ventas[[#This Row],[cantidad]]</f>
        <v>1749.95</v>
      </c>
      <c r="R1724" s="2">
        <f>Ventas[[#This Row],[Total bruto (antes de descuento)]]-Ventas[[#This Row],[total_venta]]</f>
        <v>0</v>
      </c>
    </row>
    <row r="1725" spans="1:18" x14ac:dyDescent="0.25">
      <c r="A1725" t="s">
        <v>1818</v>
      </c>
      <c r="B1725" s="1">
        <v>45342</v>
      </c>
      <c r="C1725" t="s">
        <v>92</v>
      </c>
      <c r="D1725" t="s">
        <v>27</v>
      </c>
      <c r="E1725">
        <v>5</v>
      </c>
      <c r="F1725" s="2">
        <v>79.989999999999995</v>
      </c>
      <c r="G1725">
        <v>0</v>
      </c>
      <c r="H1725" s="2">
        <v>79.989999999999995</v>
      </c>
      <c r="I1725" s="2">
        <v>399.95</v>
      </c>
      <c r="J1725" t="s">
        <v>116</v>
      </c>
      <c r="K1725" t="s">
        <v>20</v>
      </c>
      <c r="L1725" t="s">
        <v>32</v>
      </c>
      <c r="M1725" t="s">
        <v>73</v>
      </c>
      <c r="N1725" t="s">
        <v>74</v>
      </c>
      <c r="O1725" t="s">
        <v>35</v>
      </c>
      <c r="Q1725" s="2">
        <f>Ventas[[#This Row],[precio_base]]*Ventas[[#This Row],[cantidad]]</f>
        <v>399.95</v>
      </c>
      <c r="R1725" s="2">
        <f>Ventas[[#This Row],[Total bruto (antes de descuento)]]-Ventas[[#This Row],[total_venta]]</f>
        <v>0</v>
      </c>
    </row>
    <row r="1726" spans="1:18" x14ac:dyDescent="0.25">
      <c r="A1726" t="s">
        <v>1819</v>
      </c>
      <c r="B1726" s="1">
        <v>45248</v>
      </c>
      <c r="C1726" t="s">
        <v>87</v>
      </c>
      <c r="D1726" t="s">
        <v>27</v>
      </c>
      <c r="E1726">
        <v>3</v>
      </c>
      <c r="F1726" s="2">
        <v>249.99</v>
      </c>
      <c r="G1726">
        <v>5</v>
      </c>
      <c r="H1726" s="2">
        <v>237.49</v>
      </c>
      <c r="I1726" s="2">
        <v>712.47</v>
      </c>
      <c r="J1726" t="s">
        <v>62</v>
      </c>
      <c r="K1726" t="s">
        <v>44</v>
      </c>
      <c r="L1726" t="s">
        <v>32</v>
      </c>
      <c r="M1726" t="s">
        <v>101</v>
      </c>
      <c r="N1726" t="s">
        <v>102</v>
      </c>
      <c r="O1726" t="s">
        <v>35</v>
      </c>
      <c r="Q1726" s="2">
        <f>Ventas[[#This Row],[precio_base]]*Ventas[[#This Row],[cantidad]]</f>
        <v>749.97</v>
      </c>
      <c r="R1726" s="2">
        <f>Ventas[[#This Row],[Total bruto (antes de descuento)]]-Ventas[[#This Row],[total_venta]]</f>
        <v>37.5</v>
      </c>
    </row>
    <row r="1727" spans="1:18" x14ac:dyDescent="0.25">
      <c r="A1727" t="s">
        <v>1820</v>
      </c>
      <c r="B1727" s="1">
        <v>45420</v>
      </c>
      <c r="C1727" t="s">
        <v>205</v>
      </c>
      <c r="D1727" t="s">
        <v>18</v>
      </c>
      <c r="E1727">
        <v>4</v>
      </c>
      <c r="F1727" s="2">
        <v>129.99</v>
      </c>
      <c r="G1727">
        <v>5</v>
      </c>
      <c r="H1727" s="2">
        <v>123.49</v>
      </c>
      <c r="I1727" s="2">
        <v>493.96</v>
      </c>
      <c r="J1727" t="s">
        <v>19</v>
      </c>
      <c r="K1727" t="s">
        <v>20</v>
      </c>
      <c r="L1727" t="s">
        <v>21</v>
      </c>
      <c r="M1727" t="s">
        <v>95</v>
      </c>
      <c r="N1727" t="s">
        <v>96</v>
      </c>
      <c r="O1727" t="s">
        <v>48</v>
      </c>
      <c r="P1727">
        <v>2</v>
      </c>
      <c r="Q1727" s="2">
        <f>Ventas[[#This Row],[precio_base]]*Ventas[[#This Row],[cantidad]]</f>
        <v>519.96</v>
      </c>
      <c r="R1727" s="2">
        <f>Ventas[[#This Row],[Total bruto (antes de descuento)]]-Ventas[[#This Row],[total_venta]]</f>
        <v>26.000000000000057</v>
      </c>
    </row>
    <row r="1728" spans="1:18" x14ac:dyDescent="0.25">
      <c r="A1728" t="s">
        <v>1821</v>
      </c>
      <c r="B1728" s="1">
        <v>45080</v>
      </c>
      <c r="C1728" t="s">
        <v>61</v>
      </c>
      <c r="D1728" t="s">
        <v>38</v>
      </c>
      <c r="E1728">
        <v>5</v>
      </c>
      <c r="F1728" s="2">
        <v>19.989999999999998</v>
      </c>
      <c r="G1728">
        <v>20</v>
      </c>
      <c r="H1728" s="2">
        <v>15.99</v>
      </c>
      <c r="I1728" s="2">
        <v>79.95</v>
      </c>
      <c r="J1728" t="s">
        <v>51</v>
      </c>
      <c r="K1728" t="s">
        <v>44</v>
      </c>
      <c r="L1728" t="s">
        <v>45</v>
      </c>
      <c r="M1728" t="s">
        <v>95</v>
      </c>
      <c r="N1728" t="s">
        <v>96</v>
      </c>
      <c r="O1728" t="s">
        <v>48</v>
      </c>
      <c r="Q1728" s="2">
        <f>Ventas[[#This Row],[precio_base]]*Ventas[[#This Row],[cantidad]]</f>
        <v>99.949999999999989</v>
      </c>
      <c r="R1728" s="2">
        <f>Ventas[[#This Row],[Total bruto (antes de descuento)]]-Ventas[[#This Row],[total_venta]]</f>
        <v>19.999999999999986</v>
      </c>
    </row>
    <row r="1729" spans="1:18" x14ac:dyDescent="0.25">
      <c r="A1729" t="s">
        <v>1822</v>
      </c>
      <c r="B1729" s="1">
        <v>45397</v>
      </c>
      <c r="C1729" t="s">
        <v>26</v>
      </c>
      <c r="D1729" t="s">
        <v>27</v>
      </c>
      <c r="E1729">
        <v>1</v>
      </c>
      <c r="F1729" s="2">
        <v>399.99</v>
      </c>
      <c r="G1729">
        <v>20</v>
      </c>
      <c r="H1729" s="2">
        <v>319.99</v>
      </c>
      <c r="I1729" s="2">
        <v>319.99</v>
      </c>
      <c r="J1729" t="s">
        <v>51</v>
      </c>
      <c r="K1729" t="s">
        <v>52</v>
      </c>
      <c r="L1729" t="s">
        <v>45</v>
      </c>
      <c r="M1729" t="s">
        <v>67</v>
      </c>
      <c r="N1729" t="s">
        <v>68</v>
      </c>
      <c r="O1729" t="s">
        <v>35</v>
      </c>
      <c r="Q1729" s="2">
        <f>Ventas[[#This Row],[precio_base]]*Ventas[[#This Row],[cantidad]]</f>
        <v>399.99</v>
      </c>
      <c r="R1729" s="2">
        <f>Ventas[[#This Row],[Total bruto (antes de descuento)]]-Ventas[[#This Row],[total_venta]]</f>
        <v>80</v>
      </c>
    </row>
    <row r="1730" spans="1:18" x14ac:dyDescent="0.25">
      <c r="A1730" t="s">
        <v>1823</v>
      </c>
      <c r="B1730" s="1">
        <v>45160</v>
      </c>
      <c r="C1730" t="s">
        <v>76</v>
      </c>
      <c r="D1730" t="s">
        <v>31</v>
      </c>
      <c r="E1730">
        <v>2</v>
      </c>
      <c r="F1730" s="2">
        <v>69.989999999999995</v>
      </c>
      <c r="G1730">
        <v>0</v>
      </c>
      <c r="H1730" s="2">
        <v>69.989999999999995</v>
      </c>
      <c r="I1730" s="2">
        <v>139.97999999999999</v>
      </c>
      <c r="J1730" t="s">
        <v>51</v>
      </c>
      <c r="K1730" t="s">
        <v>44</v>
      </c>
      <c r="L1730" t="s">
        <v>152</v>
      </c>
      <c r="M1730" t="s">
        <v>120</v>
      </c>
      <c r="N1730" t="s">
        <v>23</v>
      </c>
      <c r="O1730" t="s">
        <v>24</v>
      </c>
      <c r="Q1730" s="2">
        <f>Ventas[[#This Row],[precio_base]]*Ventas[[#This Row],[cantidad]]</f>
        <v>139.97999999999999</v>
      </c>
      <c r="R1730" s="2">
        <f>Ventas[[#This Row],[Total bruto (antes de descuento)]]-Ventas[[#This Row],[total_venta]]</f>
        <v>0</v>
      </c>
    </row>
    <row r="1731" spans="1:18" x14ac:dyDescent="0.25">
      <c r="A1731" t="s">
        <v>1824</v>
      </c>
      <c r="B1731" s="1">
        <v>45446</v>
      </c>
      <c r="C1731" t="s">
        <v>56</v>
      </c>
      <c r="D1731" t="s">
        <v>18</v>
      </c>
      <c r="E1731">
        <v>3</v>
      </c>
      <c r="F1731" s="2">
        <v>89.99</v>
      </c>
      <c r="G1731">
        <v>10</v>
      </c>
      <c r="H1731" s="2">
        <v>80.989999999999995</v>
      </c>
      <c r="I1731" s="2">
        <v>242.97</v>
      </c>
      <c r="J1731" t="s">
        <v>116</v>
      </c>
      <c r="K1731" t="s">
        <v>44</v>
      </c>
      <c r="L1731" t="s">
        <v>32</v>
      </c>
      <c r="M1731" t="s">
        <v>67</v>
      </c>
      <c r="N1731" t="s">
        <v>68</v>
      </c>
      <c r="O1731" t="s">
        <v>35</v>
      </c>
      <c r="Q1731" s="2">
        <f>Ventas[[#This Row],[precio_base]]*Ventas[[#This Row],[cantidad]]</f>
        <v>269.96999999999997</v>
      </c>
      <c r="R1731" s="2">
        <f>Ventas[[#This Row],[Total bruto (antes de descuento)]]-Ventas[[#This Row],[total_venta]]</f>
        <v>26.999999999999972</v>
      </c>
    </row>
    <row r="1732" spans="1:18" x14ac:dyDescent="0.25">
      <c r="A1732" t="s">
        <v>1825</v>
      </c>
      <c r="B1732" s="1">
        <v>44984</v>
      </c>
      <c r="C1732" t="s">
        <v>151</v>
      </c>
      <c r="D1732" t="s">
        <v>27</v>
      </c>
      <c r="E1732">
        <v>5</v>
      </c>
      <c r="F1732" s="2">
        <v>599.99</v>
      </c>
      <c r="G1732">
        <v>10</v>
      </c>
      <c r="H1732" s="2">
        <v>539.99</v>
      </c>
      <c r="I1732" s="2">
        <v>2699.95</v>
      </c>
      <c r="J1732" t="s">
        <v>19</v>
      </c>
      <c r="K1732" t="s">
        <v>52</v>
      </c>
      <c r="L1732" t="s">
        <v>21</v>
      </c>
      <c r="M1732" t="s">
        <v>58</v>
      </c>
      <c r="N1732" t="s">
        <v>59</v>
      </c>
      <c r="O1732" t="s">
        <v>24</v>
      </c>
      <c r="P1732">
        <v>2</v>
      </c>
      <c r="Q1732" s="2">
        <f>Ventas[[#This Row],[precio_base]]*Ventas[[#This Row],[cantidad]]</f>
        <v>2999.95</v>
      </c>
      <c r="R1732" s="2">
        <f>Ventas[[#This Row],[Total bruto (antes de descuento)]]-Ventas[[#This Row],[total_venta]]</f>
        <v>300</v>
      </c>
    </row>
    <row r="1733" spans="1:18" x14ac:dyDescent="0.25">
      <c r="A1733" t="s">
        <v>1826</v>
      </c>
      <c r="B1733" s="1">
        <v>45160</v>
      </c>
      <c r="C1733" t="s">
        <v>30</v>
      </c>
      <c r="D1733" t="s">
        <v>31</v>
      </c>
      <c r="E1733">
        <v>4</v>
      </c>
      <c r="F1733" s="2">
        <v>299.99</v>
      </c>
      <c r="G1733">
        <v>0</v>
      </c>
      <c r="H1733" s="2">
        <v>299.99</v>
      </c>
      <c r="I1733" s="2">
        <v>1199.96</v>
      </c>
      <c r="J1733" t="s">
        <v>19</v>
      </c>
      <c r="K1733" t="s">
        <v>20</v>
      </c>
      <c r="L1733" t="s">
        <v>21</v>
      </c>
      <c r="M1733" t="s">
        <v>33</v>
      </c>
      <c r="N1733" t="s">
        <v>34</v>
      </c>
      <c r="O1733" t="s">
        <v>35</v>
      </c>
      <c r="P1733">
        <v>2</v>
      </c>
      <c r="Q1733" s="2">
        <f>Ventas[[#This Row],[precio_base]]*Ventas[[#This Row],[cantidad]]</f>
        <v>1199.96</v>
      </c>
      <c r="R1733" s="2">
        <f>Ventas[[#This Row],[Total bruto (antes de descuento)]]-Ventas[[#This Row],[total_venta]]</f>
        <v>0</v>
      </c>
    </row>
    <row r="1734" spans="1:18" x14ac:dyDescent="0.25">
      <c r="A1734" t="s">
        <v>1827</v>
      </c>
      <c r="B1734" s="1">
        <v>44992</v>
      </c>
      <c r="C1734" t="s">
        <v>130</v>
      </c>
      <c r="D1734" t="s">
        <v>43</v>
      </c>
      <c r="E1734">
        <v>2</v>
      </c>
      <c r="F1734" s="2">
        <v>24.99</v>
      </c>
      <c r="G1734">
        <v>10</v>
      </c>
      <c r="H1734" s="2">
        <v>22.49</v>
      </c>
      <c r="I1734" s="2">
        <v>44.98</v>
      </c>
      <c r="J1734" t="s">
        <v>19</v>
      </c>
      <c r="K1734" t="s">
        <v>20</v>
      </c>
      <c r="L1734" t="s">
        <v>45</v>
      </c>
      <c r="M1734" t="s">
        <v>22</v>
      </c>
      <c r="N1734" t="s">
        <v>23</v>
      </c>
      <c r="O1734" t="s">
        <v>24</v>
      </c>
      <c r="P1734">
        <v>5</v>
      </c>
      <c r="Q1734" s="2">
        <f>Ventas[[#This Row],[precio_base]]*Ventas[[#This Row],[cantidad]]</f>
        <v>49.98</v>
      </c>
      <c r="R1734" s="2">
        <f>Ventas[[#This Row],[Total bruto (antes de descuento)]]-Ventas[[#This Row],[total_venta]]</f>
        <v>5</v>
      </c>
    </row>
    <row r="1735" spans="1:18" x14ac:dyDescent="0.25">
      <c r="A1735" t="s">
        <v>1828</v>
      </c>
      <c r="B1735" s="1">
        <v>45415</v>
      </c>
      <c r="C1735" t="s">
        <v>151</v>
      </c>
      <c r="D1735" t="s">
        <v>27</v>
      </c>
      <c r="E1735">
        <v>1</v>
      </c>
      <c r="F1735" s="2">
        <v>599.99</v>
      </c>
      <c r="G1735">
        <v>10</v>
      </c>
      <c r="H1735" s="2">
        <v>539.99</v>
      </c>
      <c r="I1735" s="2">
        <v>539.99</v>
      </c>
      <c r="J1735" t="s">
        <v>62</v>
      </c>
      <c r="K1735" t="s">
        <v>20</v>
      </c>
      <c r="L1735" t="s">
        <v>28</v>
      </c>
      <c r="M1735" t="s">
        <v>46</v>
      </c>
      <c r="N1735" t="s">
        <v>47</v>
      </c>
      <c r="O1735" t="s">
        <v>48</v>
      </c>
      <c r="Q1735" s="2">
        <f>Ventas[[#This Row],[precio_base]]*Ventas[[#This Row],[cantidad]]</f>
        <v>599.99</v>
      </c>
      <c r="R1735" s="2">
        <f>Ventas[[#This Row],[Total bruto (antes de descuento)]]-Ventas[[#This Row],[total_venta]]</f>
        <v>60</v>
      </c>
    </row>
    <row r="1736" spans="1:18" x14ac:dyDescent="0.25">
      <c r="A1736" t="s">
        <v>1829</v>
      </c>
      <c r="B1736" s="1">
        <v>45128</v>
      </c>
      <c r="C1736" t="s">
        <v>92</v>
      </c>
      <c r="D1736" t="s">
        <v>27</v>
      </c>
      <c r="E1736">
        <v>1</v>
      </c>
      <c r="F1736" s="2">
        <v>79.989999999999995</v>
      </c>
      <c r="G1736">
        <v>5</v>
      </c>
      <c r="H1736" s="2">
        <v>75.989999999999995</v>
      </c>
      <c r="I1736" s="2">
        <v>75.989999999999995</v>
      </c>
      <c r="J1736" t="s">
        <v>19</v>
      </c>
      <c r="K1736" t="s">
        <v>20</v>
      </c>
      <c r="L1736" t="s">
        <v>45</v>
      </c>
      <c r="M1736" t="s">
        <v>22</v>
      </c>
      <c r="N1736" t="s">
        <v>23</v>
      </c>
      <c r="O1736" t="s">
        <v>24</v>
      </c>
      <c r="P1736">
        <v>5</v>
      </c>
      <c r="Q1736" s="2">
        <f>Ventas[[#This Row],[precio_base]]*Ventas[[#This Row],[cantidad]]</f>
        <v>79.989999999999995</v>
      </c>
      <c r="R1736" s="2">
        <f>Ventas[[#This Row],[Total bruto (antes de descuento)]]-Ventas[[#This Row],[total_venta]]</f>
        <v>4</v>
      </c>
    </row>
    <row r="1737" spans="1:18" x14ac:dyDescent="0.25">
      <c r="A1737" t="s">
        <v>1830</v>
      </c>
      <c r="B1737" s="1">
        <v>45425</v>
      </c>
      <c r="C1737" t="s">
        <v>83</v>
      </c>
      <c r="D1737" t="s">
        <v>38</v>
      </c>
      <c r="E1737">
        <v>5</v>
      </c>
      <c r="F1737" s="2">
        <v>49.99</v>
      </c>
      <c r="G1737">
        <v>0</v>
      </c>
      <c r="H1737" s="2">
        <v>49.99</v>
      </c>
      <c r="I1737" s="2">
        <v>249.95</v>
      </c>
      <c r="J1737" t="s">
        <v>19</v>
      </c>
      <c r="K1737" t="s">
        <v>52</v>
      </c>
      <c r="L1737" t="s">
        <v>28</v>
      </c>
      <c r="M1737" t="s">
        <v>67</v>
      </c>
      <c r="N1737" t="s">
        <v>68</v>
      </c>
      <c r="O1737" t="s">
        <v>35</v>
      </c>
      <c r="P1737">
        <v>4</v>
      </c>
      <c r="Q1737" s="2">
        <f>Ventas[[#This Row],[precio_base]]*Ventas[[#This Row],[cantidad]]</f>
        <v>249.95000000000002</v>
      </c>
      <c r="R1737" s="2">
        <f>Ventas[[#This Row],[Total bruto (antes de descuento)]]-Ventas[[#This Row],[total_venta]]</f>
        <v>0</v>
      </c>
    </row>
    <row r="1738" spans="1:18" x14ac:dyDescent="0.25">
      <c r="A1738" t="s">
        <v>1831</v>
      </c>
      <c r="B1738" s="1">
        <v>45585</v>
      </c>
      <c r="C1738" t="s">
        <v>115</v>
      </c>
      <c r="D1738" t="s">
        <v>18</v>
      </c>
      <c r="E1738">
        <v>5</v>
      </c>
      <c r="F1738" s="2">
        <v>799.99</v>
      </c>
      <c r="G1738">
        <v>20</v>
      </c>
      <c r="H1738" s="2">
        <v>639.99</v>
      </c>
      <c r="I1738" s="2">
        <v>3199.95</v>
      </c>
      <c r="J1738" t="s">
        <v>51</v>
      </c>
      <c r="K1738" t="s">
        <v>44</v>
      </c>
      <c r="L1738" t="s">
        <v>21</v>
      </c>
      <c r="M1738" t="s">
        <v>39</v>
      </c>
      <c r="N1738" t="s">
        <v>40</v>
      </c>
      <c r="O1738" t="s">
        <v>35</v>
      </c>
      <c r="Q1738" s="2">
        <f>Ventas[[#This Row],[precio_base]]*Ventas[[#This Row],[cantidad]]</f>
        <v>3999.95</v>
      </c>
      <c r="R1738" s="2">
        <f>Ventas[[#This Row],[Total bruto (antes de descuento)]]-Ventas[[#This Row],[total_venta]]</f>
        <v>800</v>
      </c>
    </row>
    <row r="1739" spans="1:18" x14ac:dyDescent="0.25">
      <c r="A1739" t="s">
        <v>1832</v>
      </c>
      <c r="B1739" s="1">
        <v>45343</v>
      </c>
      <c r="C1739" t="s">
        <v>156</v>
      </c>
      <c r="D1739" t="s">
        <v>27</v>
      </c>
      <c r="E1739">
        <v>3</v>
      </c>
      <c r="F1739" s="2">
        <v>49.99</v>
      </c>
      <c r="G1739">
        <v>5</v>
      </c>
      <c r="H1739" s="2">
        <v>47.49</v>
      </c>
      <c r="I1739" s="2">
        <v>142.47</v>
      </c>
      <c r="J1739" t="s">
        <v>51</v>
      </c>
      <c r="K1739" t="s">
        <v>44</v>
      </c>
      <c r="L1739" t="s">
        <v>45</v>
      </c>
      <c r="M1739" t="s">
        <v>123</v>
      </c>
      <c r="N1739" t="s">
        <v>124</v>
      </c>
      <c r="O1739" t="s">
        <v>24</v>
      </c>
      <c r="Q1739" s="2">
        <f>Ventas[[#This Row],[precio_base]]*Ventas[[#This Row],[cantidad]]</f>
        <v>149.97</v>
      </c>
      <c r="R1739" s="2">
        <f>Ventas[[#This Row],[Total bruto (antes de descuento)]]-Ventas[[#This Row],[total_venta]]</f>
        <v>7.5</v>
      </c>
    </row>
    <row r="1740" spans="1:18" x14ac:dyDescent="0.25">
      <c r="A1740" t="s">
        <v>1833</v>
      </c>
      <c r="B1740" s="1">
        <v>45587</v>
      </c>
      <c r="C1740" t="s">
        <v>83</v>
      </c>
      <c r="D1740" t="s">
        <v>38</v>
      </c>
      <c r="E1740">
        <v>3</v>
      </c>
      <c r="F1740" s="2">
        <v>49.99</v>
      </c>
      <c r="G1740">
        <v>20</v>
      </c>
      <c r="H1740" s="2">
        <v>39.99</v>
      </c>
      <c r="I1740" s="2">
        <v>119.97</v>
      </c>
      <c r="J1740" t="s">
        <v>19</v>
      </c>
      <c r="K1740" t="s">
        <v>20</v>
      </c>
      <c r="L1740" t="s">
        <v>45</v>
      </c>
      <c r="M1740" t="s">
        <v>123</v>
      </c>
      <c r="N1740" t="s">
        <v>124</v>
      </c>
      <c r="O1740" t="s">
        <v>24</v>
      </c>
      <c r="P1740">
        <v>3</v>
      </c>
      <c r="Q1740" s="2">
        <f>Ventas[[#This Row],[precio_base]]*Ventas[[#This Row],[cantidad]]</f>
        <v>149.97</v>
      </c>
      <c r="R1740" s="2">
        <f>Ventas[[#This Row],[Total bruto (antes de descuento)]]-Ventas[[#This Row],[total_venta]]</f>
        <v>30</v>
      </c>
    </row>
    <row r="1741" spans="1:18" x14ac:dyDescent="0.25">
      <c r="A1741" t="s">
        <v>1834</v>
      </c>
      <c r="B1741" s="1">
        <v>45567</v>
      </c>
      <c r="C1741" t="s">
        <v>151</v>
      </c>
      <c r="D1741" t="s">
        <v>27</v>
      </c>
      <c r="E1741">
        <v>1</v>
      </c>
      <c r="F1741" s="2">
        <v>599.99</v>
      </c>
      <c r="G1741">
        <v>20</v>
      </c>
      <c r="H1741" s="2">
        <v>479.99</v>
      </c>
      <c r="I1741" s="2">
        <v>479.99</v>
      </c>
      <c r="J1741" t="s">
        <v>90</v>
      </c>
      <c r="K1741" t="s">
        <v>20</v>
      </c>
      <c r="L1741" t="s">
        <v>32</v>
      </c>
      <c r="M1741" t="s">
        <v>101</v>
      </c>
      <c r="N1741" t="s">
        <v>102</v>
      </c>
      <c r="O1741" t="s">
        <v>35</v>
      </c>
      <c r="Q1741" s="2">
        <f>Ventas[[#This Row],[precio_base]]*Ventas[[#This Row],[cantidad]]</f>
        <v>599.99</v>
      </c>
      <c r="R1741" s="2">
        <f>Ventas[[#This Row],[Total bruto (antes de descuento)]]-Ventas[[#This Row],[total_venta]]</f>
        <v>120</v>
      </c>
    </row>
    <row r="1742" spans="1:18" x14ac:dyDescent="0.25">
      <c r="A1742" t="s">
        <v>1835</v>
      </c>
      <c r="B1742" s="1">
        <v>45448</v>
      </c>
      <c r="C1742" t="s">
        <v>92</v>
      </c>
      <c r="D1742" t="s">
        <v>27</v>
      </c>
      <c r="E1742">
        <v>4</v>
      </c>
      <c r="F1742" s="2">
        <v>79.989999999999995</v>
      </c>
      <c r="G1742">
        <v>0</v>
      </c>
      <c r="H1742" s="2">
        <v>79.989999999999995</v>
      </c>
      <c r="I1742" s="2">
        <v>319.95999999999998</v>
      </c>
      <c r="J1742" t="s">
        <v>19</v>
      </c>
      <c r="K1742" t="s">
        <v>20</v>
      </c>
      <c r="L1742" t="s">
        <v>21</v>
      </c>
      <c r="M1742" t="s">
        <v>39</v>
      </c>
      <c r="N1742" t="s">
        <v>40</v>
      </c>
      <c r="O1742" t="s">
        <v>35</v>
      </c>
      <c r="P1742">
        <v>4</v>
      </c>
      <c r="Q1742" s="2">
        <f>Ventas[[#This Row],[precio_base]]*Ventas[[#This Row],[cantidad]]</f>
        <v>319.95999999999998</v>
      </c>
      <c r="R1742" s="2">
        <f>Ventas[[#This Row],[Total bruto (antes de descuento)]]-Ventas[[#This Row],[total_venta]]</f>
        <v>0</v>
      </c>
    </row>
    <row r="1743" spans="1:18" x14ac:dyDescent="0.25">
      <c r="A1743" t="s">
        <v>1836</v>
      </c>
      <c r="B1743" s="1">
        <v>45277</v>
      </c>
      <c r="C1743" t="s">
        <v>72</v>
      </c>
      <c r="D1743" t="s">
        <v>31</v>
      </c>
      <c r="E1743">
        <v>5</v>
      </c>
      <c r="F1743" s="2">
        <v>29.99</v>
      </c>
      <c r="G1743">
        <v>20</v>
      </c>
      <c r="H1743" s="2">
        <v>23.99</v>
      </c>
      <c r="I1743" s="2">
        <v>119.95</v>
      </c>
      <c r="J1743" t="s">
        <v>19</v>
      </c>
      <c r="K1743" t="s">
        <v>20</v>
      </c>
      <c r="L1743" t="s">
        <v>21</v>
      </c>
      <c r="M1743" t="s">
        <v>39</v>
      </c>
      <c r="N1743" t="s">
        <v>40</v>
      </c>
      <c r="O1743" t="s">
        <v>35</v>
      </c>
      <c r="P1743">
        <v>3</v>
      </c>
      <c r="Q1743" s="2">
        <f>Ventas[[#This Row],[precio_base]]*Ventas[[#This Row],[cantidad]]</f>
        <v>149.94999999999999</v>
      </c>
      <c r="R1743" s="2">
        <f>Ventas[[#This Row],[Total bruto (antes de descuento)]]-Ventas[[#This Row],[total_venta]]</f>
        <v>29.999999999999986</v>
      </c>
    </row>
    <row r="1744" spans="1:18" x14ac:dyDescent="0.25">
      <c r="A1744" t="s">
        <v>1837</v>
      </c>
      <c r="B1744" s="1">
        <v>45440</v>
      </c>
      <c r="C1744" t="s">
        <v>83</v>
      </c>
      <c r="D1744" t="s">
        <v>38</v>
      </c>
      <c r="E1744">
        <v>3</v>
      </c>
      <c r="F1744" s="2">
        <v>49.99</v>
      </c>
      <c r="G1744">
        <v>20</v>
      </c>
      <c r="H1744" s="2">
        <v>39.99</v>
      </c>
      <c r="I1744" s="2">
        <v>119.97</v>
      </c>
      <c r="J1744" t="s">
        <v>19</v>
      </c>
      <c r="K1744" t="s">
        <v>44</v>
      </c>
      <c r="L1744" t="s">
        <v>152</v>
      </c>
      <c r="M1744" t="s">
        <v>95</v>
      </c>
      <c r="N1744" t="s">
        <v>96</v>
      </c>
      <c r="O1744" t="s">
        <v>48</v>
      </c>
      <c r="P1744">
        <v>2</v>
      </c>
      <c r="Q1744" s="2">
        <f>Ventas[[#This Row],[precio_base]]*Ventas[[#This Row],[cantidad]]</f>
        <v>149.97</v>
      </c>
      <c r="R1744" s="2">
        <f>Ventas[[#This Row],[Total bruto (antes de descuento)]]-Ventas[[#This Row],[total_venta]]</f>
        <v>30</v>
      </c>
    </row>
    <row r="1745" spans="1:18" x14ac:dyDescent="0.25">
      <c r="A1745" t="s">
        <v>1838</v>
      </c>
      <c r="B1745" s="1">
        <v>45511</v>
      </c>
      <c r="C1745" t="s">
        <v>81</v>
      </c>
      <c r="D1745" t="s">
        <v>31</v>
      </c>
      <c r="E1745">
        <v>2</v>
      </c>
      <c r="F1745" s="2">
        <v>189.99</v>
      </c>
      <c r="G1745">
        <v>0</v>
      </c>
      <c r="H1745" s="2">
        <v>189.99</v>
      </c>
      <c r="I1745" s="2">
        <v>379.98</v>
      </c>
      <c r="J1745" t="s">
        <v>19</v>
      </c>
      <c r="K1745" t="s">
        <v>20</v>
      </c>
      <c r="L1745" t="s">
        <v>21</v>
      </c>
      <c r="M1745" t="s">
        <v>39</v>
      </c>
      <c r="N1745" t="s">
        <v>40</v>
      </c>
      <c r="O1745" t="s">
        <v>35</v>
      </c>
      <c r="P1745">
        <v>2</v>
      </c>
      <c r="Q1745" s="2">
        <f>Ventas[[#This Row],[precio_base]]*Ventas[[#This Row],[cantidad]]</f>
        <v>379.98</v>
      </c>
      <c r="R1745" s="2">
        <f>Ventas[[#This Row],[Total bruto (antes de descuento)]]-Ventas[[#This Row],[total_venta]]</f>
        <v>0</v>
      </c>
    </row>
    <row r="1746" spans="1:18" x14ac:dyDescent="0.25">
      <c r="A1746" t="s">
        <v>1839</v>
      </c>
      <c r="B1746" s="1">
        <v>45551</v>
      </c>
      <c r="C1746" t="s">
        <v>81</v>
      </c>
      <c r="D1746" t="s">
        <v>31</v>
      </c>
      <c r="E1746">
        <v>2</v>
      </c>
      <c r="F1746" s="2">
        <v>189.99</v>
      </c>
      <c r="G1746">
        <v>0</v>
      </c>
      <c r="H1746" s="2">
        <v>189.99</v>
      </c>
      <c r="I1746" s="2">
        <v>379.98</v>
      </c>
      <c r="J1746" t="s">
        <v>90</v>
      </c>
      <c r="K1746" t="s">
        <v>44</v>
      </c>
      <c r="L1746" t="s">
        <v>28</v>
      </c>
      <c r="M1746" t="s">
        <v>101</v>
      </c>
      <c r="N1746" t="s">
        <v>102</v>
      </c>
      <c r="O1746" t="s">
        <v>35</v>
      </c>
      <c r="Q1746" s="2">
        <f>Ventas[[#This Row],[precio_base]]*Ventas[[#This Row],[cantidad]]</f>
        <v>379.98</v>
      </c>
      <c r="R1746" s="2">
        <f>Ventas[[#This Row],[Total bruto (antes de descuento)]]-Ventas[[#This Row],[total_venta]]</f>
        <v>0</v>
      </c>
    </row>
    <row r="1747" spans="1:18" x14ac:dyDescent="0.25">
      <c r="A1747" t="s">
        <v>1840</v>
      </c>
      <c r="B1747" s="1">
        <v>45202</v>
      </c>
      <c r="C1747" t="s">
        <v>163</v>
      </c>
      <c r="D1747" t="s">
        <v>18</v>
      </c>
      <c r="E1747">
        <v>3</v>
      </c>
      <c r="F1747" s="2">
        <v>499.99</v>
      </c>
      <c r="G1747">
        <v>5</v>
      </c>
      <c r="H1747" s="2">
        <v>474.99</v>
      </c>
      <c r="I1747" s="2">
        <v>1424.97</v>
      </c>
      <c r="J1747" t="s">
        <v>90</v>
      </c>
      <c r="K1747" t="s">
        <v>20</v>
      </c>
      <c r="L1747" t="s">
        <v>21</v>
      </c>
      <c r="M1747" t="s">
        <v>67</v>
      </c>
      <c r="N1747" t="s">
        <v>68</v>
      </c>
      <c r="O1747" t="s">
        <v>35</v>
      </c>
      <c r="Q1747" s="2">
        <f>Ventas[[#This Row],[precio_base]]*Ventas[[#This Row],[cantidad]]</f>
        <v>1499.97</v>
      </c>
      <c r="R1747" s="2">
        <f>Ventas[[#This Row],[Total bruto (antes de descuento)]]-Ventas[[#This Row],[total_venta]]</f>
        <v>75</v>
      </c>
    </row>
    <row r="1748" spans="1:18" x14ac:dyDescent="0.25">
      <c r="A1748" t="s">
        <v>1841</v>
      </c>
      <c r="B1748" s="1">
        <v>45268</v>
      </c>
      <c r="C1748" t="s">
        <v>76</v>
      </c>
      <c r="D1748" t="s">
        <v>31</v>
      </c>
      <c r="E1748">
        <v>3</v>
      </c>
      <c r="F1748" s="2">
        <v>69.989999999999995</v>
      </c>
      <c r="G1748">
        <v>20</v>
      </c>
      <c r="H1748" s="2">
        <v>55.99</v>
      </c>
      <c r="I1748" s="2">
        <v>167.97</v>
      </c>
      <c r="J1748" t="s">
        <v>51</v>
      </c>
      <c r="K1748" t="s">
        <v>20</v>
      </c>
      <c r="L1748" t="s">
        <v>45</v>
      </c>
      <c r="M1748" t="s">
        <v>101</v>
      </c>
      <c r="N1748" t="s">
        <v>102</v>
      </c>
      <c r="O1748" t="s">
        <v>35</v>
      </c>
      <c r="Q1748" s="2">
        <f>Ventas[[#This Row],[precio_base]]*Ventas[[#This Row],[cantidad]]</f>
        <v>209.96999999999997</v>
      </c>
      <c r="R1748" s="2">
        <f>Ventas[[#This Row],[Total bruto (antes de descuento)]]-Ventas[[#This Row],[total_venta]]</f>
        <v>41.999999999999972</v>
      </c>
    </row>
    <row r="1749" spans="1:18" x14ac:dyDescent="0.25">
      <c r="A1749" t="s">
        <v>1842</v>
      </c>
      <c r="B1749" s="1">
        <v>45354</v>
      </c>
      <c r="C1749" t="s">
        <v>104</v>
      </c>
      <c r="D1749" t="s">
        <v>18</v>
      </c>
      <c r="E1749">
        <v>4</v>
      </c>
      <c r="F1749" s="2">
        <v>1199.99</v>
      </c>
      <c r="G1749">
        <v>0</v>
      </c>
      <c r="H1749" s="2">
        <v>1199.99</v>
      </c>
      <c r="I1749" s="2">
        <v>4799.96</v>
      </c>
      <c r="J1749" t="s">
        <v>116</v>
      </c>
      <c r="K1749" t="s">
        <v>44</v>
      </c>
      <c r="L1749" t="s">
        <v>21</v>
      </c>
      <c r="M1749" t="s">
        <v>123</v>
      </c>
      <c r="N1749" t="s">
        <v>124</v>
      </c>
      <c r="O1749" t="s">
        <v>24</v>
      </c>
      <c r="Q1749" s="2">
        <f>Ventas[[#This Row],[precio_base]]*Ventas[[#This Row],[cantidad]]</f>
        <v>4799.96</v>
      </c>
      <c r="R1749" s="2">
        <f>Ventas[[#This Row],[Total bruto (antes de descuento)]]-Ventas[[#This Row],[total_venta]]</f>
        <v>0</v>
      </c>
    </row>
    <row r="1750" spans="1:18" x14ac:dyDescent="0.25">
      <c r="A1750" t="s">
        <v>1843</v>
      </c>
      <c r="B1750" s="1">
        <v>45394</v>
      </c>
      <c r="C1750" t="s">
        <v>98</v>
      </c>
      <c r="D1750" t="s">
        <v>31</v>
      </c>
      <c r="E1750">
        <v>3</v>
      </c>
      <c r="F1750" s="2">
        <v>99.99</v>
      </c>
      <c r="G1750">
        <v>0</v>
      </c>
      <c r="H1750" s="2">
        <v>99.99</v>
      </c>
      <c r="I1750" s="2">
        <v>299.97000000000003</v>
      </c>
      <c r="J1750" t="s">
        <v>62</v>
      </c>
      <c r="K1750" t="s">
        <v>20</v>
      </c>
      <c r="L1750" t="s">
        <v>28</v>
      </c>
      <c r="M1750" t="s">
        <v>22</v>
      </c>
      <c r="N1750" t="s">
        <v>23</v>
      </c>
      <c r="O1750" t="s">
        <v>24</v>
      </c>
      <c r="Q1750" s="2">
        <f>Ventas[[#This Row],[precio_base]]*Ventas[[#This Row],[cantidad]]</f>
        <v>299.96999999999997</v>
      </c>
      <c r="R1750" s="2">
        <f>Ventas[[#This Row],[Total bruto (antes de descuento)]]-Ventas[[#This Row],[total_venta]]</f>
        <v>0</v>
      </c>
    </row>
    <row r="1751" spans="1:18" x14ac:dyDescent="0.25">
      <c r="A1751" t="s">
        <v>1844</v>
      </c>
      <c r="B1751" s="1">
        <v>45228</v>
      </c>
      <c r="C1751" t="s">
        <v>143</v>
      </c>
      <c r="D1751" t="s">
        <v>43</v>
      </c>
      <c r="E1751">
        <v>3</v>
      </c>
      <c r="F1751" s="2">
        <v>34.99</v>
      </c>
      <c r="G1751">
        <v>0</v>
      </c>
      <c r="H1751" s="2">
        <v>34.99</v>
      </c>
      <c r="I1751" s="2">
        <v>104.97</v>
      </c>
      <c r="J1751" t="s">
        <v>19</v>
      </c>
      <c r="K1751" t="s">
        <v>20</v>
      </c>
      <c r="L1751" t="s">
        <v>45</v>
      </c>
      <c r="M1751" t="s">
        <v>39</v>
      </c>
      <c r="N1751" t="s">
        <v>40</v>
      </c>
      <c r="O1751" t="s">
        <v>35</v>
      </c>
      <c r="P1751">
        <v>2</v>
      </c>
      <c r="Q1751" s="2">
        <f>Ventas[[#This Row],[precio_base]]*Ventas[[#This Row],[cantidad]]</f>
        <v>104.97</v>
      </c>
      <c r="R1751" s="2">
        <f>Ventas[[#This Row],[Total bruto (antes de descuento)]]-Ventas[[#This Row],[total_venta]]</f>
        <v>0</v>
      </c>
    </row>
    <row r="1752" spans="1:18" x14ac:dyDescent="0.25">
      <c r="A1752" t="s">
        <v>1845</v>
      </c>
      <c r="B1752" s="1">
        <v>45147</v>
      </c>
      <c r="C1752" t="s">
        <v>156</v>
      </c>
      <c r="D1752" t="s">
        <v>27</v>
      </c>
      <c r="E1752">
        <v>5</v>
      </c>
      <c r="F1752" s="2">
        <v>49.99</v>
      </c>
      <c r="G1752">
        <v>5</v>
      </c>
      <c r="H1752" s="2">
        <v>47.49</v>
      </c>
      <c r="I1752" s="2">
        <v>237.45</v>
      </c>
      <c r="J1752" t="s">
        <v>62</v>
      </c>
      <c r="K1752" t="s">
        <v>20</v>
      </c>
      <c r="L1752" t="s">
        <v>21</v>
      </c>
      <c r="M1752" t="s">
        <v>95</v>
      </c>
      <c r="N1752" t="s">
        <v>96</v>
      </c>
      <c r="O1752" t="s">
        <v>48</v>
      </c>
      <c r="Q1752" s="2">
        <f>Ventas[[#This Row],[precio_base]]*Ventas[[#This Row],[cantidad]]</f>
        <v>249.95000000000002</v>
      </c>
      <c r="R1752" s="2">
        <f>Ventas[[#This Row],[Total bruto (antes de descuento)]]-Ventas[[#This Row],[total_venta]]</f>
        <v>12.500000000000028</v>
      </c>
    </row>
    <row r="1753" spans="1:18" x14ac:dyDescent="0.25">
      <c r="A1753" t="s">
        <v>1846</v>
      </c>
      <c r="B1753" s="1">
        <v>45418</v>
      </c>
      <c r="C1753" t="s">
        <v>76</v>
      </c>
      <c r="D1753" t="s">
        <v>31</v>
      </c>
      <c r="E1753">
        <v>5</v>
      </c>
      <c r="F1753" s="2">
        <v>69.989999999999995</v>
      </c>
      <c r="G1753">
        <v>5</v>
      </c>
      <c r="H1753" s="2">
        <v>66.489999999999995</v>
      </c>
      <c r="I1753" s="2">
        <v>332.45</v>
      </c>
      <c r="J1753" t="s">
        <v>90</v>
      </c>
      <c r="K1753" t="s">
        <v>52</v>
      </c>
      <c r="L1753" t="s">
        <v>45</v>
      </c>
      <c r="M1753" t="s">
        <v>46</v>
      </c>
      <c r="N1753" t="s">
        <v>47</v>
      </c>
      <c r="O1753" t="s">
        <v>48</v>
      </c>
      <c r="Q1753" s="2">
        <f>Ventas[[#This Row],[precio_base]]*Ventas[[#This Row],[cantidad]]</f>
        <v>349.95</v>
      </c>
      <c r="R1753" s="2">
        <f>Ventas[[#This Row],[Total bruto (antes de descuento)]]-Ventas[[#This Row],[total_venta]]</f>
        <v>17.5</v>
      </c>
    </row>
    <row r="1754" spans="1:18" x14ac:dyDescent="0.25">
      <c r="A1754" t="s">
        <v>1847</v>
      </c>
      <c r="B1754" s="1">
        <v>45650</v>
      </c>
      <c r="C1754" t="s">
        <v>92</v>
      </c>
      <c r="D1754" t="s">
        <v>27</v>
      </c>
      <c r="E1754">
        <v>2</v>
      </c>
      <c r="F1754" s="2">
        <v>79.989999999999995</v>
      </c>
      <c r="G1754">
        <v>0</v>
      </c>
      <c r="H1754" s="2">
        <v>79.989999999999995</v>
      </c>
      <c r="I1754" s="2">
        <v>159.97999999999999</v>
      </c>
      <c r="J1754" t="s">
        <v>116</v>
      </c>
      <c r="K1754" t="s">
        <v>20</v>
      </c>
      <c r="L1754" t="s">
        <v>21</v>
      </c>
      <c r="M1754" t="s">
        <v>33</v>
      </c>
      <c r="N1754" t="s">
        <v>34</v>
      </c>
      <c r="O1754" t="s">
        <v>35</v>
      </c>
      <c r="Q1754" s="2">
        <f>Ventas[[#This Row],[precio_base]]*Ventas[[#This Row],[cantidad]]</f>
        <v>159.97999999999999</v>
      </c>
      <c r="R1754" s="2">
        <f>Ventas[[#This Row],[Total bruto (antes de descuento)]]-Ventas[[#This Row],[total_venta]]</f>
        <v>0</v>
      </c>
    </row>
    <row r="1755" spans="1:18" x14ac:dyDescent="0.25">
      <c r="A1755" t="s">
        <v>1848</v>
      </c>
      <c r="B1755" s="1">
        <v>45581</v>
      </c>
      <c r="C1755" t="s">
        <v>141</v>
      </c>
      <c r="D1755" t="s">
        <v>38</v>
      </c>
      <c r="E1755">
        <v>3</v>
      </c>
      <c r="F1755" s="2">
        <v>89.99</v>
      </c>
      <c r="G1755">
        <v>10</v>
      </c>
      <c r="H1755" s="2">
        <v>80.989999999999995</v>
      </c>
      <c r="I1755" s="2">
        <v>242.97</v>
      </c>
      <c r="J1755" t="s">
        <v>19</v>
      </c>
      <c r="K1755" t="s">
        <v>20</v>
      </c>
      <c r="L1755" t="s">
        <v>45</v>
      </c>
      <c r="M1755" t="s">
        <v>53</v>
      </c>
      <c r="N1755" t="s">
        <v>54</v>
      </c>
      <c r="O1755" t="s">
        <v>35</v>
      </c>
      <c r="P1755">
        <v>1</v>
      </c>
      <c r="Q1755" s="2">
        <f>Ventas[[#This Row],[precio_base]]*Ventas[[#This Row],[cantidad]]</f>
        <v>269.96999999999997</v>
      </c>
      <c r="R1755" s="2">
        <f>Ventas[[#This Row],[Total bruto (antes de descuento)]]-Ventas[[#This Row],[total_venta]]</f>
        <v>26.999999999999972</v>
      </c>
    </row>
    <row r="1756" spans="1:18" x14ac:dyDescent="0.25">
      <c r="A1756" t="s">
        <v>1849</v>
      </c>
      <c r="B1756" s="1">
        <v>45259</v>
      </c>
      <c r="C1756" t="s">
        <v>98</v>
      </c>
      <c r="D1756" t="s">
        <v>31</v>
      </c>
      <c r="E1756">
        <v>4</v>
      </c>
      <c r="F1756" s="2">
        <v>99.99</v>
      </c>
      <c r="G1756">
        <v>20</v>
      </c>
      <c r="H1756" s="2">
        <v>79.989999999999995</v>
      </c>
      <c r="I1756" s="2">
        <v>319.95999999999998</v>
      </c>
      <c r="J1756" t="s">
        <v>19</v>
      </c>
      <c r="K1756" t="s">
        <v>44</v>
      </c>
      <c r="L1756" t="s">
        <v>45</v>
      </c>
      <c r="M1756" t="s">
        <v>63</v>
      </c>
      <c r="N1756" t="s">
        <v>34</v>
      </c>
      <c r="O1756" t="s">
        <v>24</v>
      </c>
      <c r="P1756">
        <v>5</v>
      </c>
      <c r="Q1756" s="2">
        <f>Ventas[[#This Row],[precio_base]]*Ventas[[#This Row],[cantidad]]</f>
        <v>399.96</v>
      </c>
      <c r="R1756" s="2">
        <f>Ventas[[#This Row],[Total bruto (antes de descuento)]]-Ventas[[#This Row],[total_venta]]</f>
        <v>80</v>
      </c>
    </row>
    <row r="1757" spans="1:18" x14ac:dyDescent="0.25">
      <c r="A1757" t="s">
        <v>1850</v>
      </c>
      <c r="B1757" s="1">
        <v>45017</v>
      </c>
      <c r="C1757" t="s">
        <v>151</v>
      </c>
      <c r="D1757" t="s">
        <v>27</v>
      </c>
      <c r="E1757">
        <v>2</v>
      </c>
      <c r="F1757" s="2">
        <v>599.99</v>
      </c>
      <c r="G1757">
        <v>0</v>
      </c>
      <c r="H1757" s="2">
        <v>599.99</v>
      </c>
      <c r="I1757" s="2">
        <v>1199.98</v>
      </c>
      <c r="J1757" t="s">
        <v>19</v>
      </c>
      <c r="K1757" t="s">
        <v>44</v>
      </c>
      <c r="L1757" t="s">
        <v>45</v>
      </c>
      <c r="M1757" t="s">
        <v>39</v>
      </c>
      <c r="N1757" t="s">
        <v>40</v>
      </c>
      <c r="O1757" t="s">
        <v>35</v>
      </c>
      <c r="P1757">
        <v>3</v>
      </c>
      <c r="Q1757" s="2">
        <f>Ventas[[#This Row],[precio_base]]*Ventas[[#This Row],[cantidad]]</f>
        <v>1199.98</v>
      </c>
      <c r="R1757" s="2">
        <f>Ventas[[#This Row],[Total bruto (antes de descuento)]]-Ventas[[#This Row],[total_venta]]</f>
        <v>0</v>
      </c>
    </row>
    <row r="1758" spans="1:18" x14ac:dyDescent="0.25">
      <c r="A1758" t="s">
        <v>1851</v>
      </c>
      <c r="B1758" s="1">
        <v>45633</v>
      </c>
      <c r="C1758" t="s">
        <v>104</v>
      </c>
      <c r="D1758" t="s">
        <v>18</v>
      </c>
      <c r="E1758">
        <v>2</v>
      </c>
      <c r="F1758" s="2">
        <v>1199.99</v>
      </c>
      <c r="G1758">
        <v>20</v>
      </c>
      <c r="H1758" s="2">
        <v>959.99</v>
      </c>
      <c r="I1758" s="2">
        <v>1919.98</v>
      </c>
      <c r="J1758" t="s">
        <v>51</v>
      </c>
      <c r="K1758" t="s">
        <v>52</v>
      </c>
      <c r="L1758" t="s">
        <v>28</v>
      </c>
      <c r="M1758" t="s">
        <v>67</v>
      </c>
      <c r="N1758" t="s">
        <v>68</v>
      </c>
      <c r="O1758" t="s">
        <v>35</v>
      </c>
      <c r="Q1758" s="2">
        <f>Ventas[[#This Row],[precio_base]]*Ventas[[#This Row],[cantidad]]</f>
        <v>2399.98</v>
      </c>
      <c r="R1758" s="2">
        <f>Ventas[[#This Row],[Total bruto (antes de descuento)]]-Ventas[[#This Row],[total_venta]]</f>
        <v>480</v>
      </c>
    </row>
    <row r="1759" spans="1:18" x14ac:dyDescent="0.25">
      <c r="A1759" t="s">
        <v>1852</v>
      </c>
      <c r="B1759" s="1">
        <v>45248</v>
      </c>
      <c r="C1759" t="s">
        <v>42</v>
      </c>
      <c r="D1759" t="s">
        <v>43</v>
      </c>
      <c r="E1759">
        <v>3</v>
      </c>
      <c r="F1759" s="2">
        <v>349.99</v>
      </c>
      <c r="G1759">
        <v>20</v>
      </c>
      <c r="H1759" s="2">
        <v>279.99</v>
      </c>
      <c r="I1759" s="2">
        <v>839.97</v>
      </c>
      <c r="J1759" t="s">
        <v>19</v>
      </c>
      <c r="K1759" t="s">
        <v>20</v>
      </c>
      <c r="L1759" t="s">
        <v>21</v>
      </c>
      <c r="M1759" t="s">
        <v>53</v>
      </c>
      <c r="N1759" t="s">
        <v>54</v>
      </c>
      <c r="O1759" t="s">
        <v>35</v>
      </c>
      <c r="P1759">
        <v>2</v>
      </c>
      <c r="Q1759" s="2">
        <f>Ventas[[#This Row],[precio_base]]*Ventas[[#This Row],[cantidad]]</f>
        <v>1049.97</v>
      </c>
      <c r="R1759" s="2">
        <f>Ventas[[#This Row],[Total bruto (antes de descuento)]]-Ventas[[#This Row],[total_venta]]</f>
        <v>210</v>
      </c>
    </row>
    <row r="1760" spans="1:18" x14ac:dyDescent="0.25">
      <c r="A1760" t="s">
        <v>1853</v>
      </c>
      <c r="B1760" s="1">
        <v>45398</v>
      </c>
      <c r="C1760" t="s">
        <v>89</v>
      </c>
      <c r="D1760" t="s">
        <v>38</v>
      </c>
      <c r="E1760">
        <v>3</v>
      </c>
      <c r="F1760" s="2">
        <v>69.989999999999995</v>
      </c>
      <c r="G1760">
        <v>0</v>
      </c>
      <c r="H1760" s="2">
        <v>69.989999999999995</v>
      </c>
      <c r="I1760" s="2">
        <v>209.97</v>
      </c>
      <c r="J1760" t="s">
        <v>51</v>
      </c>
      <c r="K1760" t="s">
        <v>20</v>
      </c>
      <c r="L1760" t="s">
        <v>28</v>
      </c>
      <c r="M1760" t="s">
        <v>84</v>
      </c>
      <c r="N1760" t="s">
        <v>85</v>
      </c>
      <c r="O1760" t="s">
        <v>35</v>
      </c>
      <c r="Q1760" s="2">
        <f>Ventas[[#This Row],[precio_base]]*Ventas[[#This Row],[cantidad]]</f>
        <v>209.96999999999997</v>
      </c>
      <c r="R1760" s="2">
        <f>Ventas[[#This Row],[Total bruto (antes de descuento)]]-Ventas[[#This Row],[total_venta]]</f>
        <v>0</v>
      </c>
    </row>
    <row r="1761" spans="1:18" x14ac:dyDescent="0.25">
      <c r="A1761" t="s">
        <v>1854</v>
      </c>
      <c r="B1761" s="1">
        <v>44950</v>
      </c>
      <c r="C1761" t="s">
        <v>78</v>
      </c>
      <c r="D1761" t="s">
        <v>18</v>
      </c>
      <c r="E1761">
        <v>1</v>
      </c>
      <c r="F1761" s="2">
        <v>349.99</v>
      </c>
      <c r="G1761">
        <v>15</v>
      </c>
      <c r="H1761" s="2">
        <v>297.49</v>
      </c>
      <c r="I1761" s="2">
        <v>297.49</v>
      </c>
      <c r="J1761" t="s">
        <v>19</v>
      </c>
      <c r="K1761" t="s">
        <v>52</v>
      </c>
      <c r="L1761" t="s">
        <v>28</v>
      </c>
      <c r="M1761" t="s">
        <v>120</v>
      </c>
      <c r="N1761" t="s">
        <v>23</v>
      </c>
      <c r="O1761" t="s">
        <v>24</v>
      </c>
      <c r="P1761">
        <v>5</v>
      </c>
      <c r="Q1761" s="2">
        <f>Ventas[[#This Row],[precio_base]]*Ventas[[#This Row],[cantidad]]</f>
        <v>349.99</v>
      </c>
      <c r="R1761" s="2">
        <f>Ventas[[#This Row],[Total bruto (antes de descuento)]]-Ventas[[#This Row],[total_venta]]</f>
        <v>52.5</v>
      </c>
    </row>
    <row r="1762" spans="1:18" x14ac:dyDescent="0.25">
      <c r="A1762" t="s">
        <v>1855</v>
      </c>
      <c r="B1762" s="1">
        <v>44988</v>
      </c>
      <c r="C1762" t="s">
        <v>122</v>
      </c>
      <c r="D1762" t="s">
        <v>43</v>
      </c>
      <c r="E1762">
        <v>5</v>
      </c>
      <c r="F1762" s="2">
        <v>44.99</v>
      </c>
      <c r="G1762">
        <v>0</v>
      </c>
      <c r="H1762" s="2">
        <v>44.99</v>
      </c>
      <c r="I1762" s="2">
        <v>224.95</v>
      </c>
      <c r="J1762" t="s">
        <v>19</v>
      </c>
      <c r="K1762" t="s">
        <v>57</v>
      </c>
      <c r="L1762" t="s">
        <v>152</v>
      </c>
      <c r="M1762" t="s">
        <v>120</v>
      </c>
      <c r="N1762" t="s">
        <v>23</v>
      </c>
      <c r="O1762" t="s">
        <v>24</v>
      </c>
      <c r="P1762">
        <v>3</v>
      </c>
      <c r="Q1762" s="2">
        <f>Ventas[[#This Row],[precio_base]]*Ventas[[#This Row],[cantidad]]</f>
        <v>224.95000000000002</v>
      </c>
      <c r="R1762" s="2">
        <f>Ventas[[#This Row],[Total bruto (antes de descuento)]]-Ventas[[#This Row],[total_venta]]</f>
        <v>0</v>
      </c>
    </row>
    <row r="1763" spans="1:18" x14ac:dyDescent="0.25">
      <c r="A1763" t="s">
        <v>1856</v>
      </c>
      <c r="B1763" s="1">
        <v>45478</v>
      </c>
      <c r="C1763" t="s">
        <v>92</v>
      </c>
      <c r="D1763" t="s">
        <v>27</v>
      </c>
      <c r="E1763">
        <v>3</v>
      </c>
      <c r="F1763" s="2">
        <v>79.989999999999995</v>
      </c>
      <c r="G1763">
        <v>10</v>
      </c>
      <c r="H1763" s="2">
        <v>71.989999999999995</v>
      </c>
      <c r="I1763" s="2">
        <v>215.97</v>
      </c>
      <c r="J1763" t="s">
        <v>19</v>
      </c>
      <c r="K1763" t="s">
        <v>44</v>
      </c>
      <c r="L1763" t="s">
        <v>45</v>
      </c>
      <c r="M1763" t="s">
        <v>95</v>
      </c>
      <c r="N1763" t="s">
        <v>96</v>
      </c>
      <c r="O1763" t="s">
        <v>48</v>
      </c>
      <c r="P1763">
        <v>5</v>
      </c>
      <c r="Q1763" s="2">
        <f>Ventas[[#This Row],[precio_base]]*Ventas[[#This Row],[cantidad]]</f>
        <v>239.96999999999997</v>
      </c>
      <c r="R1763" s="2">
        <f>Ventas[[#This Row],[Total bruto (antes de descuento)]]-Ventas[[#This Row],[total_venta]]</f>
        <v>23.999999999999972</v>
      </c>
    </row>
    <row r="1764" spans="1:18" x14ac:dyDescent="0.25">
      <c r="A1764" t="s">
        <v>1857</v>
      </c>
      <c r="B1764" s="1">
        <v>45042</v>
      </c>
      <c r="C1764" t="s">
        <v>50</v>
      </c>
      <c r="D1764" t="s">
        <v>27</v>
      </c>
      <c r="E1764">
        <v>2</v>
      </c>
      <c r="F1764" s="2">
        <v>149.99</v>
      </c>
      <c r="G1764">
        <v>20</v>
      </c>
      <c r="H1764" s="2">
        <v>119.99</v>
      </c>
      <c r="I1764" s="2">
        <v>239.98</v>
      </c>
      <c r="J1764" t="s">
        <v>19</v>
      </c>
      <c r="K1764" t="s">
        <v>20</v>
      </c>
      <c r="L1764" t="s">
        <v>152</v>
      </c>
      <c r="M1764" t="s">
        <v>67</v>
      </c>
      <c r="N1764" t="s">
        <v>68</v>
      </c>
      <c r="O1764" t="s">
        <v>35</v>
      </c>
      <c r="P1764">
        <v>5</v>
      </c>
      <c r="Q1764" s="2">
        <f>Ventas[[#This Row],[precio_base]]*Ventas[[#This Row],[cantidad]]</f>
        <v>299.98</v>
      </c>
      <c r="R1764" s="2">
        <f>Ventas[[#This Row],[Total bruto (antes de descuento)]]-Ventas[[#This Row],[total_venta]]</f>
        <v>60.000000000000028</v>
      </c>
    </row>
    <row r="1765" spans="1:18" x14ac:dyDescent="0.25">
      <c r="A1765" t="s">
        <v>1858</v>
      </c>
      <c r="B1765" s="1">
        <v>45592</v>
      </c>
      <c r="C1765" t="s">
        <v>115</v>
      </c>
      <c r="D1765" t="s">
        <v>18</v>
      </c>
      <c r="E1765">
        <v>1</v>
      </c>
      <c r="F1765" s="2">
        <v>799.99</v>
      </c>
      <c r="G1765">
        <v>20</v>
      </c>
      <c r="H1765" s="2">
        <v>639.99</v>
      </c>
      <c r="I1765" s="2">
        <v>639.99</v>
      </c>
      <c r="J1765" t="s">
        <v>51</v>
      </c>
      <c r="K1765" t="s">
        <v>20</v>
      </c>
      <c r="L1765" t="s">
        <v>45</v>
      </c>
      <c r="M1765" t="s">
        <v>67</v>
      </c>
      <c r="N1765" t="s">
        <v>68</v>
      </c>
      <c r="O1765" t="s">
        <v>35</v>
      </c>
      <c r="Q1765" s="2">
        <f>Ventas[[#This Row],[precio_base]]*Ventas[[#This Row],[cantidad]]</f>
        <v>799.99</v>
      </c>
      <c r="R1765" s="2">
        <f>Ventas[[#This Row],[Total bruto (antes de descuento)]]-Ventas[[#This Row],[total_venta]]</f>
        <v>160</v>
      </c>
    </row>
    <row r="1766" spans="1:18" x14ac:dyDescent="0.25">
      <c r="A1766" t="s">
        <v>1859</v>
      </c>
      <c r="B1766" s="1">
        <v>45082</v>
      </c>
      <c r="C1766" t="s">
        <v>72</v>
      </c>
      <c r="D1766" t="s">
        <v>31</v>
      </c>
      <c r="E1766">
        <v>3</v>
      </c>
      <c r="F1766" s="2">
        <v>29.99</v>
      </c>
      <c r="G1766">
        <v>0</v>
      </c>
      <c r="H1766" s="2">
        <v>29.99</v>
      </c>
      <c r="I1766" s="2">
        <v>89.97</v>
      </c>
      <c r="J1766" t="s">
        <v>19</v>
      </c>
      <c r="K1766" t="s">
        <v>20</v>
      </c>
      <c r="L1766" t="s">
        <v>45</v>
      </c>
      <c r="M1766" t="s">
        <v>33</v>
      </c>
      <c r="N1766" t="s">
        <v>34</v>
      </c>
      <c r="O1766" t="s">
        <v>35</v>
      </c>
      <c r="P1766">
        <v>4</v>
      </c>
      <c r="Q1766" s="2">
        <f>Ventas[[#This Row],[precio_base]]*Ventas[[#This Row],[cantidad]]</f>
        <v>89.97</v>
      </c>
      <c r="R1766" s="2">
        <f>Ventas[[#This Row],[Total bruto (antes de descuento)]]-Ventas[[#This Row],[total_venta]]</f>
        <v>0</v>
      </c>
    </row>
    <row r="1767" spans="1:18" x14ac:dyDescent="0.25">
      <c r="A1767" t="s">
        <v>1860</v>
      </c>
      <c r="B1767" s="1">
        <v>44948</v>
      </c>
      <c r="C1767" t="s">
        <v>109</v>
      </c>
      <c r="D1767" t="s">
        <v>38</v>
      </c>
      <c r="E1767">
        <v>5</v>
      </c>
      <c r="F1767" s="2">
        <v>39.99</v>
      </c>
      <c r="G1767">
        <v>0</v>
      </c>
      <c r="H1767" s="2">
        <v>39.99</v>
      </c>
      <c r="I1767" s="2">
        <v>199.95</v>
      </c>
      <c r="J1767" t="s">
        <v>19</v>
      </c>
      <c r="K1767" t="s">
        <v>20</v>
      </c>
      <c r="L1767" t="s">
        <v>21</v>
      </c>
      <c r="M1767" t="s">
        <v>67</v>
      </c>
      <c r="N1767" t="s">
        <v>68</v>
      </c>
      <c r="O1767" t="s">
        <v>35</v>
      </c>
      <c r="P1767">
        <v>3</v>
      </c>
      <c r="Q1767" s="2">
        <f>Ventas[[#This Row],[precio_base]]*Ventas[[#This Row],[cantidad]]</f>
        <v>199.95000000000002</v>
      </c>
      <c r="R1767" s="2">
        <f>Ventas[[#This Row],[Total bruto (antes de descuento)]]-Ventas[[#This Row],[total_venta]]</f>
        <v>0</v>
      </c>
    </row>
    <row r="1768" spans="1:18" x14ac:dyDescent="0.25">
      <c r="A1768" t="s">
        <v>1861</v>
      </c>
      <c r="B1768" s="1">
        <v>45364</v>
      </c>
      <c r="C1768" t="s">
        <v>78</v>
      </c>
      <c r="D1768" t="s">
        <v>18</v>
      </c>
      <c r="E1768">
        <v>3</v>
      </c>
      <c r="F1768" s="2">
        <v>349.99</v>
      </c>
      <c r="G1768">
        <v>20</v>
      </c>
      <c r="H1768" s="2">
        <v>279.99</v>
      </c>
      <c r="I1768" s="2">
        <v>839.97</v>
      </c>
      <c r="J1768" t="s">
        <v>19</v>
      </c>
      <c r="K1768" t="s">
        <v>52</v>
      </c>
      <c r="L1768" t="s">
        <v>45</v>
      </c>
      <c r="M1768" t="s">
        <v>73</v>
      </c>
      <c r="N1768" t="s">
        <v>74</v>
      </c>
      <c r="O1768" t="s">
        <v>35</v>
      </c>
      <c r="P1768">
        <v>2</v>
      </c>
      <c r="Q1768" s="2">
        <f>Ventas[[#This Row],[precio_base]]*Ventas[[#This Row],[cantidad]]</f>
        <v>1049.97</v>
      </c>
      <c r="R1768" s="2">
        <f>Ventas[[#This Row],[Total bruto (antes de descuento)]]-Ventas[[#This Row],[total_venta]]</f>
        <v>210</v>
      </c>
    </row>
    <row r="1769" spans="1:18" x14ac:dyDescent="0.25">
      <c r="A1769" t="s">
        <v>1862</v>
      </c>
      <c r="B1769" s="1">
        <v>45515</v>
      </c>
      <c r="C1769" t="s">
        <v>122</v>
      </c>
      <c r="D1769" t="s">
        <v>43</v>
      </c>
      <c r="E1769">
        <v>3</v>
      </c>
      <c r="F1769" s="2">
        <v>44.99</v>
      </c>
      <c r="G1769">
        <v>15</v>
      </c>
      <c r="H1769" s="2">
        <v>38.24</v>
      </c>
      <c r="I1769" s="2">
        <v>114.72</v>
      </c>
      <c r="J1769" t="s">
        <v>62</v>
      </c>
      <c r="K1769" t="s">
        <v>20</v>
      </c>
      <c r="L1769" t="s">
        <v>21</v>
      </c>
      <c r="M1769" t="s">
        <v>63</v>
      </c>
      <c r="N1769" t="s">
        <v>34</v>
      </c>
      <c r="O1769" t="s">
        <v>24</v>
      </c>
      <c r="Q1769" s="2">
        <f>Ventas[[#This Row],[precio_base]]*Ventas[[#This Row],[cantidad]]</f>
        <v>134.97</v>
      </c>
      <c r="R1769" s="2">
        <f>Ventas[[#This Row],[Total bruto (antes de descuento)]]-Ventas[[#This Row],[total_venta]]</f>
        <v>20.25</v>
      </c>
    </row>
    <row r="1770" spans="1:18" x14ac:dyDescent="0.25">
      <c r="A1770" t="s">
        <v>1863</v>
      </c>
      <c r="B1770" s="1">
        <v>45242</v>
      </c>
      <c r="C1770" t="s">
        <v>205</v>
      </c>
      <c r="D1770" t="s">
        <v>18</v>
      </c>
      <c r="E1770">
        <v>1</v>
      </c>
      <c r="F1770" s="2">
        <v>129.99</v>
      </c>
      <c r="G1770">
        <v>0</v>
      </c>
      <c r="H1770" s="2">
        <v>129.99</v>
      </c>
      <c r="I1770" s="2">
        <v>129.99</v>
      </c>
      <c r="J1770" t="s">
        <v>19</v>
      </c>
      <c r="K1770" t="s">
        <v>20</v>
      </c>
      <c r="L1770" t="s">
        <v>21</v>
      </c>
      <c r="M1770" t="s">
        <v>67</v>
      </c>
      <c r="N1770" t="s">
        <v>68</v>
      </c>
      <c r="O1770" t="s">
        <v>35</v>
      </c>
      <c r="P1770">
        <v>3</v>
      </c>
      <c r="Q1770" s="2">
        <f>Ventas[[#This Row],[precio_base]]*Ventas[[#This Row],[cantidad]]</f>
        <v>129.99</v>
      </c>
      <c r="R1770" s="2">
        <f>Ventas[[#This Row],[Total bruto (antes de descuento)]]-Ventas[[#This Row],[total_venta]]</f>
        <v>0</v>
      </c>
    </row>
    <row r="1771" spans="1:18" x14ac:dyDescent="0.25">
      <c r="A1771" t="s">
        <v>1864</v>
      </c>
      <c r="B1771" s="1">
        <v>44997</v>
      </c>
      <c r="C1771" t="s">
        <v>141</v>
      </c>
      <c r="D1771" t="s">
        <v>38</v>
      </c>
      <c r="E1771">
        <v>3</v>
      </c>
      <c r="F1771" s="2">
        <v>89.99</v>
      </c>
      <c r="G1771">
        <v>0</v>
      </c>
      <c r="H1771" s="2">
        <v>89.99</v>
      </c>
      <c r="I1771" s="2">
        <v>269.97000000000003</v>
      </c>
      <c r="J1771" t="s">
        <v>51</v>
      </c>
      <c r="K1771" t="s">
        <v>20</v>
      </c>
      <c r="L1771" t="s">
        <v>45</v>
      </c>
      <c r="M1771" t="s">
        <v>22</v>
      </c>
      <c r="N1771" t="s">
        <v>23</v>
      </c>
      <c r="O1771" t="s">
        <v>24</v>
      </c>
      <c r="Q1771" s="2">
        <f>Ventas[[#This Row],[precio_base]]*Ventas[[#This Row],[cantidad]]</f>
        <v>269.96999999999997</v>
      </c>
      <c r="R1771" s="2">
        <f>Ventas[[#This Row],[Total bruto (antes de descuento)]]-Ventas[[#This Row],[total_venta]]</f>
        <v>0</v>
      </c>
    </row>
    <row r="1772" spans="1:18" x14ac:dyDescent="0.25">
      <c r="A1772" t="s">
        <v>1865</v>
      </c>
      <c r="B1772" s="1">
        <v>45204</v>
      </c>
      <c r="C1772" t="s">
        <v>163</v>
      </c>
      <c r="D1772" t="s">
        <v>18</v>
      </c>
      <c r="E1772">
        <v>2</v>
      </c>
      <c r="F1772" s="2">
        <v>499.99</v>
      </c>
      <c r="G1772">
        <v>20</v>
      </c>
      <c r="H1772" s="2">
        <v>399.99</v>
      </c>
      <c r="I1772" s="2">
        <v>799.98</v>
      </c>
      <c r="J1772" t="s">
        <v>19</v>
      </c>
      <c r="K1772" t="s">
        <v>52</v>
      </c>
      <c r="L1772" t="s">
        <v>152</v>
      </c>
      <c r="M1772" t="s">
        <v>63</v>
      </c>
      <c r="N1772" t="s">
        <v>34</v>
      </c>
      <c r="O1772" t="s">
        <v>24</v>
      </c>
      <c r="P1772">
        <v>1</v>
      </c>
      <c r="Q1772" s="2">
        <f>Ventas[[#This Row],[precio_base]]*Ventas[[#This Row],[cantidad]]</f>
        <v>999.98</v>
      </c>
      <c r="R1772" s="2">
        <f>Ventas[[#This Row],[Total bruto (antes de descuento)]]-Ventas[[#This Row],[total_venta]]</f>
        <v>200</v>
      </c>
    </row>
    <row r="1773" spans="1:18" x14ac:dyDescent="0.25">
      <c r="A1773" t="s">
        <v>1866</v>
      </c>
      <c r="B1773" s="1">
        <v>45311</v>
      </c>
      <c r="C1773" t="s">
        <v>104</v>
      </c>
      <c r="D1773" t="s">
        <v>18</v>
      </c>
      <c r="E1773">
        <v>4</v>
      </c>
      <c r="F1773" s="2">
        <v>1199.99</v>
      </c>
      <c r="G1773">
        <v>20</v>
      </c>
      <c r="H1773" s="2">
        <v>959.99</v>
      </c>
      <c r="I1773" s="2">
        <v>3839.96</v>
      </c>
      <c r="J1773" t="s">
        <v>51</v>
      </c>
      <c r="K1773" t="s">
        <v>20</v>
      </c>
      <c r="L1773" t="s">
        <v>21</v>
      </c>
      <c r="M1773" t="s">
        <v>84</v>
      </c>
      <c r="N1773" t="s">
        <v>85</v>
      </c>
      <c r="O1773" t="s">
        <v>35</v>
      </c>
      <c r="Q1773" s="2">
        <f>Ventas[[#This Row],[precio_base]]*Ventas[[#This Row],[cantidad]]</f>
        <v>4799.96</v>
      </c>
      <c r="R1773" s="2">
        <f>Ventas[[#This Row],[Total bruto (antes de descuento)]]-Ventas[[#This Row],[total_venta]]</f>
        <v>960</v>
      </c>
    </row>
    <row r="1774" spans="1:18" x14ac:dyDescent="0.25">
      <c r="A1774" t="s">
        <v>1867</v>
      </c>
      <c r="B1774" s="1">
        <v>45376</v>
      </c>
      <c r="C1774" t="s">
        <v>109</v>
      </c>
      <c r="D1774" t="s">
        <v>38</v>
      </c>
      <c r="E1774">
        <v>2</v>
      </c>
      <c r="F1774" s="2">
        <v>39.99</v>
      </c>
      <c r="G1774">
        <v>0</v>
      </c>
      <c r="H1774" s="2">
        <v>39.99</v>
      </c>
      <c r="I1774" s="2">
        <v>79.98</v>
      </c>
      <c r="J1774" t="s">
        <v>51</v>
      </c>
      <c r="K1774" t="s">
        <v>52</v>
      </c>
      <c r="L1774" t="s">
        <v>21</v>
      </c>
      <c r="M1774" t="s">
        <v>33</v>
      </c>
      <c r="N1774" t="s">
        <v>34</v>
      </c>
      <c r="O1774" t="s">
        <v>35</v>
      </c>
      <c r="Q1774" s="2">
        <f>Ventas[[#This Row],[precio_base]]*Ventas[[#This Row],[cantidad]]</f>
        <v>79.98</v>
      </c>
      <c r="R1774" s="2">
        <f>Ventas[[#This Row],[Total bruto (antes de descuento)]]-Ventas[[#This Row],[total_venta]]</f>
        <v>0</v>
      </c>
    </row>
    <row r="1775" spans="1:18" x14ac:dyDescent="0.25">
      <c r="A1775" t="s">
        <v>1868</v>
      </c>
      <c r="B1775" s="1">
        <v>45106</v>
      </c>
      <c r="C1775" t="s">
        <v>87</v>
      </c>
      <c r="D1775" t="s">
        <v>27</v>
      </c>
      <c r="E1775">
        <v>5</v>
      </c>
      <c r="F1775" s="2">
        <v>249.99</v>
      </c>
      <c r="G1775">
        <v>15</v>
      </c>
      <c r="H1775" s="2">
        <v>212.49</v>
      </c>
      <c r="I1775" s="2">
        <v>1062.45</v>
      </c>
      <c r="J1775" t="s">
        <v>19</v>
      </c>
      <c r="K1775" t="s">
        <v>52</v>
      </c>
      <c r="L1775" t="s">
        <v>21</v>
      </c>
      <c r="M1775" t="s">
        <v>63</v>
      </c>
      <c r="N1775" t="s">
        <v>34</v>
      </c>
      <c r="O1775" t="s">
        <v>24</v>
      </c>
      <c r="P1775">
        <v>4</v>
      </c>
      <c r="Q1775" s="2">
        <f>Ventas[[#This Row],[precio_base]]*Ventas[[#This Row],[cantidad]]</f>
        <v>1249.95</v>
      </c>
      <c r="R1775" s="2">
        <f>Ventas[[#This Row],[Total bruto (antes de descuento)]]-Ventas[[#This Row],[total_venta]]</f>
        <v>187.5</v>
      </c>
    </row>
    <row r="1776" spans="1:18" x14ac:dyDescent="0.25">
      <c r="A1776" t="s">
        <v>1869</v>
      </c>
      <c r="B1776" s="1">
        <v>45546</v>
      </c>
      <c r="C1776" t="s">
        <v>89</v>
      </c>
      <c r="D1776" t="s">
        <v>38</v>
      </c>
      <c r="E1776">
        <v>3</v>
      </c>
      <c r="F1776" s="2">
        <v>69.989999999999995</v>
      </c>
      <c r="G1776">
        <v>5</v>
      </c>
      <c r="H1776" s="2">
        <v>66.489999999999995</v>
      </c>
      <c r="I1776" s="2">
        <v>199.47</v>
      </c>
      <c r="J1776" t="s">
        <v>19</v>
      </c>
      <c r="K1776" t="s">
        <v>52</v>
      </c>
      <c r="L1776" t="s">
        <v>45</v>
      </c>
      <c r="M1776" t="s">
        <v>95</v>
      </c>
      <c r="N1776" t="s">
        <v>96</v>
      </c>
      <c r="O1776" t="s">
        <v>48</v>
      </c>
      <c r="P1776">
        <v>3</v>
      </c>
      <c r="Q1776" s="2">
        <f>Ventas[[#This Row],[precio_base]]*Ventas[[#This Row],[cantidad]]</f>
        <v>209.96999999999997</v>
      </c>
      <c r="R1776" s="2">
        <f>Ventas[[#This Row],[Total bruto (antes de descuento)]]-Ventas[[#This Row],[total_venta]]</f>
        <v>10.499999999999972</v>
      </c>
    </row>
    <row r="1777" spans="1:18" x14ac:dyDescent="0.25">
      <c r="A1777" t="s">
        <v>1870</v>
      </c>
      <c r="B1777" s="1">
        <v>45447</v>
      </c>
      <c r="C1777" t="s">
        <v>17</v>
      </c>
      <c r="D1777" t="s">
        <v>18</v>
      </c>
      <c r="E1777">
        <v>4</v>
      </c>
      <c r="F1777" s="2">
        <v>45.99</v>
      </c>
      <c r="G1777">
        <v>0</v>
      </c>
      <c r="H1777" s="2">
        <v>45.99</v>
      </c>
      <c r="I1777" s="2">
        <v>183.96</v>
      </c>
      <c r="J1777" t="s">
        <v>19</v>
      </c>
      <c r="K1777" t="s">
        <v>20</v>
      </c>
      <c r="L1777" t="s">
        <v>152</v>
      </c>
      <c r="M1777" t="s">
        <v>39</v>
      </c>
      <c r="N1777" t="s">
        <v>40</v>
      </c>
      <c r="O1777" t="s">
        <v>35</v>
      </c>
      <c r="P1777">
        <v>1</v>
      </c>
      <c r="Q1777" s="2">
        <f>Ventas[[#This Row],[precio_base]]*Ventas[[#This Row],[cantidad]]</f>
        <v>183.96</v>
      </c>
      <c r="R1777" s="2">
        <f>Ventas[[#This Row],[Total bruto (antes de descuento)]]-Ventas[[#This Row],[total_venta]]</f>
        <v>0</v>
      </c>
    </row>
    <row r="1778" spans="1:18" x14ac:dyDescent="0.25">
      <c r="A1778" t="s">
        <v>1871</v>
      </c>
      <c r="B1778" s="1">
        <v>45290</v>
      </c>
      <c r="C1778" t="s">
        <v>89</v>
      </c>
      <c r="D1778" t="s">
        <v>38</v>
      </c>
      <c r="E1778">
        <v>3</v>
      </c>
      <c r="F1778" s="2">
        <v>69.989999999999995</v>
      </c>
      <c r="G1778">
        <v>20</v>
      </c>
      <c r="H1778" s="2">
        <v>55.99</v>
      </c>
      <c r="I1778" s="2">
        <v>167.97</v>
      </c>
      <c r="J1778" t="s">
        <v>19</v>
      </c>
      <c r="K1778" t="s">
        <v>44</v>
      </c>
      <c r="L1778" t="s">
        <v>21</v>
      </c>
      <c r="M1778" t="s">
        <v>67</v>
      </c>
      <c r="N1778" t="s">
        <v>68</v>
      </c>
      <c r="O1778" t="s">
        <v>35</v>
      </c>
      <c r="P1778">
        <v>1</v>
      </c>
      <c r="Q1778" s="2">
        <f>Ventas[[#This Row],[precio_base]]*Ventas[[#This Row],[cantidad]]</f>
        <v>209.96999999999997</v>
      </c>
      <c r="R1778" s="2">
        <f>Ventas[[#This Row],[Total bruto (antes de descuento)]]-Ventas[[#This Row],[total_venta]]</f>
        <v>41.999999999999972</v>
      </c>
    </row>
    <row r="1779" spans="1:18" x14ac:dyDescent="0.25">
      <c r="A1779" t="s">
        <v>1872</v>
      </c>
      <c r="B1779" s="1">
        <v>45593</v>
      </c>
      <c r="C1779" t="s">
        <v>72</v>
      </c>
      <c r="D1779" t="s">
        <v>31</v>
      </c>
      <c r="E1779">
        <v>4</v>
      </c>
      <c r="F1779" s="2">
        <v>29.99</v>
      </c>
      <c r="G1779">
        <v>5</v>
      </c>
      <c r="H1779" s="2">
        <v>28.49</v>
      </c>
      <c r="I1779" s="2">
        <v>113.96</v>
      </c>
      <c r="J1779" t="s">
        <v>19</v>
      </c>
      <c r="K1779" t="s">
        <v>44</v>
      </c>
      <c r="L1779" t="s">
        <v>32</v>
      </c>
      <c r="M1779" t="s">
        <v>58</v>
      </c>
      <c r="N1779" t="s">
        <v>59</v>
      </c>
      <c r="O1779" t="s">
        <v>24</v>
      </c>
      <c r="P1779">
        <v>1</v>
      </c>
      <c r="Q1779" s="2">
        <f>Ventas[[#This Row],[precio_base]]*Ventas[[#This Row],[cantidad]]</f>
        <v>119.96</v>
      </c>
      <c r="R1779" s="2">
        <f>Ventas[[#This Row],[Total bruto (antes de descuento)]]-Ventas[[#This Row],[total_venta]]</f>
        <v>6</v>
      </c>
    </row>
    <row r="1780" spans="1:18" x14ac:dyDescent="0.25">
      <c r="A1780" t="s">
        <v>1873</v>
      </c>
      <c r="B1780" s="1">
        <v>45071</v>
      </c>
      <c r="C1780" t="s">
        <v>42</v>
      </c>
      <c r="D1780" t="s">
        <v>43</v>
      </c>
      <c r="E1780">
        <v>2</v>
      </c>
      <c r="F1780" s="2">
        <v>349.99</v>
      </c>
      <c r="G1780">
        <v>0</v>
      </c>
      <c r="H1780" s="2">
        <v>349.99</v>
      </c>
      <c r="I1780" s="2">
        <v>699.98</v>
      </c>
      <c r="J1780" t="s">
        <v>19</v>
      </c>
      <c r="K1780" t="s">
        <v>44</v>
      </c>
      <c r="L1780" t="s">
        <v>21</v>
      </c>
      <c r="M1780" t="s">
        <v>63</v>
      </c>
      <c r="N1780" t="s">
        <v>34</v>
      </c>
      <c r="O1780" t="s">
        <v>24</v>
      </c>
      <c r="P1780">
        <v>4</v>
      </c>
      <c r="Q1780" s="2">
        <f>Ventas[[#This Row],[precio_base]]*Ventas[[#This Row],[cantidad]]</f>
        <v>699.98</v>
      </c>
      <c r="R1780" s="2">
        <f>Ventas[[#This Row],[Total bruto (antes de descuento)]]-Ventas[[#This Row],[total_venta]]</f>
        <v>0</v>
      </c>
    </row>
    <row r="1781" spans="1:18" x14ac:dyDescent="0.25">
      <c r="A1781" t="s">
        <v>1874</v>
      </c>
      <c r="B1781" s="1">
        <v>44966</v>
      </c>
      <c r="C1781" t="s">
        <v>94</v>
      </c>
      <c r="D1781" t="s">
        <v>18</v>
      </c>
      <c r="E1781">
        <v>5</v>
      </c>
      <c r="F1781" s="2">
        <v>899.99</v>
      </c>
      <c r="G1781">
        <v>20</v>
      </c>
      <c r="H1781" s="2">
        <v>719.99</v>
      </c>
      <c r="I1781" s="2">
        <v>3599.95</v>
      </c>
      <c r="J1781" t="s">
        <v>19</v>
      </c>
      <c r="K1781" t="s">
        <v>44</v>
      </c>
      <c r="L1781" t="s">
        <v>45</v>
      </c>
      <c r="M1781" t="s">
        <v>84</v>
      </c>
      <c r="N1781" t="s">
        <v>85</v>
      </c>
      <c r="O1781" t="s">
        <v>35</v>
      </c>
      <c r="P1781">
        <v>4</v>
      </c>
      <c r="Q1781" s="2">
        <f>Ventas[[#This Row],[precio_base]]*Ventas[[#This Row],[cantidad]]</f>
        <v>4499.95</v>
      </c>
      <c r="R1781" s="2">
        <f>Ventas[[#This Row],[Total bruto (antes de descuento)]]-Ventas[[#This Row],[total_venta]]</f>
        <v>900</v>
      </c>
    </row>
    <row r="1782" spans="1:18" x14ac:dyDescent="0.25">
      <c r="A1782" t="s">
        <v>1875</v>
      </c>
      <c r="B1782" s="1">
        <v>45088</v>
      </c>
      <c r="C1782" t="s">
        <v>37</v>
      </c>
      <c r="D1782" t="s">
        <v>38</v>
      </c>
      <c r="E1782">
        <v>2</v>
      </c>
      <c r="F1782" s="2">
        <v>34.99</v>
      </c>
      <c r="G1782">
        <v>0</v>
      </c>
      <c r="H1782" s="2">
        <v>34.99</v>
      </c>
      <c r="I1782" s="2">
        <v>69.98</v>
      </c>
      <c r="J1782" t="s">
        <v>90</v>
      </c>
      <c r="K1782" t="s">
        <v>44</v>
      </c>
      <c r="L1782" t="s">
        <v>32</v>
      </c>
      <c r="M1782" t="s">
        <v>63</v>
      </c>
      <c r="N1782" t="s">
        <v>34</v>
      </c>
      <c r="O1782" t="s">
        <v>24</v>
      </c>
      <c r="Q1782" s="2">
        <f>Ventas[[#This Row],[precio_base]]*Ventas[[#This Row],[cantidad]]</f>
        <v>69.98</v>
      </c>
      <c r="R1782" s="2">
        <f>Ventas[[#This Row],[Total bruto (antes de descuento)]]-Ventas[[#This Row],[total_venta]]</f>
        <v>0</v>
      </c>
    </row>
    <row r="1783" spans="1:18" x14ac:dyDescent="0.25">
      <c r="A1783" t="s">
        <v>1876</v>
      </c>
      <c r="B1783" s="1">
        <v>45112</v>
      </c>
      <c r="C1783" t="s">
        <v>89</v>
      </c>
      <c r="D1783" t="s">
        <v>38</v>
      </c>
      <c r="E1783">
        <v>1</v>
      </c>
      <c r="F1783" s="2">
        <v>69.989999999999995</v>
      </c>
      <c r="G1783">
        <v>20</v>
      </c>
      <c r="H1783" s="2">
        <v>55.99</v>
      </c>
      <c r="I1783" s="2">
        <v>55.99</v>
      </c>
      <c r="J1783" t="s">
        <v>19</v>
      </c>
      <c r="K1783" t="s">
        <v>20</v>
      </c>
      <c r="L1783" t="s">
        <v>45</v>
      </c>
      <c r="M1783" t="s">
        <v>101</v>
      </c>
      <c r="N1783" t="s">
        <v>102</v>
      </c>
      <c r="O1783" t="s">
        <v>35</v>
      </c>
      <c r="P1783">
        <v>3</v>
      </c>
      <c r="Q1783" s="2">
        <f>Ventas[[#This Row],[precio_base]]*Ventas[[#This Row],[cantidad]]</f>
        <v>69.989999999999995</v>
      </c>
      <c r="R1783" s="2">
        <f>Ventas[[#This Row],[Total bruto (antes de descuento)]]-Ventas[[#This Row],[total_venta]]</f>
        <v>13.999999999999993</v>
      </c>
    </row>
    <row r="1784" spans="1:18" x14ac:dyDescent="0.25">
      <c r="A1784" t="s">
        <v>1877</v>
      </c>
      <c r="B1784" s="1">
        <v>45198</v>
      </c>
      <c r="C1784" t="s">
        <v>156</v>
      </c>
      <c r="D1784" t="s">
        <v>27</v>
      </c>
      <c r="E1784">
        <v>3</v>
      </c>
      <c r="F1784" s="2">
        <v>49.99</v>
      </c>
      <c r="G1784">
        <v>0</v>
      </c>
      <c r="H1784" s="2">
        <v>49.99</v>
      </c>
      <c r="I1784" s="2">
        <v>149.97</v>
      </c>
      <c r="J1784" t="s">
        <v>51</v>
      </c>
      <c r="K1784" t="s">
        <v>20</v>
      </c>
      <c r="L1784" t="s">
        <v>45</v>
      </c>
      <c r="M1784" t="s">
        <v>123</v>
      </c>
      <c r="N1784" t="s">
        <v>124</v>
      </c>
      <c r="O1784" t="s">
        <v>24</v>
      </c>
      <c r="Q1784" s="2">
        <f>Ventas[[#This Row],[precio_base]]*Ventas[[#This Row],[cantidad]]</f>
        <v>149.97</v>
      </c>
      <c r="R1784" s="2">
        <f>Ventas[[#This Row],[Total bruto (antes de descuento)]]-Ventas[[#This Row],[total_venta]]</f>
        <v>0</v>
      </c>
    </row>
    <row r="1785" spans="1:18" x14ac:dyDescent="0.25">
      <c r="A1785" t="s">
        <v>1878</v>
      </c>
      <c r="B1785" s="1">
        <v>45074</v>
      </c>
      <c r="C1785" t="s">
        <v>122</v>
      </c>
      <c r="D1785" t="s">
        <v>43</v>
      </c>
      <c r="E1785">
        <v>4</v>
      </c>
      <c r="F1785" s="2">
        <v>44.99</v>
      </c>
      <c r="G1785">
        <v>0</v>
      </c>
      <c r="H1785" s="2">
        <v>44.99</v>
      </c>
      <c r="I1785" s="2">
        <v>179.96</v>
      </c>
      <c r="J1785" t="s">
        <v>19</v>
      </c>
      <c r="K1785" t="s">
        <v>44</v>
      </c>
      <c r="L1785" t="s">
        <v>45</v>
      </c>
      <c r="M1785" t="s">
        <v>39</v>
      </c>
      <c r="N1785" t="s">
        <v>40</v>
      </c>
      <c r="O1785" t="s">
        <v>35</v>
      </c>
      <c r="P1785">
        <v>2</v>
      </c>
      <c r="Q1785" s="2">
        <f>Ventas[[#This Row],[precio_base]]*Ventas[[#This Row],[cantidad]]</f>
        <v>179.96</v>
      </c>
      <c r="R1785" s="2">
        <f>Ventas[[#This Row],[Total bruto (antes de descuento)]]-Ventas[[#This Row],[total_venta]]</f>
        <v>0</v>
      </c>
    </row>
    <row r="1786" spans="1:18" x14ac:dyDescent="0.25">
      <c r="A1786" t="s">
        <v>1879</v>
      </c>
      <c r="B1786" s="1">
        <v>45029</v>
      </c>
      <c r="C1786" t="s">
        <v>104</v>
      </c>
      <c r="D1786" t="s">
        <v>18</v>
      </c>
      <c r="E1786">
        <v>3</v>
      </c>
      <c r="F1786" s="2">
        <v>1199.99</v>
      </c>
      <c r="G1786">
        <v>0</v>
      </c>
      <c r="H1786" s="2">
        <v>1199.99</v>
      </c>
      <c r="I1786" s="2">
        <v>3599.97</v>
      </c>
      <c r="J1786" t="s">
        <v>19</v>
      </c>
      <c r="K1786" t="s">
        <v>20</v>
      </c>
      <c r="L1786" t="s">
        <v>45</v>
      </c>
      <c r="M1786" t="s">
        <v>95</v>
      </c>
      <c r="N1786" t="s">
        <v>96</v>
      </c>
      <c r="O1786" t="s">
        <v>48</v>
      </c>
      <c r="P1786">
        <v>4</v>
      </c>
      <c r="Q1786" s="2">
        <f>Ventas[[#This Row],[precio_base]]*Ventas[[#This Row],[cantidad]]</f>
        <v>3599.9700000000003</v>
      </c>
      <c r="R1786" s="2">
        <f>Ventas[[#This Row],[Total bruto (antes de descuento)]]-Ventas[[#This Row],[total_venta]]</f>
        <v>0</v>
      </c>
    </row>
    <row r="1787" spans="1:18" x14ac:dyDescent="0.25">
      <c r="A1787" t="s">
        <v>1880</v>
      </c>
      <c r="B1787" s="1">
        <v>45476</v>
      </c>
      <c r="C1787" t="s">
        <v>151</v>
      </c>
      <c r="D1787" t="s">
        <v>27</v>
      </c>
      <c r="E1787">
        <v>2</v>
      </c>
      <c r="F1787" s="2">
        <v>599.99</v>
      </c>
      <c r="G1787">
        <v>20</v>
      </c>
      <c r="H1787" s="2">
        <v>479.99</v>
      </c>
      <c r="I1787" s="2">
        <v>959.98</v>
      </c>
      <c r="J1787" t="s">
        <v>51</v>
      </c>
      <c r="K1787" t="s">
        <v>20</v>
      </c>
      <c r="L1787" t="s">
        <v>45</v>
      </c>
      <c r="M1787" t="s">
        <v>73</v>
      </c>
      <c r="N1787" t="s">
        <v>74</v>
      </c>
      <c r="O1787" t="s">
        <v>35</v>
      </c>
      <c r="Q1787" s="2">
        <f>Ventas[[#This Row],[precio_base]]*Ventas[[#This Row],[cantidad]]</f>
        <v>1199.98</v>
      </c>
      <c r="R1787" s="2">
        <f>Ventas[[#This Row],[Total bruto (antes de descuento)]]-Ventas[[#This Row],[total_venta]]</f>
        <v>240</v>
      </c>
    </row>
    <row r="1788" spans="1:18" x14ac:dyDescent="0.25">
      <c r="A1788" t="s">
        <v>1881</v>
      </c>
      <c r="B1788" s="1">
        <v>45190</v>
      </c>
      <c r="C1788" t="s">
        <v>78</v>
      </c>
      <c r="D1788" t="s">
        <v>18</v>
      </c>
      <c r="E1788">
        <v>3</v>
      </c>
      <c r="F1788" s="2">
        <v>349.99</v>
      </c>
      <c r="G1788">
        <v>15</v>
      </c>
      <c r="H1788" s="2">
        <v>297.49</v>
      </c>
      <c r="I1788" s="2">
        <v>892.47</v>
      </c>
      <c r="J1788" t="s">
        <v>19</v>
      </c>
      <c r="K1788" t="s">
        <v>44</v>
      </c>
      <c r="L1788" t="s">
        <v>21</v>
      </c>
      <c r="M1788" t="s">
        <v>33</v>
      </c>
      <c r="N1788" t="s">
        <v>34</v>
      </c>
      <c r="O1788" t="s">
        <v>35</v>
      </c>
      <c r="P1788">
        <v>4</v>
      </c>
      <c r="Q1788" s="2">
        <f>Ventas[[#This Row],[precio_base]]*Ventas[[#This Row],[cantidad]]</f>
        <v>1049.97</v>
      </c>
      <c r="R1788" s="2">
        <f>Ventas[[#This Row],[Total bruto (antes de descuento)]]-Ventas[[#This Row],[total_venta]]</f>
        <v>157.5</v>
      </c>
    </row>
    <row r="1789" spans="1:18" x14ac:dyDescent="0.25">
      <c r="A1789" t="s">
        <v>1882</v>
      </c>
      <c r="B1789" s="1">
        <v>45511</v>
      </c>
      <c r="C1789" t="s">
        <v>115</v>
      </c>
      <c r="D1789" t="s">
        <v>18</v>
      </c>
      <c r="E1789">
        <v>2</v>
      </c>
      <c r="F1789" s="2">
        <v>799.99</v>
      </c>
      <c r="G1789">
        <v>0</v>
      </c>
      <c r="H1789" s="2">
        <v>799.99</v>
      </c>
      <c r="I1789" s="2">
        <v>1599.98</v>
      </c>
      <c r="J1789" t="s">
        <v>19</v>
      </c>
      <c r="K1789" t="s">
        <v>52</v>
      </c>
      <c r="L1789" t="s">
        <v>21</v>
      </c>
      <c r="M1789" t="s">
        <v>39</v>
      </c>
      <c r="N1789" t="s">
        <v>40</v>
      </c>
      <c r="O1789" t="s">
        <v>35</v>
      </c>
      <c r="P1789">
        <v>1</v>
      </c>
      <c r="Q1789" s="2">
        <f>Ventas[[#This Row],[precio_base]]*Ventas[[#This Row],[cantidad]]</f>
        <v>1599.98</v>
      </c>
      <c r="R1789" s="2">
        <f>Ventas[[#This Row],[Total bruto (antes de descuento)]]-Ventas[[#This Row],[total_venta]]</f>
        <v>0</v>
      </c>
    </row>
    <row r="1790" spans="1:18" x14ac:dyDescent="0.25">
      <c r="A1790" t="s">
        <v>1883</v>
      </c>
      <c r="B1790" s="1">
        <v>45024</v>
      </c>
      <c r="C1790" t="s">
        <v>30</v>
      </c>
      <c r="D1790" t="s">
        <v>31</v>
      </c>
      <c r="E1790">
        <v>4</v>
      </c>
      <c r="F1790" s="2">
        <v>299.99</v>
      </c>
      <c r="G1790">
        <v>0</v>
      </c>
      <c r="H1790" s="2">
        <v>299.99</v>
      </c>
      <c r="I1790" s="2">
        <v>1199.96</v>
      </c>
      <c r="J1790" t="s">
        <v>62</v>
      </c>
      <c r="K1790" t="s">
        <v>20</v>
      </c>
      <c r="L1790" t="s">
        <v>21</v>
      </c>
      <c r="M1790" t="s">
        <v>95</v>
      </c>
      <c r="N1790" t="s">
        <v>96</v>
      </c>
      <c r="O1790" t="s">
        <v>48</v>
      </c>
      <c r="Q1790" s="2">
        <f>Ventas[[#This Row],[precio_base]]*Ventas[[#This Row],[cantidad]]</f>
        <v>1199.96</v>
      </c>
      <c r="R1790" s="2">
        <f>Ventas[[#This Row],[Total bruto (antes de descuento)]]-Ventas[[#This Row],[total_venta]]</f>
        <v>0</v>
      </c>
    </row>
    <row r="1791" spans="1:18" x14ac:dyDescent="0.25">
      <c r="A1791" t="s">
        <v>1884</v>
      </c>
      <c r="B1791" s="1">
        <v>45602</v>
      </c>
      <c r="C1791" t="s">
        <v>83</v>
      </c>
      <c r="D1791" t="s">
        <v>38</v>
      </c>
      <c r="E1791">
        <v>3</v>
      </c>
      <c r="F1791" s="2">
        <v>49.99</v>
      </c>
      <c r="G1791">
        <v>15</v>
      </c>
      <c r="H1791" s="2">
        <v>42.49</v>
      </c>
      <c r="I1791" s="2">
        <v>127.47</v>
      </c>
      <c r="J1791" t="s">
        <v>116</v>
      </c>
      <c r="K1791" t="s">
        <v>44</v>
      </c>
      <c r="L1791" t="s">
        <v>45</v>
      </c>
      <c r="M1791" t="s">
        <v>73</v>
      </c>
      <c r="N1791" t="s">
        <v>74</v>
      </c>
      <c r="O1791" t="s">
        <v>35</v>
      </c>
      <c r="Q1791" s="2">
        <f>Ventas[[#This Row],[precio_base]]*Ventas[[#This Row],[cantidad]]</f>
        <v>149.97</v>
      </c>
      <c r="R1791" s="2">
        <f>Ventas[[#This Row],[Total bruto (antes de descuento)]]-Ventas[[#This Row],[total_venta]]</f>
        <v>22.5</v>
      </c>
    </row>
    <row r="1792" spans="1:18" x14ac:dyDescent="0.25">
      <c r="A1792" t="s">
        <v>1885</v>
      </c>
      <c r="B1792" s="1">
        <v>45200</v>
      </c>
      <c r="C1792" t="s">
        <v>98</v>
      </c>
      <c r="D1792" t="s">
        <v>31</v>
      </c>
      <c r="E1792">
        <v>2</v>
      </c>
      <c r="F1792" s="2">
        <v>99.99</v>
      </c>
      <c r="G1792">
        <v>0</v>
      </c>
      <c r="H1792" s="2">
        <v>99.99</v>
      </c>
      <c r="I1792" s="2">
        <v>199.98</v>
      </c>
      <c r="J1792" t="s">
        <v>19</v>
      </c>
      <c r="K1792" t="s">
        <v>20</v>
      </c>
      <c r="L1792" t="s">
        <v>28</v>
      </c>
      <c r="M1792" t="s">
        <v>73</v>
      </c>
      <c r="N1792" t="s">
        <v>74</v>
      </c>
      <c r="O1792" t="s">
        <v>35</v>
      </c>
      <c r="P1792">
        <v>1</v>
      </c>
      <c r="Q1792" s="2">
        <f>Ventas[[#This Row],[precio_base]]*Ventas[[#This Row],[cantidad]]</f>
        <v>199.98</v>
      </c>
      <c r="R1792" s="2">
        <f>Ventas[[#This Row],[Total bruto (antes de descuento)]]-Ventas[[#This Row],[total_venta]]</f>
        <v>0</v>
      </c>
    </row>
    <row r="1793" spans="1:18" x14ac:dyDescent="0.25">
      <c r="A1793" t="s">
        <v>1886</v>
      </c>
      <c r="B1793" s="1">
        <v>45321</v>
      </c>
      <c r="C1793" t="s">
        <v>72</v>
      </c>
      <c r="D1793" t="s">
        <v>31</v>
      </c>
      <c r="E1793">
        <v>1</v>
      </c>
      <c r="F1793" s="2">
        <v>29.99</v>
      </c>
      <c r="G1793">
        <v>20</v>
      </c>
      <c r="H1793" s="2">
        <v>23.99</v>
      </c>
      <c r="I1793" s="2">
        <v>23.99</v>
      </c>
      <c r="J1793" t="s">
        <v>19</v>
      </c>
      <c r="K1793" t="s">
        <v>20</v>
      </c>
      <c r="L1793" t="s">
        <v>28</v>
      </c>
      <c r="M1793" t="s">
        <v>63</v>
      </c>
      <c r="N1793" t="s">
        <v>34</v>
      </c>
      <c r="O1793" t="s">
        <v>24</v>
      </c>
      <c r="P1793">
        <v>2</v>
      </c>
      <c r="Q1793" s="2">
        <f>Ventas[[#This Row],[precio_base]]*Ventas[[#This Row],[cantidad]]</f>
        <v>29.99</v>
      </c>
      <c r="R1793" s="2">
        <f>Ventas[[#This Row],[Total bruto (antes de descuento)]]-Ventas[[#This Row],[total_venta]]</f>
        <v>6</v>
      </c>
    </row>
    <row r="1794" spans="1:18" x14ac:dyDescent="0.25">
      <c r="A1794" t="s">
        <v>1887</v>
      </c>
      <c r="B1794" s="1">
        <v>45092</v>
      </c>
      <c r="C1794" t="s">
        <v>109</v>
      </c>
      <c r="D1794" t="s">
        <v>38</v>
      </c>
      <c r="E1794">
        <v>3</v>
      </c>
      <c r="F1794" s="2">
        <v>39.99</v>
      </c>
      <c r="G1794">
        <v>0</v>
      </c>
      <c r="H1794" s="2">
        <v>39.99</v>
      </c>
      <c r="I1794" s="2">
        <v>119.97</v>
      </c>
      <c r="J1794" t="s">
        <v>19</v>
      </c>
      <c r="K1794" t="s">
        <v>52</v>
      </c>
      <c r="L1794" t="s">
        <v>21</v>
      </c>
      <c r="M1794" t="s">
        <v>101</v>
      </c>
      <c r="N1794" t="s">
        <v>102</v>
      </c>
      <c r="O1794" t="s">
        <v>35</v>
      </c>
      <c r="P1794">
        <v>5</v>
      </c>
      <c r="Q1794" s="2">
        <f>Ventas[[#This Row],[precio_base]]*Ventas[[#This Row],[cantidad]]</f>
        <v>119.97</v>
      </c>
      <c r="R1794" s="2">
        <f>Ventas[[#This Row],[Total bruto (antes de descuento)]]-Ventas[[#This Row],[total_venta]]</f>
        <v>0</v>
      </c>
    </row>
    <row r="1795" spans="1:18" x14ac:dyDescent="0.25">
      <c r="A1795" t="s">
        <v>1888</v>
      </c>
      <c r="B1795" s="1">
        <v>45342</v>
      </c>
      <c r="C1795" t="s">
        <v>151</v>
      </c>
      <c r="D1795" t="s">
        <v>27</v>
      </c>
      <c r="E1795">
        <v>2</v>
      </c>
      <c r="F1795" s="2">
        <v>599.99</v>
      </c>
      <c r="G1795">
        <v>5</v>
      </c>
      <c r="H1795" s="2">
        <v>569.99</v>
      </c>
      <c r="I1795" s="2">
        <v>1139.98</v>
      </c>
      <c r="J1795" t="s">
        <v>51</v>
      </c>
      <c r="K1795" t="s">
        <v>20</v>
      </c>
      <c r="L1795" t="s">
        <v>28</v>
      </c>
      <c r="M1795" t="s">
        <v>65</v>
      </c>
      <c r="N1795" t="s">
        <v>54</v>
      </c>
      <c r="O1795" t="s">
        <v>35</v>
      </c>
      <c r="Q1795" s="2">
        <f>Ventas[[#This Row],[precio_base]]*Ventas[[#This Row],[cantidad]]</f>
        <v>1199.98</v>
      </c>
      <c r="R1795" s="2">
        <f>Ventas[[#This Row],[Total bruto (antes de descuento)]]-Ventas[[#This Row],[total_venta]]</f>
        <v>60</v>
      </c>
    </row>
    <row r="1796" spans="1:18" x14ac:dyDescent="0.25">
      <c r="A1796" t="s">
        <v>1889</v>
      </c>
      <c r="B1796" s="1">
        <v>45598</v>
      </c>
      <c r="C1796" t="s">
        <v>98</v>
      </c>
      <c r="D1796" t="s">
        <v>31</v>
      </c>
      <c r="E1796">
        <v>5</v>
      </c>
      <c r="F1796" s="2">
        <v>99.99</v>
      </c>
      <c r="G1796">
        <v>0</v>
      </c>
      <c r="H1796" s="2">
        <v>99.99</v>
      </c>
      <c r="I1796" s="2">
        <v>499.95</v>
      </c>
      <c r="J1796" t="s">
        <v>19</v>
      </c>
      <c r="K1796" t="s">
        <v>20</v>
      </c>
      <c r="L1796" t="s">
        <v>21</v>
      </c>
      <c r="M1796" t="s">
        <v>53</v>
      </c>
      <c r="N1796" t="s">
        <v>54</v>
      </c>
      <c r="O1796" t="s">
        <v>35</v>
      </c>
      <c r="P1796">
        <v>4</v>
      </c>
      <c r="Q1796" s="2">
        <f>Ventas[[#This Row],[precio_base]]*Ventas[[#This Row],[cantidad]]</f>
        <v>499.95</v>
      </c>
      <c r="R1796" s="2">
        <f>Ventas[[#This Row],[Total bruto (antes de descuento)]]-Ventas[[#This Row],[total_venta]]</f>
        <v>0</v>
      </c>
    </row>
    <row r="1797" spans="1:18" x14ac:dyDescent="0.25">
      <c r="A1797" t="s">
        <v>1890</v>
      </c>
      <c r="B1797" s="1">
        <v>45489</v>
      </c>
      <c r="C1797" t="s">
        <v>151</v>
      </c>
      <c r="D1797" t="s">
        <v>27</v>
      </c>
      <c r="E1797">
        <v>1</v>
      </c>
      <c r="F1797" s="2">
        <v>599.99</v>
      </c>
      <c r="G1797">
        <v>15</v>
      </c>
      <c r="H1797" s="2">
        <v>509.99</v>
      </c>
      <c r="I1797" s="2">
        <v>509.99</v>
      </c>
      <c r="J1797" t="s">
        <v>62</v>
      </c>
      <c r="K1797" t="s">
        <v>44</v>
      </c>
      <c r="L1797" t="s">
        <v>21</v>
      </c>
      <c r="M1797" t="s">
        <v>39</v>
      </c>
      <c r="N1797" t="s">
        <v>40</v>
      </c>
      <c r="O1797" t="s">
        <v>35</v>
      </c>
      <c r="Q1797" s="2">
        <f>Ventas[[#This Row],[precio_base]]*Ventas[[#This Row],[cantidad]]</f>
        <v>599.99</v>
      </c>
      <c r="R1797" s="2">
        <f>Ventas[[#This Row],[Total bruto (antes de descuento)]]-Ventas[[#This Row],[total_venta]]</f>
        <v>90</v>
      </c>
    </row>
    <row r="1798" spans="1:18" x14ac:dyDescent="0.25">
      <c r="A1798" t="s">
        <v>1891</v>
      </c>
      <c r="B1798" s="1">
        <v>45301</v>
      </c>
      <c r="C1798" t="s">
        <v>37</v>
      </c>
      <c r="D1798" t="s">
        <v>38</v>
      </c>
      <c r="E1798">
        <v>1</v>
      </c>
      <c r="F1798" s="2">
        <v>34.99</v>
      </c>
      <c r="G1798">
        <v>10</v>
      </c>
      <c r="H1798" s="2">
        <v>31.49</v>
      </c>
      <c r="I1798" s="2">
        <v>31.49</v>
      </c>
      <c r="J1798" t="s">
        <v>19</v>
      </c>
      <c r="K1798" t="s">
        <v>57</v>
      </c>
      <c r="L1798" t="s">
        <v>32</v>
      </c>
      <c r="M1798" t="s">
        <v>22</v>
      </c>
      <c r="N1798" t="s">
        <v>23</v>
      </c>
      <c r="O1798" t="s">
        <v>24</v>
      </c>
      <c r="P1798">
        <v>1</v>
      </c>
      <c r="Q1798" s="2">
        <f>Ventas[[#This Row],[precio_base]]*Ventas[[#This Row],[cantidad]]</f>
        <v>34.99</v>
      </c>
      <c r="R1798" s="2">
        <f>Ventas[[#This Row],[Total bruto (antes de descuento)]]-Ventas[[#This Row],[total_venta]]</f>
        <v>3.5000000000000036</v>
      </c>
    </row>
    <row r="1799" spans="1:18" x14ac:dyDescent="0.25">
      <c r="A1799" t="s">
        <v>1892</v>
      </c>
      <c r="B1799" s="1">
        <v>45490</v>
      </c>
      <c r="C1799" t="s">
        <v>30</v>
      </c>
      <c r="D1799" t="s">
        <v>31</v>
      </c>
      <c r="E1799">
        <v>3</v>
      </c>
      <c r="F1799" s="2">
        <v>299.99</v>
      </c>
      <c r="G1799">
        <v>0</v>
      </c>
      <c r="H1799" s="2">
        <v>299.99</v>
      </c>
      <c r="I1799" s="2">
        <v>899.97</v>
      </c>
      <c r="J1799" t="s">
        <v>62</v>
      </c>
      <c r="K1799" t="s">
        <v>44</v>
      </c>
      <c r="L1799" t="s">
        <v>45</v>
      </c>
      <c r="M1799" t="s">
        <v>58</v>
      </c>
      <c r="N1799" t="s">
        <v>59</v>
      </c>
      <c r="O1799" t="s">
        <v>24</v>
      </c>
      <c r="Q1799" s="2">
        <f>Ventas[[#This Row],[precio_base]]*Ventas[[#This Row],[cantidad]]</f>
        <v>899.97</v>
      </c>
      <c r="R1799" s="2">
        <f>Ventas[[#This Row],[Total bruto (antes de descuento)]]-Ventas[[#This Row],[total_venta]]</f>
        <v>0</v>
      </c>
    </row>
    <row r="1800" spans="1:18" x14ac:dyDescent="0.25">
      <c r="A1800" t="s">
        <v>1893</v>
      </c>
      <c r="B1800" s="1">
        <v>45011</v>
      </c>
      <c r="C1800" t="s">
        <v>42</v>
      </c>
      <c r="D1800" t="s">
        <v>43</v>
      </c>
      <c r="E1800">
        <v>5</v>
      </c>
      <c r="F1800" s="2">
        <v>349.99</v>
      </c>
      <c r="G1800">
        <v>0</v>
      </c>
      <c r="H1800" s="2">
        <v>349.99</v>
      </c>
      <c r="I1800" s="2">
        <v>1749.95</v>
      </c>
      <c r="J1800" t="s">
        <v>19</v>
      </c>
      <c r="K1800" t="s">
        <v>57</v>
      </c>
      <c r="L1800" t="s">
        <v>21</v>
      </c>
      <c r="M1800" t="s">
        <v>53</v>
      </c>
      <c r="N1800" t="s">
        <v>54</v>
      </c>
      <c r="O1800" t="s">
        <v>35</v>
      </c>
      <c r="P1800">
        <v>2</v>
      </c>
      <c r="Q1800" s="2">
        <f>Ventas[[#This Row],[precio_base]]*Ventas[[#This Row],[cantidad]]</f>
        <v>1749.95</v>
      </c>
      <c r="R1800" s="2">
        <f>Ventas[[#This Row],[Total bruto (antes de descuento)]]-Ventas[[#This Row],[total_venta]]</f>
        <v>0</v>
      </c>
    </row>
    <row r="1801" spans="1:18" x14ac:dyDescent="0.25">
      <c r="A1801" t="s">
        <v>1894</v>
      </c>
      <c r="B1801" s="1">
        <v>44944</v>
      </c>
      <c r="C1801" t="s">
        <v>115</v>
      </c>
      <c r="D1801" t="s">
        <v>18</v>
      </c>
      <c r="E1801">
        <v>3</v>
      </c>
      <c r="F1801" s="2">
        <v>799.99</v>
      </c>
      <c r="G1801">
        <v>10</v>
      </c>
      <c r="H1801" s="2">
        <v>719.99</v>
      </c>
      <c r="I1801" s="2">
        <v>2159.9699999999998</v>
      </c>
      <c r="J1801" t="s">
        <v>51</v>
      </c>
      <c r="K1801" t="s">
        <v>44</v>
      </c>
      <c r="L1801" t="s">
        <v>45</v>
      </c>
      <c r="M1801" t="s">
        <v>63</v>
      </c>
      <c r="N1801" t="s">
        <v>34</v>
      </c>
      <c r="O1801" t="s">
        <v>24</v>
      </c>
      <c r="Q1801" s="2">
        <f>Ventas[[#This Row],[precio_base]]*Ventas[[#This Row],[cantidad]]</f>
        <v>2399.9700000000003</v>
      </c>
      <c r="R1801" s="2">
        <f>Ventas[[#This Row],[Total bruto (antes de descuento)]]-Ventas[[#This Row],[total_venta]]</f>
        <v>240.00000000000045</v>
      </c>
    </row>
    <row r="1802" spans="1:18" x14ac:dyDescent="0.25">
      <c r="A1802" t="s">
        <v>1895</v>
      </c>
      <c r="B1802" s="1">
        <v>44975</v>
      </c>
      <c r="C1802" t="s">
        <v>70</v>
      </c>
      <c r="D1802" t="s">
        <v>31</v>
      </c>
      <c r="E1802">
        <v>5</v>
      </c>
      <c r="F1802" s="2">
        <v>59.99</v>
      </c>
      <c r="G1802">
        <v>0</v>
      </c>
      <c r="H1802" s="2">
        <v>59.99</v>
      </c>
      <c r="I1802" s="2">
        <v>299.95</v>
      </c>
      <c r="J1802" t="s">
        <v>19</v>
      </c>
      <c r="K1802" t="s">
        <v>52</v>
      </c>
      <c r="L1802" t="s">
        <v>45</v>
      </c>
      <c r="M1802" t="s">
        <v>84</v>
      </c>
      <c r="N1802" t="s">
        <v>85</v>
      </c>
      <c r="O1802" t="s">
        <v>35</v>
      </c>
      <c r="P1802">
        <v>3</v>
      </c>
      <c r="Q1802" s="2">
        <f>Ventas[[#This Row],[precio_base]]*Ventas[[#This Row],[cantidad]]</f>
        <v>299.95</v>
      </c>
      <c r="R1802" s="2">
        <f>Ventas[[#This Row],[Total bruto (antes de descuento)]]-Ventas[[#This Row],[total_venta]]</f>
        <v>0</v>
      </c>
    </row>
    <row r="1803" spans="1:18" x14ac:dyDescent="0.25">
      <c r="A1803" t="s">
        <v>1896</v>
      </c>
      <c r="B1803" s="1">
        <v>45089</v>
      </c>
      <c r="C1803" t="s">
        <v>17</v>
      </c>
      <c r="D1803" t="s">
        <v>18</v>
      </c>
      <c r="E1803">
        <v>2</v>
      </c>
      <c r="F1803" s="2">
        <v>45.99</v>
      </c>
      <c r="G1803">
        <v>15</v>
      </c>
      <c r="H1803" s="2">
        <v>39.090000000000003</v>
      </c>
      <c r="I1803" s="2">
        <v>78.180000000000007</v>
      </c>
      <c r="J1803" t="s">
        <v>51</v>
      </c>
      <c r="K1803" t="s">
        <v>20</v>
      </c>
      <c r="L1803" t="s">
        <v>152</v>
      </c>
      <c r="M1803" t="s">
        <v>33</v>
      </c>
      <c r="N1803" t="s">
        <v>34</v>
      </c>
      <c r="O1803" t="s">
        <v>35</v>
      </c>
      <c r="Q1803" s="2">
        <f>Ventas[[#This Row],[precio_base]]*Ventas[[#This Row],[cantidad]]</f>
        <v>91.98</v>
      </c>
      <c r="R1803" s="2">
        <f>Ventas[[#This Row],[Total bruto (antes de descuento)]]-Ventas[[#This Row],[total_venta]]</f>
        <v>13.799999999999997</v>
      </c>
    </row>
    <row r="1804" spans="1:18" x14ac:dyDescent="0.25">
      <c r="A1804" t="s">
        <v>1897</v>
      </c>
      <c r="B1804" s="1">
        <v>45082</v>
      </c>
      <c r="C1804" t="s">
        <v>50</v>
      </c>
      <c r="D1804" t="s">
        <v>27</v>
      </c>
      <c r="E1804">
        <v>5</v>
      </c>
      <c r="F1804" s="2">
        <v>149.99</v>
      </c>
      <c r="G1804">
        <v>5</v>
      </c>
      <c r="H1804" s="2">
        <v>142.49</v>
      </c>
      <c r="I1804" s="2">
        <v>712.45</v>
      </c>
      <c r="J1804" t="s">
        <v>62</v>
      </c>
      <c r="K1804" t="s">
        <v>20</v>
      </c>
      <c r="L1804" t="s">
        <v>152</v>
      </c>
      <c r="M1804" t="s">
        <v>58</v>
      </c>
      <c r="N1804" t="s">
        <v>59</v>
      </c>
      <c r="O1804" t="s">
        <v>24</v>
      </c>
      <c r="Q1804" s="2">
        <f>Ventas[[#This Row],[precio_base]]*Ventas[[#This Row],[cantidad]]</f>
        <v>749.95</v>
      </c>
      <c r="R1804" s="2">
        <f>Ventas[[#This Row],[Total bruto (antes de descuento)]]-Ventas[[#This Row],[total_venta]]</f>
        <v>37.5</v>
      </c>
    </row>
    <row r="1805" spans="1:18" x14ac:dyDescent="0.25">
      <c r="A1805" t="s">
        <v>1898</v>
      </c>
      <c r="B1805" s="1">
        <v>45337</v>
      </c>
      <c r="C1805" t="s">
        <v>83</v>
      </c>
      <c r="D1805" t="s">
        <v>38</v>
      </c>
      <c r="E1805">
        <v>4</v>
      </c>
      <c r="F1805" s="2">
        <v>49.99</v>
      </c>
      <c r="G1805">
        <v>10</v>
      </c>
      <c r="H1805" s="2">
        <v>44.99</v>
      </c>
      <c r="I1805" s="2">
        <v>179.96</v>
      </c>
      <c r="J1805" t="s">
        <v>116</v>
      </c>
      <c r="K1805" t="s">
        <v>44</v>
      </c>
      <c r="L1805" t="s">
        <v>21</v>
      </c>
      <c r="M1805" t="s">
        <v>53</v>
      </c>
      <c r="N1805" t="s">
        <v>54</v>
      </c>
      <c r="O1805" t="s">
        <v>35</v>
      </c>
      <c r="Q1805" s="2">
        <f>Ventas[[#This Row],[precio_base]]*Ventas[[#This Row],[cantidad]]</f>
        <v>199.96</v>
      </c>
      <c r="R1805" s="2">
        <f>Ventas[[#This Row],[Total bruto (antes de descuento)]]-Ventas[[#This Row],[total_venta]]</f>
        <v>20</v>
      </c>
    </row>
    <row r="1806" spans="1:18" x14ac:dyDescent="0.25">
      <c r="A1806" t="s">
        <v>1899</v>
      </c>
      <c r="B1806" s="1">
        <v>45234</v>
      </c>
      <c r="C1806" t="s">
        <v>104</v>
      </c>
      <c r="D1806" t="s">
        <v>18</v>
      </c>
      <c r="E1806">
        <v>1</v>
      </c>
      <c r="F1806" s="2">
        <v>1199.99</v>
      </c>
      <c r="G1806">
        <v>0</v>
      </c>
      <c r="H1806" s="2">
        <v>1199.99</v>
      </c>
      <c r="I1806" s="2">
        <v>1199.99</v>
      </c>
      <c r="J1806" t="s">
        <v>51</v>
      </c>
      <c r="K1806" t="s">
        <v>20</v>
      </c>
      <c r="L1806" t="s">
        <v>152</v>
      </c>
      <c r="M1806" t="s">
        <v>73</v>
      </c>
      <c r="N1806" t="s">
        <v>74</v>
      </c>
      <c r="O1806" t="s">
        <v>35</v>
      </c>
      <c r="Q1806" s="2">
        <f>Ventas[[#This Row],[precio_base]]*Ventas[[#This Row],[cantidad]]</f>
        <v>1199.99</v>
      </c>
      <c r="R1806" s="2">
        <f>Ventas[[#This Row],[Total bruto (antes de descuento)]]-Ventas[[#This Row],[total_venta]]</f>
        <v>0</v>
      </c>
    </row>
    <row r="1807" spans="1:18" x14ac:dyDescent="0.25">
      <c r="A1807" t="s">
        <v>1900</v>
      </c>
      <c r="B1807" s="1">
        <v>45554</v>
      </c>
      <c r="C1807" t="s">
        <v>156</v>
      </c>
      <c r="D1807" t="s">
        <v>27</v>
      </c>
      <c r="E1807">
        <v>1</v>
      </c>
      <c r="F1807" s="2">
        <v>49.99</v>
      </c>
      <c r="G1807">
        <v>0</v>
      </c>
      <c r="H1807" s="2">
        <v>49.99</v>
      </c>
      <c r="I1807" s="2">
        <v>49.99</v>
      </c>
      <c r="J1807" t="s">
        <v>51</v>
      </c>
      <c r="K1807" t="s">
        <v>20</v>
      </c>
      <c r="L1807" t="s">
        <v>32</v>
      </c>
      <c r="M1807" t="s">
        <v>63</v>
      </c>
      <c r="N1807" t="s">
        <v>34</v>
      </c>
      <c r="O1807" t="s">
        <v>24</v>
      </c>
      <c r="Q1807" s="2">
        <f>Ventas[[#This Row],[precio_base]]*Ventas[[#This Row],[cantidad]]</f>
        <v>49.99</v>
      </c>
      <c r="R1807" s="2">
        <f>Ventas[[#This Row],[Total bruto (antes de descuento)]]-Ventas[[#This Row],[total_venta]]</f>
        <v>0</v>
      </c>
    </row>
    <row r="1808" spans="1:18" x14ac:dyDescent="0.25">
      <c r="A1808" t="s">
        <v>1901</v>
      </c>
      <c r="B1808" s="1">
        <v>45175</v>
      </c>
      <c r="C1808" t="s">
        <v>109</v>
      </c>
      <c r="D1808" t="s">
        <v>38</v>
      </c>
      <c r="E1808">
        <v>2</v>
      </c>
      <c r="F1808" s="2">
        <v>39.99</v>
      </c>
      <c r="G1808">
        <v>15</v>
      </c>
      <c r="H1808" s="2">
        <v>33.99</v>
      </c>
      <c r="I1808" s="2">
        <v>67.98</v>
      </c>
      <c r="J1808" t="s">
        <v>19</v>
      </c>
      <c r="K1808" t="s">
        <v>20</v>
      </c>
      <c r="L1808" t="s">
        <v>32</v>
      </c>
      <c r="M1808" t="s">
        <v>33</v>
      </c>
      <c r="N1808" t="s">
        <v>34</v>
      </c>
      <c r="O1808" t="s">
        <v>35</v>
      </c>
      <c r="P1808">
        <v>1</v>
      </c>
      <c r="Q1808" s="2">
        <f>Ventas[[#This Row],[precio_base]]*Ventas[[#This Row],[cantidad]]</f>
        <v>79.98</v>
      </c>
      <c r="R1808" s="2">
        <f>Ventas[[#This Row],[Total bruto (antes de descuento)]]-Ventas[[#This Row],[total_venta]]</f>
        <v>12</v>
      </c>
    </row>
    <row r="1809" spans="1:18" x14ac:dyDescent="0.25">
      <c r="A1809" t="s">
        <v>1902</v>
      </c>
      <c r="B1809" s="1">
        <v>45158</v>
      </c>
      <c r="C1809" t="s">
        <v>61</v>
      </c>
      <c r="D1809" t="s">
        <v>38</v>
      </c>
      <c r="E1809">
        <v>2</v>
      </c>
      <c r="F1809" s="2">
        <v>19.989999999999998</v>
      </c>
      <c r="G1809">
        <v>5</v>
      </c>
      <c r="H1809" s="2">
        <v>18.989999999999998</v>
      </c>
      <c r="I1809" s="2">
        <v>37.979999999999997</v>
      </c>
      <c r="J1809" t="s">
        <v>19</v>
      </c>
      <c r="K1809" t="s">
        <v>44</v>
      </c>
      <c r="L1809" t="s">
        <v>28</v>
      </c>
      <c r="M1809" t="s">
        <v>84</v>
      </c>
      <c r="N1809" t="s">
        <v>85</v>
      </c>
      <c r="O1809" t="s">
        <v>35</v>
      </c>
      <c r="P1809">
        <v>2</v>
      </c>
      <c r="Q1809" s="2">
        <f>Ventas[[#This Row],[precio_base]]*Ventas[[#This Row],[cantidad]]</f>
        <v>39.979999999999997</v>
      </c>
      <c r="R1809" s="2">
        <f>Ventas[[#This Row],[Total bruto (antes de descuento)]]-Ventas[[#This Row],[total_venta]]</f>
        <v>2</v>
      </c>
    </row>
    <row r="1810" spans="1:18" x14ac:dyDescent="0.25">
      <c r="A1810" t="s">
        <v>1903</v>
      </c>
      <c r="B1810" s="1">
        <v>45381</v>
      </c>
      <c r="C1810" t="s">
        <v>78</v>
      </c>
      <c r="D1810" t="s">
        <v>18</v>
      </c>
      <c r="E1810">
        <v>3</v>
      </c>
      <c r="F1810" s="2">
        <v>349.99</v>
      </c>
      <c r="G1810">
        <v>20</v>
      </c>
      <c r="H1810" s="2">
        <v>279.99</v>
      </c>
      <c r="I1810" s="2">
        <v>839.97</v>
      </c>
      <c r="J1810" t="s">
        <v>19</v>
      </c>
      <c r="K1810" t="s">
        <v>20</v>
      </c>
      <c r="L1810" t="s">
        <v>21</v>
      </c>
      <c r="M1810" t="s">
        <v>73</v>
      </c>
      <c r="N1810" t="s">
        <v>74</v>
      </c>
      <c r="O1810" t="s">
        <v>35</v>
      </c>
      <c r="P1810">
        <v>1</v>
      </c>
      <c r="Q1810" s="2">
        <f>Ventas[[#This Row],[precio_base]]*Ventas[[#This Row],[cantidad]]</f>
        <v>1049.97</v>
      </c>
      <c r="R1810" s="2">
        <f>Ventas[[#This Row],[Total bruto (antes de descuento)]]-Ventas[[#This Row],[total_venta]]</f>
        <v>210</v>
      </c>
    </row>
    <row r="1811" spans="1:18" x14ac:dyDescent="0.25">
      <c r="A1811" t="s">
        <v>1904</v>
      </c>
      <c r="B1811" s="1">
        <v>45570</v>
      </c>
      <c r="C1811" t="s">
        <v>156</v>
      </c>
      <c r="D1811" t="s">
        <v>27</v>
      </c>
      <c r="E1811">
        <v>4</v>
      </c>
      <c r="F1811" s="2">
        <v>49.99</v>
      </c>
      <c r="G1811">
        <v>0</v>
      </c>
      <c r="H1811" s="2">
        <v>49.99</v>
      </c>
      <c r="I1811" s="2">
        <v>199.96</v>
      </c>
      <c r="J1811" t="s">
        <v>51</v>
      </c>
      <c r="K1811" t="s">
        <v>52</v>
      </c>
      <c r="L1811" t="s">
        <v>45</v>
      </c>
      <c r="M1811" t="s">
        <v>58</v>
      </c>
      <c r="N1811" t="s">
        <v>59</v>
      </c>
      <c r="O1811" t="s">
        <v>24</v>
      </c>
      <c r="Q1811" s="2">
        <f>Ventas[[#This Row],[precio_base]]*Ventas[[#This Row],[cantidad]]</f>
        <v>199.96</v>
      </c>
      <c r="R1811" s="2">
        <f>Ventas[[#This Row],[Total bruto (antes de descuento)]]-Ventas[[#This Row],[total_venta]]</f>
        <v>0</v>
      </c>
    </row>
    <row r="1812" spans="1:18" x14ac:dyDescent="0.25">
      <c r="A1812" t="s">
        <v>1905</v>
      </c>
      <c r="B1812" s="1">
        <v>45551</v>
      </c>
      <c r="C1812" t="s">
        <v>151</v>
      </c>
      <c r="D1812" t="s">
        <v>27</v>
      </c>
      <c r="E1812">
        <v>2</v>
      </c>
      <c r="F1812" s="2">
        <v>599.99</v>
      </c>
      <c r="G1812">
        <v>0</v>
      </c>
      <c r="H1812" s="2">
        <v>599.99</v>
      </c>
      <c r="I1812" s="2">
        <v>1199.98</v>
      </c>
      <c r="J1812" t="s">
        <v>62</v>
      </c>
      <c r="K1812" t="s">
        <v>52</v>
      </c>
      <c r="L1812" t="s">
        <v>21</v>
      </c>
      <c r="M1812" t="s">
        <v>39</v>
      </c>
      <c r="N1812" t="s">
        <v>40</v>
      </c>
      <c r="O1812" t="s">
        <v>35</v>
      </c>
      <c r="Q1812" s="2">
        <f>Ventas[[#This Row],[precio_base]]*Ventas[[#This Row],[cantidad]]</f>
        <v>1199.98</v>
      </c>
      <c r="R1812" s="2">
        <f>Ventas[[#This Row],[Total bruto (antes de descuento)]]-Ventas[[#This Row],[total_venta]]</f>
        <v>0</v>
      </c>
    </row>
    <row r="1813" spans="1:18" x14ac:dyDescent="0.25">
      <c r="A1813" t="s">
        <v>1906</v>
      </c>
      <c r="B1813" s="1">
        <v>45205</v>
      </c>
      <c r="C1813" t="s">
        <v>94</v>
      </c>
      <c r="D1813" t="s">
        <v>18</v>
      </c>
      <c r="E1813">
        <v>4</v>
      </c>
      <c r="F1813" s="2">
        <v>899.99</v>
      </c>
      <c r="G1813">
        <v>20</v>
      </c>
      <c r="H1813" s="2">
        <v>719.99</v>
      </c>
      <c r="I1813" s="2">
        <v>2879.96</v>
      </c>
      <c r="J1813" t="s">
        <v>62</v>
      </c>
      <c r="K1813" t="s">
        <v>44</v>
      </c>
      <c r="L1813" t="s">
        <v>45</v>
      </c>
      <c r="M1813" t="s">
        <v>95</v>
      </c>
      <c r="N1813" t="s">
        <v>96</v>
      </c>
      <c r="O1813" t="s">
        <v>48</v>
      </c>
      <c r="Q1813" s="2">
        <f>Ventas[[#This Row],[precio_base]]*Ventas[[#This Row],[cantidad]]</f>
        <v>3599.96</v>
      </c>
      <c r="R1813" s="2">
        <f>Ventas[[#This Row],[Total bruto (antes de descuento)]]-Ventas[[#This Row],[total_venta]]</f>
        <v>720</v>
      </c>
    </row>
    <row r="1814" spans="1:18" x14ac:dyDescent="0.25">
      <c r="A1814" t="s">
        <v>1907</v>
      </c>
      <c r="B1814" s="1">
        <v>45099</v>
      </c>
      <c r="C1814" t="s">
        <v>130</v>
      </c>
      <c r="D1814" t="s">
        <v>43</v>
      </c>
      <c r="E1814">
        <v>4</v>
      </c>
      <c r="F1814" s="2">
        <v>24.99</v>
      </c>
      <c r="G1814">
        <v>20</v>
      </c>
      <c r="H1814" s="2">
        <v>19.989999999999998</v>
      </c>
      <c r="I1814" s="2">
        <v>79.959999999999994</v>
      </c>
      <c r="J1814" t="s">
        <v>19</v>
      </c>
      <c r="K1814" t="s">
        <v>20</v>
      </c>
      <c r="L1814" t="s">
        <v>152</v>
      </c>
      <c r="M1814" t="s">
        <v>65</v>
      </c>
      <c r="N1814" t="s">
        <v>54</v>
      </c>
      <c r="O1814" t="s">
        <v>35</v>
      </c>
      <c r="P1814">
        <v>5</v>
      </c>
      <c r="Q1814" s="2">
        <f>Ventas[[#This Row],[precio_base]]*Ventas[[#This Row],[cantidad]]</f>
        <v>99.96</v>
      </c>
      <c r="R1814" s="2">
        <f>Ventas[[#This Row],[Total bruto (antes de descuento)]]-Ventas[[#This Row],[total_venta]]</f>
        <v>20</v>
      </c>
    </row>
    <row r="1815" spans="1:18" x14ac:dyDescent="0.25">
      <c r="A1815" t="s">
        <v>1908</v>
      </c>
      <c r="B1815" s="1">
        <v>45540</v>
      </c>
      <c r="C1815" t="s">
        <v>42</v>
      </c>
      <c r="D1815" t="s">
        <v>43</v>
      </c>
      <c r="E1815">
        <v>3</v>
      </c>
      <c r="F1815" s="2">
        <v>349.99</v>
      </c>
      <c r="G1815">
        <v>0</v>
      </c>
      <c r="H1815" s="2">
        <v>349.99</v>
      </c>
      <c r="I1815" s="2">
        <v>1049.97</v>
      </c>
      <c r="J1815" t="s">
        <v>62</v>
      </c>
      <c r="K1815" t="s">
        <v>44</v>
      </c>
      <c r="L1815" t="s">
        <v>28</v>
      </c>
      <c r="M1815" t="s">
        <v>73</v>
      </c>
      <c r="N1815" t="s">
        <v>74</v>
      </c>
      <c r="O1815" t="s">
        <v>35</v>
      </c>
      <c r="Q1815" s="2">
        <f>Ventas[[#This Row],[precio_base]]*Ventas[[#This Row],[cantidad]]</f>
        <v>1049.97</v>
      </c>
      <c r="R1815" s="2">
        <f>Ventas[[#This Row],[Total bruto (antes de descuento)]]-Ventas[[#This Row],[total_venta]]</f>
        <v>0</v>
      </c>
    </row>
    <row r="1816" spans="1:18" x14ac:dyDescent="0.25">
      <c r="A1816" t="s">
        <v>1909</v>
      </c>
      <c r="B1816" s="1">
        <v>45369</v>
      </c>
      <c r="C1816" t="s">
        <v>37</v>
      </c>
      <c r="D1816" t="s">
        <v>38</v>
      </c>
      <c r="E1816">
        <v>1</v>
      </c>
      <c r="F1816" s="2">
        <v>34.99</v>
      </c>
      <c r="G1816">
        <v>15</v>
      </c>
      <c r="H1816" s="2">
        <v>29.74</v>
      </c>
      <c r="I1816" s="2">
        <v>29.74</v>
      </c>
      <c r="J1816" t="s">
        <v>19</v>
      </c>
      <c r="K1816" t="s">
        <v>20</v>
      </c>
      <c r="L1816" t="s">
        <v>28</v>
      </c>
      <c r="M1816" t="s">
        <v>39</v>
      </c>
      <c r="N1816" t="s">
        <v>40</v>
      </c>
      <c r="O1816" t="s">
        <v>35</v>
      </c>
      <c r="P1816">
        <v>3</v>
      </c>
      <c r="Q1816" s="2">
        <f>Ventas[[#This Row],[precio_base]]*Ventas[[#This Row],[cantidad]]</f>
        <v>34.99</v>
      </c>
      <c r="R1816" s="2">
        <f>Ventas[[#This Row],[Total bruto (antes de descuento)]]-Ventas[[#This Row],[total_venta]]</f>
        <v>5.2500000000000036</v>
      </c>
    </row>
    <row r="1817" spans="1:18" x14ac:dyDescent="0.25">
      <c r="A1817" t="s">
        <v>1910</v>
      </c>
      <c r="B1817" s="1">
        <v>45184</v>
      </c>
      <c r="C1817" t="s">
        <v>72</v>
      </c>
      <c r="D1817" t="s">
        <v>31</v>
      </c>
      <c r="E1817">
        <v>5</v>
      </c>
      <c r="F1817" s="2">
        <v>29.99</v>
      </c>
      <c r="G1817">
        <v>0</v>
      </c>
      <c r="H1817" s="2">
        <v>29.99</v>
      </c>
      <c r="I1817" s="2">
        <v>149.94999999999999</v>
      </c>
      <c r="J1817" t="s">
        <v>19</v>
      </c>
      <c r="K1817" t="s">
        <v>20</v>
      </c>
      <c r="L1817" t="s">
        <v>45</v>
      </c>
      <c r="M1817" t="s">
        <v>67</v>
      </c>
      <c r="N1817" t="s">
        <v>68</v>
      </c>
      <c r="O1817" t="s">
        <v>35</v>
      </c>
      <c r="P1817">
        <v>1</v>
      </c>
      <c r="Q1817" s="2">
        <f>Ventas[[#This Row],[precio_base]]*Ventas[[#This Row],[cantidad]]</f>
        <v>149.94999999999999</v>
      </c>
      <c r="R1817" s="2">
        <f>Ventas[[#This Row],[Total bruto (antes de descuento)]]-Ventas[[#This Row],[total_venta]]</f>
        <v>0</v>
      </c>
    </row>
    <row r="1818" spans="1:18" x14ac:dyDescent="0.25">
      <c r="A1818" t="s">
        <v>1911</v>
      </c>
      <c r="B1818" s="1">
        <v>45030</v>
      </c>
      <c r="C1818" t="s">
        <v>30</v>
      </c>
      <c r="D1818" t="s">
        <v>31</v>
      </c>
      <c r="E1818">
        <v>4</v>
      </c>
      <c r="F1818" s="2">
        <v>299.99</v>
      </c>
      <c r="G1818">
        <v>0</v>
      </c>
      <c r="H1818" s="2">
        <v>299.99</v>
      </c>
      <c r="I1818" s="2">
        <v>1199.96</v>
      </c>
      <c r="J1818" t="s">
        <v>19</v>
      </c>
      <c r="K1818" t="s">
        <v>44</v>
      </c>
      <c r="L1818" t="s">
        <v>28</v>
      </c>
      <c r="M1818" t="s">
        <v>22</v>
      </c>
      <c r="N1818" t="s">
        <v>23</v>
      </c>
      <c r="O1818" t="s">
        <v>24</v>
      </c>
      <c r="P1818">
        <v>1</v>
      </c>
      <c r="Q1818" s="2">
        <f>Ventas[[#This Row],[precio_base]]*Ventas[[#This Row],[cantidad]]</f>
        <v>1199.96</v>
      </c>
      <c r="R1818" s="2">
        <f>Ventas[[#This Row],[Total bruto (antes de descuento)]]-Ventas[[#This Row],[total_venta]]</f>
        <v>0</v>
      </c>
    </row>
    <row r="1819" spans="1:18" x14ac:dyDescent="0.25">
      <c r="A1819" t="s">
        <v>1912</v>
      </c>
      <c r="B1819" s="1">
        <v>45652</v>
      </c>
      <c r="C1819" t="s">
        <v>92</v>
      </c>
      <c r="D1819" t="s">
        <v>27</v>
      </c>
      <c r="E1819">
        <v>5</v>
      </c>
      <c r="F1819" s="2">
        <v>79.989999999999995</v>
      </c>
      <c r="G1819">
        <v>10</v>
      </c>
      <c r="H1819" s="2">
        <v>71.989999999999995</v>
      </c>
      <c r="I1819" s="2">
        <v>359.95</v>
      </c>
      <c r="J1819" t="s">
        <v>62</v>
      </c>
      <c r="K1819" t="s">
        <v>44</v>
      </c>
      <c r="L1819" t="s">
        <v>32</v>
      </c>
      <c r="M1819" t="s">
        <v>120</v>
      </c>
      <c r="N1819" t="s">
        <v>23</v>
      </c>
      <c r="O1819" t="s">
        <v>24</v>
      </c>
      <c r="Q1819" s="2">
        <f>Ventas[[#This Row],[precio_base]]*Ventas[[#This Row],[cantidad]]</f>
        <v>399.95</v>
      </c>
      <c r="R1819" s="2">
        <f>Ventas[[#This Row],[Total bruto (antes de descuento)]]-Ventas[[#This Row],[total_venta]]</f>
        <v>40</v>
      </c>
    </row>
    <row r="1820" spans="1:18" x14ac:dyDescent="0.25">
      <c r="A1820" t="s">
        <v>1913</v>
      </c>
      <c r="B1820" s="1">
        <v>45610</v>
      </c>
      <c r="C1820" t="s">
        <v>109</v>
      </c>
      <c r="D1820" t="s">
        <v>38</v>
      </c>
      <c r="E1820">
        <v>1</v>
      </c>
      <c r="F1820" s="2">
        <v>39.99</v>
      </c>
      <c r="G1820">
        <v>10</v>
      </c>
      <c r="H1820" s="2">
        <v>35.99</v>
      </c>
      <c r="I1820" s="2">
        <v>35.99</v>
      </c>
      <c r="J1820" t="s">
        <v>19</v>
      </c>
      <c r="K1820" t="s">
        <v>52</v>
      </c>
      <c r="L1820" t="s">
        <v>152</v>
      </c>
      <c r="M1820" t="s">
        <v>67</v>
      </c>
      <c r="N1820" t="s">
        <v>68</v>
      </c>
      <c r="O1820" t="s">
        <v>35</v>
      </c>
      <c r="P1820">
        <v>5</v>
      </c>
      <c r="Q1820" s="2">
        <f>Ventas[[#This Row],[precio_base]]*Ventas[[#This Row],[cantidad]]</f>
        <v>39.99</v>
      </c>
      <c r="R1820" s="2">
        <f>Ventas[[#This Row],[Total bruto (antes de descuento)]]-Ventas[[#This Row],[total_venta]]</f>
        <v>4</v>
      </c>
    </row>
    <row r="1821" spans="1:18" x14ac:dyDescent="0.25">
      <c r="A1821" t="s">
        <v>1914</v>
      </c>
      <c r="B1821" s="1">
        <v>45024</v>
      </c>
      <c r="C1821" t="s">
        <v>17</v>
      </c>
      <c r="D1821" t="s">
        <v>18</v>
      </c>
      <c r="E1821">
        <v>2</v>
      </c>
      <c r="F1821" s="2">
        <v>45.99</v>
      </c>
      <c r="G1821">
        <v>0</v>
      </c>
      <c r="H1821" s="2">
        <v>45.99</v>
      </c>
      <c r="I1821" s="2">
        <v>91.98</v>
      </c>
      <c r="J1821" t="s">
        <v>19</v>
      </c>
      <c r="K1821" t="s">
        <v>52</v>
      </c>
      <c r="L1821" t="s">
        <v>45</v>
      </c>
      <c r="M1821" t="s">
        <v>84</v>
      </c>
      <c r="N1821" t="s">
        <v>85</v>
      </c>
      <c r="O1821" t="s">
        <v>35</v>
      </c>
      <c r="P1821">
        <v>4</v>
      </c>
      <c r="Q1821" s="2">
        <f>Ventas[[#This Row],[precio_base]]*Ventas[[#This Row],[cantidad]]</f>
        <v>91.98</v>
      </c>
      <c r="R1821" s="2">
        <f>Ventas[[#This Row],[Total bruto (antes de descuento)]]-Ventas[[#This Row],[total_venta]]</f>
        <v>0</v>
      </c>
    </row>
    <row r="1822" spans="1:18" x14ac:dyDescent="0.25">
      <c r="A1822" t="s">
        <v>1915</v>
      </c>
      <c r="B1822" s="1">
        <v>44967</v>
      </c>
      <c r="C1822" t="s">
        <v>89</v>
      </c>
      <c r="D1822" t="s">
        <v>38</v>
      </c>
      <c r="E1822">
        <v>4</v>
      </c>
      <c r="F1822" s="2">
        <v>69.989999999999995</v>
      </c>
      <c r="G1822">
        <v>20</v>
      </c>
      <c r="H1822" s="2">
        <v>55.99</v>
      </c>
      <c r="I1822" s="2">
        <v>223.96</v>
      </c>
      <c r="J1822" t="s">
        <v>19</v>
      </c>
      <c r="K1822" t="s">
        <v>44</v>
      </c>
      <c r="L1822" t="s">
        <v>152</v>
      </c>
      <c r="M1822" t="s">
        <v>67</v>
      </c>
      <c r="N1822" t="s">
        <v>68</v>
      </c>
      <c r="O1822" t="s">
        <v>35</v>
      </c>
      <c r="P1822">
        <v>4</v>
      </c>
      <c r="Q1822" s="2">
        <f>Ventas[[#This Row],[precio_base]]*Ventas[[#This Row],[cantidad]]</f>
        <v>279.95999999999998</v>
      </c>
      <c r="R1822" s="2">
        <f>Ventas[[#This Row],[Total bruto (antes de descuento)]]-Ventas[[#This Row],[total_venta]]</f>
        <v>55.999999999999972</v>
      </c>
    </row>
    <row r="1823" spans="1:18" x14ac:dyDescent="0.25">
      <c r="A1823" t="s">
        <v>1916</v>
      </c>
      <c r="B1823" s="1">
        <v>45612</v>
      </c>
      <c r="C1823" t="s">
        <v>122</v>
      </c>
      <c r="D1823" t="s">
        <v>43</v>
      </c>
      <c r="E1823">
        <v>1</v>
      </c>
      <c r="F1823" s="2">
        <v>44.99</v>
      </c>
      <c r="G1823">
        <v>0</v>
      </c>
      <c r="H1823" s="2">
        <v>44.99</v>
      </c>
      <c r="I1823" s="2">
        <v>44.99</v>
      </c>
      <c r="J1823" t="s">
        <v>19</v>
      </c>
      <c r="K1823" t="s">
        <v>44</v>
      </c>
      <c r="L1823" t="s">
        <v>21</v>
      </c>
      <c r="M1823" t="s">
        <v>46</v>
      </c>
      <c r="N1823" t="s">
        <v>47</v>
      </c>
      <c r="O1823" t="s">
        <v>48</v>
      </c>
      <c r="P1823">
        <v>3</v>
      </c>
      <c r="Q1823" s="2">
        <f>Ventas[[#This Row],[precio_base]]*Ventas[[#This Row],[cantidad]]</f>
        <v>44.99</v>
      </c>
      <c r="R1823" s="2">
        <f>Ventas[[#This Row],[Total bruto (antes de descuento)]]-Ventas[[#This Row],[total_venta]]</f>
        <v>0</v>
      </c>
    </row>
    <row r="1824" spans="1:18" x14ac:dyDescent="0.25">
      <c r="A1824" t="s">
        <v>1917</v>
      </c>
      <c r="B1824" s="1">
        <v>45349</v>
      </c>
      <c r="C1824" t="s">
        <v>70</v>
      </c>
      <c r="D1824" t="s">
        <v>31</v>
      </c>
      <c r="E1824">
        <v>1</v>
      </c>
      <c r="F1824" s="2">
        <v>59.99</v>
      </c>
      <c r="G1824">
        <v>15</v>
      </c>
      <c r="H1824" s="2">
        <v>50.99</v>
      </c>
      <c r="I1824" s="2">
        <v>50.99</v>
      </c>
      <c r="J1824" t="s">
        <v>19</v>
      </c>
      <c r="K1824" t="s">
        <v>20</v>
      </c>
      <c r="L1824" t="s">
        <v>32</v>
      </c>
      <c r="M1824" t="s">
        <v>53</v>
      </c>
      <c r="N1824" t="s">
        <v>54</v>
      </c>
      <c r="O1824" t="s">
        <v>35</v>
      </c>
      <c r="P1824">
        <v>3</v>
      </c>
      <c r="Q1824" s="2">
        <f>Ventas[[#This Row],[precio_base]]*Ventas[[#This Row],[cantidad]]</f>
        <v>59.99</v>
      </c>
      <c r="R1824" s="2">
        <f>Ventas[[#This Row],[Total bruto (antes de descuento)]]-Ventas[[#This Row],[total_venta]]</f>
        <v>9</v>
      </c>
    </row>
    <row r="1825" spans="1:18" x14ac:dyDescent="0.25">
      <c r="A1825" t="s">
        <v>1918</v>
      </c>
      <c r="B1825" s="1">
        <v>45287</v>
      </c>
      <c r="C1825" t="s">
        <v>163</v>
      </c>
      <c r="D1825" t="s">
        <v>18</v>
      </c>
      <c r="E1825">
        <v>3</v>
      </c>
      <c r="F1825" s="2">
        <v>499.99</v>
      </c>
      <c r="G1825">
        <v>5</v>
      </c>
      <c r="H1825" s="2">
        <v>474.99</v>
      </c>
      <c r="I1825" s="2">
        <v>1424.97</v>
      </c>
      <c r="J1825" t="s">
        <v>51</v>
      </c>
      <c r="K1825" t="s">
        <v>44</v>
      </c>
      <c r="L1825" t="s">
        <v>152</v>
      </c>
      <c r="M1825" t="s">
        <v>123</v>
      </c>
      <c r="N1825" t="s">
        <v>124</v>
      </c>
      <c r="O1825" t="s">
        <v>24</v>
      </c>
      <c r="Q1825" s="2">
        <f>Ventas[[#This Row],[precio_base]]*Ventas[[#This Row],[cantidad]]</f>
        <v>1499.97</v>
      </c>
      <c r="R1825" s="2">
        <f>Ventas[[#This Row],[Total bruto (antes de descuento)]]-Ventas[[#This Row],[total_venta]]</f>
        <v>75</v>
      </c>
    </row>
    <row r="1826" spans="1:18" x14ac:dyDescent="0.25">
      <c r="A1826" t="s">
        <v>1919</v>
      </c>
      <c r="B1826" s="1">
        <v>45196</v>
      </c>
      <c r="C1826" t="s">
        <v>98</v>
      </c>
      <c r="D1826" t="s">
        <v>31</v>
      </c>
      <c r="E1826">
        <v>2</v>
      </c>
      <c r="F1826" s="2">
        <v>99.99</v>
      </c>
      <c r="G1826">
        <v>0</v>
      </c>
      <c r="H1826" s="2">
        <v>99.99</v>
      </c>
      <c r="I1826" s="2">
        <v>199.98</v>
      </c>
      <c r="J1826" t="s">
        <v>19</v>
      </c>
      <c r="K1826" t="s">
        <v>44</v>
      </c>
      <c r="L1826" t="s">
        <v>21</v>
      </c>
      <c r="M1826" t="s">
        <v>67</v>
      </c>
      <c r="N1826" t="s">
        <v>68</v>
      </c>
      <c r="O1826" t="s">
        <v>35</v>
      </c>
      <c r="P1826">
        <v>4</v>
      </c>
      <c r="Q1826" s="2">
        <f>Ventas[[#This Row],[precio_base]]*Ventas[[#This Row],[cantidad]]</f>
        <v>199.98</v>
      </c>
      <c r="R1826" s="2">
        <f>Ventas[[#This Row],[Total bruto (antes de descuento)]]-Ventas[[#This Row],[total_venta]]</f>
        <v>0</v>
      </c>
    </row>
    <row r="1827" spans="1:18" x14ac:dyDescent="0.25">
      <c r="A1827" t="s">
        <v>1920</v>
      </c>
      <c r="B1827" s="1">
        <v>45283</v>
      </c>
      <c r="C1827" t="s">
        <v>98</v>
      </c>
      <c r="D1827" t="s">
        <v>31</v>
      </c>
      <c r="E1827">
        <v>2</v>
      </c>
      <c r="F1827" s="2">
        <v>99.99</v>
      </c>
      <c r="G1827">
        <v>20</v>
      </c>
      <c r="H1827" s="2">
        <v>79.989999999999995</v>
      </c>
      <c r="I1827" s="2">
        <v>159.97999999999999</v>
      </c>
      <c r="J1827" t="s">
        <v>19</v>
      </c>
      <c r="K1827" t="s">
        <v>20</v>
      </c>
      <c r="L1827" t="s">
        <v>28</v>
      </c>
      <c r="M1827" t="s">
        <v>95</v>
      </c>
      <c r="N1827" t="s">
        <v>96</v>
      </c>
      <c r="O1827" t="s">
        <v>48</v>
      </c>
      <c r="P1827">
        <v>2</v>
      </c>
      <c r="Q1827" s="2">
        <f>Ventas[[#This Row],[precio_base]]*Ventas[[#This Row],[cantidad]]</f>
        <v>199.98</v>
      </c>
      <c r="R1827" s="2">
        <f>Ventas[[#This Row],[Total bruto (antes de descuento)]]-Ventas[[#This Row],[total_venta]]</f>
        <v>40</v>
      </c>
    </row>
    <row r="1828" spans="1:18" x14ac:dyDescent="0.25">
      <c r="A1828" t="s">
        <v>1921</v>
      </c>
      <c r="B1828" s="1">
        <v>45251</v>
      </c>
      <c r="C1828" t="s">
        <v>143</v>
      </c>
      <c r="D1828" t="s">
        <v>43</v>
      </c>
      <c r="E1828">
        <v>3</v>
      </c>
      <c r="F1828" s="2">
        <v>34.99</v>
      </c>
      <c r="G1828">
        <v>0</v>
      </c>
      <c r="H1828" s="2">
        <v>34.99</v>
      </c>
      <c r="I1828" s="2">
        <v>104.97</v>
      </c>
      <c r="J1828" t="s">
        <v>90</v>
      </c>
      <c r="K1828" t="s">
        <v>44</v>
      </c>
      <c r="L1828" t="s">
        <v>21</v>
      </c>
      <c r="M1828" t="s">
        <v>95</v>
      </c>
      <c r="N1828" t="s">
        <v>96</v>
      </c>
      <c r="O1828" t="s">
        <v>48</v>
      </c>
      <c r="Q1828" s="2">
        <f>Ventas[[#This Row],[precio_base]]*Ventas[[#This Row],[cantidad]]</f>
        <v>104.97</v>
      </c>
      <c r="R1828" s="2">
        <f>Ventas[[#This Row],[Total bruto (antes de descuento)]]-Ventas[[#This Row],[total_venta]]</f>
        <v>0</v>
      </c>
    </row>
    <row r="1829" spans="1:18" x14ac:dyDescent="0.25">
      <c r="A1829" t="s">
        <v>1922</v>
      </c>
      <c r="B1829" s="1">
        <v>45436</v>
      </c>
      <c r="C1829" t="s">
        <v>72</v>
      </c>
      <c r="D1829" t="s">
        <v>31</v>
      </c>
      <c r="E1829">
        <v>2</v>
      </c>
      <c r="F1829" s="2">
        <v>29.99</v>
      </c>
      <c r="G1829">
        <v>20</v>
      </c>
      <c r="H1829" s="2">
        <v>23.99</v>
      </c>
      <c r="I1829" s="2">
        <v>47.98</v>
      </c>
      <c r="J1829" t="s">
        <v>19</v>
      </c>
      <c r="K1829" t="s">
        <v>52</v>
      </c>
      <c r="L1829" t="s">
        <v>45</v>
      </c>
      <c r="M1829" t="s">
        <v>58</v>
      </c>
      <c r="N1829" t="s">
        <v>59</v>
      </c>
      <c r="O1829" t="s">
        <v>24</v>
      </c>
      <c r="P1829">
        <v>3</v>
      </c>
      <c r="Q1829" s="2">
        <f>Ventas[[#This Row],[precio_base]]*Ventas[[#This Row],[cantidad]]</f>
        <v>59.98</v>
      </c>
      <c r="R1829" s="2">
        <f>Ventas[[#This Row],[Total bruto (antes de descuento)]]-Ventas[[#This Row],[total_venta]]</f>
        <v>12</v>
      </c>
    </row>
    <row r="1830" spans="1:18" x14ac:dyDescent="0.25">
      <c r="A1830" t="s">
        <v>1923</v>
      </c>
      <c r="B1830" s="1">
        <v>45375</v>
      </c>
      <c r="C1830" t="s">
        <v>130</v>
      </c>
      <c r="D1830" t="s">
        <v>43</v>
      </c>
      <c r="E1830">
        <v>3</v>
      </c>
      <c r="F1830" s="2">
        <v>24.99</v>
      </c>
      <c r="G1830">
        <v>20</v>
      </c>
      <c r="H1830" s="2">
        <v>19.989999999999998</v>
      </c>
      <c r="I1830" s="2">
        <v>59.97</v>
      </c>
      <c r="J1830" t="s">
        <v>19</v>
      </c>
      <c r="K1830" t="s">
        <v>20</v>
      </c>
      <c r="L1830" t="s">
        <v>21</v>
      </c>
      <c r="M1830" t="s">
        <v>63</v>
      </c>
      <c r="N1830" t="s">
        <v>34</v>
      </c>
      <c r="O1830" t="s">
        <v>24</v>
      </c>
      <c r="P1830">
        <v>5</v>
      </c>
      <c r="Q1830" s="2">
        <f>Ventas[[#This Row],[precio_base]]*Ventas[[#This Row],[cantidad]]</f>
        <v>74.97</v>
      </c>
      <c r="R1830" s="2">
        <f>Ventas[[#This Row],[Total bruto (antes de descuento)]]-Ventas[[#This Row],[total_venta]]</f>
        <v>15</v>
      </c>
    </row>
    <row r="1831" spans="1:18" x14ac:dyDescent="0.25">
      <c r="A1831" t="s">
        <v>1924</v>
      </c>
      <c r="B1831" s="1">
        <v>45244</v>
      </c>
      <c r="C1831" t="s">
        <v>122</v>
      </c>
      <c r="D1831" t="s">
        <v>43</v>
      </c>
      <c r="E1831">
        <v>5</v>
      </c>
      <c r="F1831" s="2">
        <v>44.99</v>
      </c>
      <c r="G1831">
        <v>15</v>
      </c>
      <c r="H1831" s="2">
        <v>38.24</v>
      </c>
      <c r="I1831" s="2">
        <v>191.2</v>
      </c>
      <c r="J1831" t="s">
        <v>51</v>
      </c>
      <c r="K1831" t="s">
        <v>52</v>
      </c>
      <c r="L1831" t="s">
        <v>45</v>
      </c>
      <c r="M1831" t="s">
        <v>58</v>
      </c>
      <c r="N1831" t="s">
        <v>59</v>
      </c>
      <c r="O1831" t="s">
        <v>24</v>
      </c>
      <c r="Q1831" s="2">
        <f>Ventas[[#This Row],[precio_base]]*Ventas[[#This Row],[cantidad]]</f>
        <v>224.95000000000002</v>
      </c>
      <c r="R1831" s="2">
        <f>Ventas[[#This Row],[Total bruto (antes de descuento)]]-Ventas[[#This Row],[total_venta]]</f>
        <v>33.750000000000028</v>
      </c>
    </row>
    <row r="1832" spans="1:18" x14ac:dyDescent="0.25">
      <c r="A1832" t="s">
        <v>1925</v>
      </c>
      <c r="B1832" s="1">
        <v>45334</v>
      </c>
      <c r="C1832" t="s">
        <v>156</v>
      </c>
      <c r="D1832" t="s">
        <v>27</v>
      </c>
      <c r="E1832">
        <v>1</v>
      </c>
      <c r="F1832" s="2">
        <v>49.99</v>
      </c>
      <c r="G1832">
        <v>0</v>
      </c>
      <c r="H1832" s="2">
        <v>49.99</v>
      </c>
      <c r="I1832" s="2">
        <v>49.99</v>
      </c>
      <c r="J1832" t="s">
        <v>19</v>
      </c>
      <c r="K1832" t="s">
        <v>44</v>
      </c>
      <c r="L1832" t="s">
        <v>32</v>
      </c>
      <c r="M1832" t="s">
        <v>84</v>
      </c>
      <c r="N1832" t="s">
        <v>85</v>
      </c>
      <c r="O1832" t="s">
        <v>35</v>
      </c>
      <c r="P1832">
        <v>4</v>
      </c>
      <c r="Q1832" s="2">
        <f>Ventas[[#This Row],[precio_base]]*Ventas[[#This Row],[cantidad]]</f>
        <v>49.99</v>
      </c>
      <c r="R1832" s="2">
        <f>Ventas[[#This Row],[Total bruto (antes de descuento)]]-Ventas[[#This Row],[total_venta]]</f>
        <v>0</v>
      </c>
    </row>
    <row r="1833" spans="1:18" x14ac:dyDescent="0.25">
      <c r="A1833" t="s">
        <v>1926</v>
      </c>
      <c r="B1833" s="1">
        <v>45196</v>
      </c>
      <c r="C1833" t="s">
        <v>78</v>
      </c>
      <c r="D1833" t="s">
        <v>18</v>
      </c>
      <c r="E1833">
        <v>3</v>
      </c>
      <c r="F1833" s="2">
        <v>349.99</v>
      </c>
      <c r="G1833">
        <v>10</v>
      </c>
      <c r="H1833" s="2">
        <v>314.99</v>
      </c>
      <c r="I1833" s="2">
        <v>944.97</v>
      </c>
      <c r="J1833" t="s">
        <v>19</v>
      </c>
      <c r="K1833" t="s">
        <v>52</v>
      </c>
      <c r="L1833" t="s">
        <v>21</v>
      </c>
      <c r="M1833" t="s">
        <v>63</v>
      </c>
      <c r="N1833" t="s">
        <v>34</v>
      </c>
      <c r="O1833" t="s">
        <v>24</v>
      </c>
      <c r="P1833">
        <v>3</v>
      </c>
      <c r="Q1833" s="2">
        <f>Ventas[[#This Row],[precio_base]]*Ventas[[#This Row],[cantidad]]</f>
        <v>1049.97</v>
      </c>
      <c r="R1833" s="2">
        <f>Ventas[[#This Row],[Total bruto (antes de descuento)]]-Ventas[[#This Row],[total_venta]]</f>
        <v>105</v>
      </c>
    </row>
    <row r="1834" spans="1:18" x14ac:dyDescent="0.25">
      <c r="A1834" t="s">
        <v>1927</v>
      </c>
      <c r="B1834" s="1">
        <v>45555</v>
      </c>
      <c r="C1834" t="s">
        <v>26</v>
      </c>
      <c r="D1834" t="s">
        <v>27</v>
      </c>
      <c r="E1834">
        <v>1</v>
      </c>
      <c r="F1834" s="2">
        <v>399.99</v>
      </c>
      <c r="G1834">
        <v>0</v>
      </c>
      <c r="H1834" s="2">
        <v>399.99</v>
      </c>
      <c r="I1834" s="2">
        <v>399.99</v>
      </c>
      <c r="J1834" t="s">
        <v>116</v>
      </c>
      <c r="K1834" t="s">
        <v>52</v>
      </c>
      <c r="L1834" t="s">
        <v>21</v>
      </c>
      <c r="M1834" t="s">
        <v>101</v>
      </c>
      <c r="N1834" t="s">
        <v>102</v>
      </c>
      <c r="O1834" t="s">
        <v>35</v>
      </c>
      <c r="Q1834" s="2">
        <f>Ventas[[#This Row],[precio_base]]*Ventas[[#This Row],[cantidad]]</f>
        <v>399.99</v>
      </c>
      <c r="R1834" s="2">
        <f>Ventas[[#This Row],[Total bruto (antes de descuento)]]-Ventas[[#This Row],[total_venta]]</f>
        <v>0</v>
      </c>
    </row>
    <row r="1835" spans="1:18" x14ac:dyDescent="0.25">
      <c r="A1835" t="s">
        <v>1928</v>
      </c>
      <c r="B1835" s="1">
        <v>45085</v>
      </c>
      <c r="C1835" t="s">
        <v>81</v>
      </c>
      <c r="D1835" t="s">
        <v>31</v>
      </c>
      <c r="E1835">
        <v>3</v>
      </c>
      <c r="F1835" s="2">
        <v>189.99</v>
      </c>
      <c r="G1835">
        <v>0</v>
      </c>
      <c r="H1835" s="2">
        <v>189.99</v>
      </c>
      <c r="I1835" s="2">
        <v>569.97</v>
      </c>
      <c r="J1835" t="s">
        <v>19</v>
      </c>
      <c r="K1835" t="s">
        <v>44</v>
      </c>
      <c r="L1835" t="s">
        <v>21</v>
      </c>
      <c r="M1835" t="s">
        <v>67</v>
      </c>
      <c r="N1835" t="s">
        <v>68</v>
      </c>
      <c r="O1835" t="s">
        <v>35</v>
      </c>
      <c r="P1835">
        <v>2</v>
      </c>
      <c r="Q1835" s="2">
        <f>Ventas[[#This Row],[precio_base]]*Ventas[[#This Row],[cantidad]]</f>
        <v>569.97</v>
      </c>
      <c r="R1835" s="2">
        <f>Ventas[[#This Row],[Total bruto (antes de descuento)]]-Ventas[[#This Row],[total_venta]]</f>
        <v>0</v>
      </c>
    </row>
    <row r="1836" spans="1:18" x14ac:dyDescent="0.25">
      <c r="A1836" t="s">
        <v>1929</v>
      </c>
      <c r="B1836" s="1">
        <v>45377</v>
      </c>
      <c r="C1836" t="s">
        <v>72</v>
      </c>
      <c r="D1836" t="s">
        <v>31</v>
      </c>
      <c r="E1836">
        <v>2</v>
      </c>
      <c r="F1836" s="2">
        <v>29.99</v>
      </c>
      <c r="G1836">
        <v>0</v>
      </c>
      <c r="H1836" s="2">
        <v>29.99</v>
      </c>
      <c r="I1836" s="2">
        <v>59.98</v>
      </c>
      <c r="J1836" t="s">
        <v>19</v>
      </c>
      <c r="K1836" t="s">
        <v>57</v>
      </c>
      <c r="L1836" t="s">
        <v>32</v>
      </c>
      <c r="M1836" t="s">
        <v>22</v>
      </c>
      <c r="N1836" t="s">
        <v>23</v>
      </c>
      <c r="O1836" t="s">
        <v>24</v>
      </c>
      <c r="P1836">
        <v>4</v>
      </c>
      <c r="Q1836" s="2">
        <f>Ventas[[#This Row],[precio_base]]*Ventas[[#This Row],[cantidad]]</f>
        <v>59.98</v>
      </c>
      <c r="R1836" s="2">
        <f>Ventas[[#This Row],[Total bruto (antes de descuento)]]-Ventas[[#This Row],[total_venta]]</f>
        <v>0</v>
      </c>
    </row>
    <row r="1837" spans="1:18" x14ac:dyDescent="0.25">
      <c r="A1837" t="s">
        <v>1930</v>
      </c>
      <c r="B1837" s="1">
        <v>45376</v>
      </c>
      <c r="C1837" t="s">
        <v>37</v>
      </c>
      <c r="D1837" t="s">
        <v>38</v>
      </c>
      <c r="E1837">
        <v>5</v>
      </c>
      <c r="F1837" s="2">
        <v>34.99</v>
      </c>
      <c r="G1837">
        <v>10</v>
      </c>
      <c r="H1837" s="2">
        <v>31.49</v>
      </c>
      <c r="I1837" s="2">
        <v>157.44999999999999</v>
      </c>
      <c r="J1837" t="s">
        <v>116</v>
      </c>
      <c r="K1837" t="s">
        <v>20</v>
      </c>
      <c r="L1837" t="s">
        <v>32</v>
      </c>
      <c r="M1837" t="s">
        <v>22</v>
      </c>
      <c r="N1837" t="s">
        <v>23</v>
      </c>
      <c r="O1837" t="s">
        <v>24</v>
      </c>
      <c r="Q1837" s="2">
        <f>Ventas[[#This Row],[precio_base]]*Ventas[[#This Row],[cantidad]]</f>
        <v>174.95000000000002</v>
      </c>
      <c r="R1837" s="2">
        <f>Ventas[[#This Row],[Total bruto (antes de descuento)]]-Ventas[[#This Row],[total_venta]]</f>
        <v>17.500000000000028</v>
      </c>
    </row>
    <row r="1838" spans="1:18" x14ac:dyDescent="0.25">
      <c r="A1838" t="s">
        <v>1931</v>
      </c>
      <c r="B1838" s="1">
        <v>45521</v>
      </c>
      <c r="C1838" t="s">
        <v>109</v>
      </c>
      <c r="D1838" t="s">
        <v>38</v>
      </c>
      <c r="E1838">
        <v>5</v>
      </c>
      <c r="F1838" s="2">
        <v>39.99</v>
      </c>
      <c r="G1838">
        <v>5</v>
      </c>
      <c r="H1838" s="2">
        <v>37.99</v>
      </c>
      <c r="I1838" s="2">
        <v>189.95</v>
      </c>
      <c r="J1838" t="s">
        <v>51</v>
      </c>
      <c r="K1838" t="s">
        <v>52</v>
      </c>
      <c r="L1838" t="s">
        <v>45</v>
      </c>
      <c r="M1838" t="s">
        <v>84</v>
      </c>
      <c r="N1838" t="s">
        <v>85</v>
      </c>
      <c r="O1838" t="s">
        <v>35</v>
      </c>
      <c r="Q1838" s="2">
        <f>Ventas[[#This Row],[precio_base]]*Ventas[[#This Row],[cantidad]]</f>
        <v>199.95000000000002</v>
      </c>
      <c r="R1838" s="2">
        <f>Ventas[[#This Row],[Total bruto (antes de descuento)]]-Ventas[[#This Row],[total_venta]]</f>
        <v>10.000000000000028</v>
      </c>
    </row>
    <row r="1839" spans="1:18" x14ac:dyDescent="0.25">
      <c r="A1839" t="s">
        <v>1932</v>
      </c>
      <c r="B1839" s="1">
        <v>45196</v>
      </c>
      <c r="C1839" t="s">
        <v>37</v>
      </c>
      <c r="D1839" t="s">
        <v>38</v>
      </c>
      <c r="E1839">
        <v>3</v>
      </c>
      <c r="F1839" s="2">
        <v>34.99</v>
      </c>
      <c r="G1839">
        <v>0</v>
      </c>
      <c r="H1839" s="2">
        <v>34.99</v>
      </c>
      <c r="I1839" s="2">
        <v>104.97</v>
      </c>
      <c r="J1839" t="s">
        <v>90</v>
      </c>
      <c r="K1839" t="s">
        <v>20</v>
      </c>
      <c r="L1839" t="s">
        <v>45</v>
      </c>
      <c r="M1839" t="s">
        <v>53</v>
      </c>
      <c r="N1839" t="s">
        <v>54</v>
      </c>
      <c r="O1839" t="s">
        <v>35</v>
      </c>
      <c r="Q1839" s="2">
        <f>Ventas[[#This Row],[precio_base]]*Ventas[[#This Row],[cantidad]]</f>
        <v>104.97</v>
      </c>
      <c r="R1839" s="2">
        <f>Ventas[[#This Row],[Total bruto (antes de descuento)]]-Ventas[[#This Row],[total_venta]]</f>
        <v>0</v>
      </c>
    </row>
    <row r="1840" spans="1:18" x14ac:dyDescent="0.25">
      <c r="A1840" t="s">
        <v>1933</v>
      </c>
      <c r="B1840" s="1">
        <v>45005</v>
      </c>
      <c r="C1840" t="s">
        <v>30</v>
      </c>
      <c r="D1840" t="s">
        <v>31</v>
      </c>
      <c r="E1840">
        <v>2</v>
      </c>
      <c r="F1840" s="2">
        <v>299.99</v>
      </c>
      <c r="G1840">
        <v>0</v>
      </c>
      <c r="H1840" s="2">
        <v>299.99</v>
      </c>
      <c r="I1840" s="2">
        <v>599.98</v>
      </c>
      <c r="J1840" t="s">
        <v>62</v>
      </c>
      <c r="K1840" t="s">
        <v>20</v>
      </c>
      <c r="L1840" t="s">
        <v>45</v>
      </c>
      <c r="M1840" t="s">
        <v>84</v>
      </c>
      <c r="N1840" t="s">
        <v>85</v>
      </c>
      <c r="O1840" t="s">
        <v>35</v>
      </c>
      <c r="Q1840" s="2">
        <f>Ventas[[#This Row],[precio_base]]*Ventas[[#This Row],[cantidad]]</f>
        <v>599.98</v>
      </c>
      <c r="R1840" s="2">
        <f>Ventas[[#This Row],[Total bruto (antes de descuento)]]-Ventas[[#This Row],[total_venta]]</f>
        <v>0</v>
      </c>
    </row>
    <row r="1841" spans="1:18" x14ac:dyDescent="0.25">
      <c r="A1841" t="s">
        <v>1934</v>
      </c>
      <c r="B1841" s="1">
        <v>45058</v>
      </c>
      <c r="C1841" t="s">
        <v>17</v>
      </c>
      <c r="D1841" t="s">
        <v>18</v>
      </c>
      <c r="E1841">
        <v>5</v>
      </c>
      <c r="F1841" s="2">
        <v>45.99</v>
      </c>
      <c r="G1841">
        <v>15</v>
      </c>
      <c r="H1841" s="2">
        <v>39.090000000000003</v>
      </c>
      <c r="I1841" s="2">
        <v>195.45</v>
      </c>
      <c r="J1841" t="s">
        <v>19</v>
      </c>
      <c r="K1841" t="s">
        <v>20</v>
      </c>
      <c r="L1841" t="s">
        <v>32</v>
      </c>
      <c r="M1841" t="s">
        <v>123</v>
      </c>
      <c r="N1841" t="s">
        <v>124</v>
      </c>
      <c r="O1841" t="s">
        <v>24</v>
      </c>
      <c r="P1841">
        <v>2</v>
      </c>
      <c r="Q1841" s="2">
        <f>Ventas[[#This Row],[precio_base]]*Ventas[[#This Row],[cantidad]]</f>
        <v>229.95000000000002</v>
      </c>
      <c r="R1841" s="2">
        <f>Ventas[[#This Row],[Total bruto (antes de descuento)]]-Ventas[[#This Row],[total_venta]]</f>
        <v>34.500000000000028</v>
      </c>
    </row>
    <row r="1842" spans="1:18" x14ac:dyDescent="0.25">
      <c r="A1842" t="s">
        <v>1935</v>
      </c>
      <c r="B1842" s="1">
        <v>45283</v>
      </c>
      <c r="C1842" t="s">
        <v>30</v>
      </c>
      <c r="D1842" t="s">
        <v>31</v>
      </c>
      <c r="E1842">
        <v>5</v>
      </c>
      <c r="F1842" s="2">
        <v>299.99</v>
      </c>
      <c r="G1842">
        <v>20</v>
      </c>
      <c r="H1842" s="2">
        <v>239.99</v>
      </c>
      <c r="I1842" s="2">
        <v>1199.95</v>
      </c>
      <c r="J1842" t="s">
        <v>116</v>
      </c>
      <c r="K1842" t="s">
        <v>20</v>
      </c>
      <c r="L1842" t="s">
        <v>32</v>
      </c>
      <c r="M1842" t="s">
        <v>101</v>
      </c>
      <c r="N1842" t="s">
        <v>102</v>
      </c>
      <c r="O1842" t="s">
        <v>35</v>
      </c>
      <c r="Q1842" s="2">
        <f>Ventas[[#This Row],[precio_base]]*Ventas[[#This Row],[cantidad]]</f>
        <v>1499.95</v>
      </c>
      <c r="R1842" s="2">
        <f>Ventas[[#This Row],[Total bruto (antes de descuento)]]-Ventas[[#This Row],[total_venta]]</f>
        <v>300</v>
      </c>
    </row>
    <row r="1843" spans="1:18" x14ac:dyDescent="0.25">
      <c r="A1843" t="s">
        <v>1936</v>
      </c>
      <c r="B1843" s="1">
        <v>45398</v>
      </c>
      <c r="C1843" t="s">
        <v>156</v>
      </c>
      <c r="D1843" t="s">
        <v>27</v>
      </c>
      <c r="E1843">
        <v>4</v>
      </c>
      <c r="F1843" s="2">
        <v>49.99</v>
      </c>
      <c r="G1843">
        <v>5</v>
      </c>
      <c r="H1843" s="2">
        <v>47.49</v>
      </c>
      <c r="I1843" s="2">
        <v>189.96</v>
      </c>
      <c r="J1843" t="s">
        <v>19</v>
      </c>
      <c r="K1843" t="s">
        <v>57</v>
      </c>
      <c r="L1843" t="s">
        <v>21</v>
      </c>
      <c r="M1843" t="s">
        <v>95</v>
      </c>
      <c r="N1843" t="s">
        <v>96</v>
      </c>
      <c r="O1843" t="s">
        <v>48</v>
      </c>
      <c r="P1843">
        <v>5</v>
      </c>
      <c r="Q1843" s="2">
        <f>Ventas[[#This Row],[precio_base]]*Ventas[[#This Row],[cantidad]]</f>
        <v>199.96</v>
      </c>
      <c r="R1843" s="2">
        <f>Ventas[[#This Row],[Total bruto (antes de descuento)]]-Ventas[[#This Row],[total_venta]]</f>
        <v>10</v>
      </c>
    </row>
    <row r="1844" spans="1:18" x14ac:dyDescent="0.25">
      <c r="A1844" t="s">
        <v>1937</v>
      </c>
      <c r="B1844" s="1">
        <v>45386</v>
      </c>
      <c r="C1844" t="s">
        <v>50</v>
      </c>
      <c r="D1844" t="s">
        <v>27</v>
      </c>
      <c r="E1844">
        <v>1</v>
      </c>
      <c r="F1844" s="2">
        <v>149.99</v>
      </c>
      <c r="G1844">
        <v>0</v>
      </c>
      <c r="H1844" s="2">
        <v>149.99</v>
      </c>
      <c r="I1844" s="2">
        <v>149.99</v>
      </c>
      <c r="J1844" t="s">
        <v>19</v>
      </c>
      <c r="K1844" t="s">
        <v>20</v>
      </c>
      <c r="L1844" t="s">
        <v>28</v>
      </c>
      <c r="M1844" t="s">
        <v>84</v>
      </c>
      <c r="N1844" t="s">
        <v>85</v>
      </c>
      <c r="O1844" t="s">
        <v>35</v>
      </c>
      <c r="P1844">
        <v>1</v>
      </c>
      <c r="Q1844" s="2">
        <f>Ventas[[#This Row],[precio_base]]*Ventas[[#This Row],[cantidad]]</f>
        <v>149.99</v>
      </c>
      <c r="R1844" s="2">
        <f>Ventas[[#This Row],[Total bruto (antes de descuento)]]-Ventas[[#This Row],[total_venta]]</f>
        <v>0</v>
      </c>
    </row>
    <row r="1845" spans="1:18" x14ac:dyDescent="0.25">
      <c r="A1845" t="s">
        <v>1938</v>
      </c>
      <c r="B1845" s="1">
        <v>45209</v>
      </c>
      <c r="C1845" t="s">
        <v>26</v>
      </c>
      <c r="D1845" t="s">
        <v>27</v>
      </c>
      <c r="E1845">
        <v>3</v>
      </c>
      <c r="F1845" s="2">
        <v>399.99</v>
      </c>
      <c r="G1845">
        <v>15</v>
      </c>
      <c r="H1845" s="2">
        <v>339.99</v>
      </c>
      <c r="I1845" s="2">
        <v>1019.97</v>
      </c>
      <c r="J1845" t="s">
        <v>19</v>
      </c>
      <c r="K1845" t="s">
        <v>44</v>
      </c>
      <c r="L1845" t="s">
        <v>28</v>
      </c>
      <c r="M1845" t="s">
        <v>33</v>
      </c>
      <c r="N1845" t="s">
        <v>34</v>
      </c>
      <c r="O1845" t="s">
        <v>35</v>
      </c>
      <c r="P1845">
        <v>2</v>
      </c>
      <c r="Q1845" s="2">
        <f>Ventas[[#This Row],[precio_base]]*Ventas[[#This Row],[cantidad]]</f>
        <v>1199.97</v>
      </c>
      <c r="R1845" s="2">
        <f>Ventas[[#This Row],[Total bruto (antes de descuento)]]-Ventas[[#This Row],[total_venta]]</f>
        <v>180</v>
      </c>
    </row>
    <row r="1846" spans="1:18" x14ac:dyDescent="0.25">
      <c r="A1846" t="s">
        <v>1939</v>
      </c>
      <c r="B1846" s="1">
        <v>45332</v>
      </c>
      <c r="C1846" t="s">
        <v>115</v>
      </c>
      <c r="D1846" t="s">
        <v>18</v>
      </c>
      <c r="E1846">
        <v>4</v>
      </c>
      <c r="F1846" s="2">
        <v>799.99</v>
      </c>
      <c r="G1846">
        <v>0</v>
      </c>
      <c r="H1846" s="2">
        <v>799.99</v>
      </c>
      <c r="I1846" s="2">
        <v>3199.96</v>
      </c>
      <c r="J1846" t="s">
        <v>19</v>
      </c>
      <c r="K1846" t="s">
        <v>20</v>
      </c>
      <c r="L1846" t="s">
        <v>21</v>
      </c>
      <c r="M1846" t="s">
        <v>73</v>
      </c>
      <c r="N1846" t="s">
        <v>74</v>
      </c>
      <c r="O1846" t="s">
        <v>35</v>
      </c>
      <c r="P1846">
        <v>5</v>
      </c>
      <c r="Q1846" s="2">
        <f>Ventas[[#This Row],[precio_base]]*Ventas[[#This Row],[cantidad]]</f>
        <v>3199.96</v>
      </c>
      <c r="R1846" s="2">
        <f>Ventas[[#This Row],[Total bruto (antes de descuento)]]-Ventas[[#This Row],[total_venta]]</f>
        <v>0</v>
      </c>
    </row>
    <row r="1847" spans="1:18" x14ac:dyDescent="0.25">
      <c r="A1847" t="s">
        <v>1940</v>
      </c>
      <c r="B1847" s="1">
        <v>45343</v>
      </c>
      <c r="C1847" t="s">
        <v>78</v>
      </c>
      <c r="D1847" t="s">
        <v>18</v>
      </c>
      <c r="E1847">
        <v>5</v>
      </c>
      <c r="F1847" s="2">
        <v>349.99</v>
      </c>
      <c r="G1847">
        <v>15</v>
      </c>
      <c r="H1847" s="2">
        <v>297.49</v>
      </c>
      <c r="I1847" s="2">
        <v>1487.45</v>
      </c>
      <c r="J1847" t="s">
        <v>19</v>
      </c>
      <c r="K1847" t="s">
        <v>20</v>
      </c>
      <c r="L1847" t="s">
        <v>28</v>
      </c>
      <c r="M1847" t="s">
        <v>67</v>
      </c>
      <c r="N1847" t="s">
        <v>68</v>
      </c>
      <c r="O1847" t="s">
        <v>35</v>
      </c>
      <c r="P1847">
        <v>3</v>
      </c>
      <c r="Q1847" s="2">
        <f>Ventas[[#This Row],[precio_base]]*Ventas[[#This Row],[cantidad]]</f>
        <v>1749.95</v>
      </c>
      <c r="R1847" s="2">
        <f>Ventas[[#This Row],[Total bruto (antes de descuento)]]-Ventas[[#This Row],[total_venta]]</f>
        <v>262.5</v>
      </c>
    </row>
    <row r="1848" spans="1:18" x14ac:dyDescent="0.25">
      <c r="A1848" t="s">
        <v>1941</v>
      </c>
      <c r="B1848" s="1">
        <v>45528</v>
      </c>
      <c r="C1848" t="s">
        <v>17</v>
      </c>
      <c r="D1848" t="s">
        <v>18</v>
      </c>
      <c r="E1848">
        <v>1</v>
      </c>
      <c r="F1848" s="2">
        <v>45.99</v>
      </c>
      <c r="G1848">
        <v>10</v>
      </c>
      <c r="H1848" s="2">
        <v>41.39</v>
      </c>
      <c r="I1848" s="2">
        <v>41.39</v>
      </c>
      <c r="J1848" t="s">
        <v>19</v>
      </c>
      <c r="K1848" t="s">
        <v>44</v>
      </c>
      <c r="L1848" t="s">
        <v>28</v>
      </c>
      <c r="M1848" t="s">
        <v>120</v>
      </c>
      <c r="N1848" t="s">
        <v>23</v>
      </c>
      <c r="O1848" t="s">
        <v>24</v>
      </c>
      <c r="P1848">
        <v>2</v>
      </c>
      <c r="Q1848" s="2">
        <f>Ventas[[#This Row],[precio_base]]*Ventas[[#This Row],[cantidad]]</f>
        <v>45.99</v>
      </c>
      <c r="R1848" s="2">
        <f>Ventas[[#This Row],[Total bruto (antes de descuento)]]-Ventas[[#This Row],[total_venta]]</f>
        <v>4.6000000000000014</v>
      </c>
    </row>
    <row r="1849" spans="1:18" x14ac:dyDescent="0.25">
      <c r="A1849" t="s">
        <v>1942</v>
      </c>
      <c r="B1849" s="1">
        <v>45542</v>
      </c>
      <c r="C1849" t="s">
        <v>98</v>
      </c>
      <c r="D1849" t="s">
        <v>31</v>
      </c>
      <c r="E1849">
        <v>2</v>
      </c>
      <c r="F1849" s="2">
        <v>99.99</v>
      </c>
      <c r="G1849">
        <v>20</v>
      </c>
      <c r="H1849" s="2">
        <v>79.989999999999995</v>
      </c>
      <c r="I1849" s="2">
        <v>159.97999999999999</v>
      </c>
      <c r="J1849" t="s">
        <v>19</v>
      </c>
      <c r="K1849" t="s">
        <v>52</v>
      </c>
      <c r="L1849" t="s">
        <v>28</v>
      </c>
      <c r="M1849" t="s">
        <v>73</v>
      </c>
      <c r="N1849" t="s">
        <v>74</v>
      </c>
      <c r="O1849" t="s">
        <v>35</v>
      </c>
      <c r="P1849">
        <v>3</v>
      </c>
      <c r="Q1849" s="2">
        <f>Ventas[[#This Row],[precio_base]]*Ventas[[#This Row],[cantidad]]</f>
        <v>199.98</v>
      </c>
      <c r="R1849" s="2">
        <f>Ventas[[#This Row],[Total bruto (antes de descuento)]]-Ventas[[#This Row],[total_venta]]</f>
        <v>40</v>
      </c>
    </row>
    <row r="1850" spans="1:18" x14ac:dyDescent="0.25">
      <c r="A1850" t="s">
        <v>1943</v>
      </c>
      <c r="B1850" s="1">
        <v>45018</v>
      </c>
      <c r="C1850" t="s">
        <v>17</v>
      </c>
      <c r="D1850" t="s">
        <v>18</v>
      </c>
      <c r="E1850">
        <v>4</v>
      </c>
      <c r="F1850" s="2">
        <v>45.99</v>
      </c>
      <c r="G1850">
        <v>10</v>
      </c>
      <c r="H1850" s="2">
        <v>41.39</v>
      </c>
      <c r="I1850" s="2">
        <v>165.56</v>
      </c>
      <c r="J1850" t="s">
        <v>51</v>
      </c>
      <c r="K1850" t="s">
        <v>20</v>
      </c>
      <c r="L1850" t="s">
        <v>45</v>
      </c>
      <c r="M1850" t="s">
        <v>73</v>
      </c>
      <c r="N1850" t="s">
        <v>74</v>
      </c>
      <c r="O1850" t="s">
        <v>35</v>
      </c>
      <c r="Q1850" s="2">
        <f>Ventas[[#This Row],[precio_base]]*Ventas[[#This Row],[cantidad]]</f>
        <v>183.96</v>
      </c>
      <c r="R1850" s="2">
        <f>Ventas[[#This Row],[Total bruto (antes de descuento)]]-Ventas[[#This Row],[total_venta]]</f>
        <v>18.400000000000006</v>
      </c>
    </row>
    <row r="1851" spans="1:18" x14ac:dyDescent="0.25">
      <c r="A1851" t="s">
        <v>1944</v>
      </c>
      <c r="B1851" s="1">
        <v>45640</v>
      </c>
      <c r="C1851" t="s">
        <v>92</v>
      </c>
      <c r="D1851" t="s">
        <v>27</v>
      </c>
      <c r="E1851">
        <v>2</v>
      </c>
      <c r="F1851" s="2">
        <v>79.989999999999995</v>
      </c>
      <c r="G1851">
        <v>20</v>
      </c>
      <c r="H1851" s="2">
        <v>63.99</v>
      </c>
      <c r="I1851" s="2">
        <v>127.98</v>
      </c>
      <c r="J1851" t="s">
        <v>19</v>
      </c>
      <c r="K1851" t="s">
        <v>20</v>
      </c>
      <c r="L1851" t="s">
        <v>21</v>
      </c>
      <c r="M1851" t="s">
        <v>95</v>
      </c>
      <c r="N1851" t="s">
        <v>96</v>
      </c>
      <c r="O1851" t="s">
        <v>48</v>
      </c>
      <c r="P1851">
        <v>4</v>
      </c>
      <c r="Q1851" s="2">
        <f>Ventas[[#This Row],[precio_base]]*Ventas[[#This Row],[cantidad]]</f>
        <v>159.97999999999999</v>
      </c>
      <c r="R1851" s="2">
        <f>Ventas[[#This Row],[Total bruto (antes de descuento)]]-Ventas[[#This Row],[total_venta]]</f>
        <v>31.999999999999986</v>
      </c>
    </row>
    <row r="1852" spans="1:18" x14ac:dyDescent="0.25">
      <c r="A1852" t="s">
        <v>1945</v>
      </c>
      <c r="B1852" s="1">
        <v>45185</v>
      </c>
      <c r="C1852" t="s">
        <v>92</v>
      </c>
      <c r="D1852" t="s">
        <v>27</v>
      </c>
      <c r="E1852">
        <v>1</v>
      </c>
      <c r="F1852" s="2">
        <v>79.989999999999995</v>
      </c>
      <c r="G1852">
        <v>0</v>
      </c>
      <c r="H1852" s="2">
        <v>79.989999999999995</v>
      </c>
      <c r="I1852" s="2">
        <v>79.989999999999995</v>
      </c>
      <c r="J1852" t="s">
        <v>19</v>
      </c>
      <c r="K1852" t="s">
        <v>20</v>
      </c>
      <c r="L1852" t="s">
        <v>152</v>
      </c>
      <c r="M1852" t="s">
        <v>22</v>
      </c>
      <c r="N1852" t="s">
        <v>23</v>
      </c>
      <c r="O1852" t="s">
        <v>24</v>
      </c>
      <c r="P1852">
        <v>1</v>
      </c>
      <c r="Q1852" s="2">
        <f>Ventas[[#This Row],[precio_base]]*Ventas[[#This Row],[cantidad]]</f>
        <v>79.989999999999995</v>
      </c>
      <c r="R1852" s="2">
        <f>Ventas[[#This Row],[Total bruto (antes de descuento)]]-Ventas[[#This Row],[total_venta]]</f>
        <v>0</v>
      </c>
    </row>
    <row r="1853" spans="1:18" x14ac:dyDescent="0.25">
      <c r="A1853" t="s">
        <v>1946</v>
      </c>
      <c r="B1853" s="1">
        <v>45274</v>
      </c>
      <c r="C1853" t="s">
        <v>151</v>
      </c>
      <c r="D1853" t="s">
        <v>27</v>
      </c>
      <c r="E1853">
        <v>1</v>
      </c>
      <c r="F1853" s="2">
        <v>599.99</v>
      </c>
      <c r="G1853">
        <v>10</v>
      </c>
      <c r="H1853" s="2">
        <v>539.99</v>
      </c>
      <c r="I1853" s="2">
        <v>539.99</v>
      </c>
      <c r="J1853" t="s">
        <v>19</v>
      </c>
      <c r="K1853" t="s">
        <v>44</v>
      </c>
      <c r="L1853" t="s">
        <v>152</v>
      </c>
      <c r="M1853" t="s">
        <v>53</v>
      </c>
      <c r="N1853" t="s">
        <v>54</v>
      </c>
      <c r="O1853" t="s">
        <v>35</v>
      </c>
      <c r="P1853">
        <v>1</v>
      </c>
      <c r="Q1853" s="2">
        <f>Ventas[[#This Row],[precio_base]]*Ventas[[#This Row],[cantidad]]</f>
        <v>599.99</v>
      </c>
      <c r="R1853" s="2">
        <f>Ventas[[#This Row],[Total bruto (antes de descuento)]]-Ventas[[#This Row],[total_venta]]</f>
        <v>60</v>
      </c>
    </row>
    <row r="1854" spans="1:18" x14ac:dyDescent="0.25">
      <c r="A1854" t="s">
        <v>1947</v>
      </c>
      <c r="B1854" s="1">
        <v>45626</v>
      </c>
      <c r="C1854" t="s">
        <v>89</v>
      </c>
      <c r="D1854" t="s">
        <v>38</v>
      </c>
      <c r="E1854">
        <v>1</v>
      </c>
      <c r="F1854" s="2">
        <v>69.989999999999995</v>
      </c>
      <c r="G1854">
        <v>0</v>
      </c>
      <c r="H1854" s="2">
        <v>69.989999999999995</v>
      </c>
      <c r="I1854" s="2">
        <v>69.989999999999995</v>
      </c>
      <c r="J1854" t="s">
        <v>19</v>
      </c>
      <c r="K1854" t="s">
        <v>20</v>
      </c>
      <c r="L1854" t="s">
        <v>21</v>
      </c>
      <c r="M1854" t="s">
        <v>65</v>
      </c>
      <c r="N1854" t="s">
        <v>54</v>
      </c>
      <c r="O1854" t="s">
        <v>35</v>
      </c>
      <c r="P1854">
        <v>3</v>
      </c>
      <c r="Q1854" s="2">
        <f>Ventas[[#This Row],[precio_base]]*Ventas[[#This Row],[cantidad]]</f>
        <v>69.989999999999995</v>
      </c>
      <c r="R1854" s="2">
        <f>Ventas[[#This Row],[Total bruto (antes de descuento)]]-Ventas[[#This Row],[total_venta]]</f>
        <v>0</v>
      </c>
    </row>
    <row r="1855" spans="1:18" x14ac:dyDescent="0.25">
      <c r="A1855" t="s">
        <v>1948</v>
      </c>
      <c r="B1855" s="1">
        <v>44955</v>
      </c>
      <c r="C1855" t="s">
        <v>70</v>
      </c>
      <c r="D1855" t="s">
        <v>31</v>
      </c>
      <c r="E1855">
        <v>5</v>
      </c>
      <c r="F1855" s="2">
        <v>59.99</v>
      </c>
      <c r="G1855">
        <v>10</v>
      </c>
      <c r="H1855" s="2">
        <v>53.99</v>
      </c>
      <c r="I1855" s="2">
        <v>269.95</v>
      </c>
      <c r="J1855" t="s">
        <v>19</v>
      </c>
      <c r="K1855" t="s">
        <v>57</v>
      </c>
      <c r="L1855" t="s">
        <v>21</v>
      </c>
      <c r="M1855" t="s">
        <v>95</v>
      </c>
      <c r="N1855" t="s">
        <v>96</v>
      </c>
      <c r="O1855" t="s">
        <v>48</v>
      </c>
      <c r="P1855">
        <v>5</v>
      </c>
      <c r="Q1855" s="2">
        <f>Ventas[[#This Row],[precio_base]]*Ventas[[#This Row],[cantidad]]</f>
        <v>299.95</v>
      </c>
      <c r="R1855" s="2">
        <f>Ventas[[#This Row],[Total bruto (antes de descuento)]]-Ventas[[#This Row],[total_venta]]</f>
        <v>30</v>
      </c>
    </row>
    <row r="1856" spans="1:18" x14ac:dyDescent="0.25">
      <c r="A1856" t="s">
        <v>1949</v>
      </c>
      <c r="B1856" s="1">
        <v>45437</v>
      </c>
      <c r="C1856" t="s">
        <v>205</v>
      </c>
      <c r="D1856" t="s">
        <v>18</v>
      </c>
      <c r="E1856">
        <v>5</v>
      </c>
      <c r="F1856" s="2">
        <v>129.99</v>
      </c>
      <c r="G1856">
        <v>0</v>
      </c>
      <c r="H1856" s="2">
        <v>129.99</v>
      </c>
      <c r="I1856" s="2">
        <v>649.95000000000005</v>
      </c>
      <c r="J1856" t="s">
        <v>116</v>
      </c>
      <c r="K1856" t="s">
        <v>52</v>
      </c>
      <c r="L1856" t="s">
        <v>152</v>
      </c>
      <c r="M1856" t="s">
        <v>95</v>
      </c>
      <c r="N1856" t="s">
        <v>96</v>
      </c>
      <c r="O1856" t="s">
        <v>48</v>
      </c>
      <c r="Q1856" s="2">
        <f>Ventas[[#This Row],[precio_base]]*Ventas[[#This Row],[cantidad]]</f>
        <v>649.95000000000005</v>
      </c>
      <c r="R1856" s="2">
        <f>Ventas[[#This Row],[Total bruto (antes de descuento)]]-Ventas[[#This Row],[total_venta]]</f>
        <v>0</v>
      </c>
    </row>
    <row r="1857" spans="1:18" x14ac:dyDescent="0.25">
      <c r="A1857" t="s">
        <v>1950</v>
      </c>
      <c r="B1857" s="1">
        <v>45541</v>
      </c>
      <c r="C1857" t="s">
        <v>89</v>
      </c>
      <c r="D1857" t="s">
        <v>38</v>
      </c>
      <c r="E1857">
        <v>5</v>
      </c>
      <c r="F1857" s="2">
        <v>69.989999999999995</v>
      </c>
      <c r="G1857">
        <v>0</v>
      </c>
      <c r="H1857" s="2">
        <v>69.989999999999995</v>
      </c>
      <c r="I1857" s="2">
        <v>349.95</v>
      </c>
      <c r="J1857" t="s">
        <v>62</v>
      </c>
      <c r="K1857" t="s">
        <v>52</v>
      </c>
      <c r="L1857" t="s">
        <v>28</v>
      </c>
      <c r="M1857" t="s">
        <v>84</v>
      </c>
      <c r="N1857" t="s">
        <v>85</v>
      </c>
      <c r="O1857" t="s">
        <v>35</v>
      </c>
      <c r="Q1857" s="2">
        <f>Ventas[[#This Row],[precio_base]]*Ventas[[#This Row],[cantidad]]</f>
        <v>349.95</v>
      </c>
      <c r="R1857" s="2">
        <f>Ventas[[#This Row],[Total bruto (antes de descuento)]]-Ventas[[#This Row],[total_venta]]</f>
        <v>0</v>
      </c>
    </row>
    <row r="1858" spans="1:18" x14ac:dyDescent="0.25">
      <c r="A1858" t="s">
        <v>1951</v>
      </c>
      <c r="B1858" s="1">
        <v>45446</v>
      </c>
      <c r="C1858" t="s">
        <v>78</v>
      </c>
      <c r="D1858" t="s">
        <v>18</v>
      </c>
      <c r="E1858">
        <v>4</v>
      </c>
      <c r="F1858" s="2">
        <v>349.99</v>
      </c>
      <c r="G1858">
        <v>0</v>
      </c>
      <c r="H1858" s="2">
        <v>349.99</v>
      </c>
      <c r="I1858" s="2">
        <v>1399.96</v>
      </c>
      <c r="J1858" t="s">
        <v>51</v>
      </c>
      <c r="K1858" t="s">
        <v>44</v>
      </c>
      <c r="L1858" t="s">
        <v>152</v>
      </c>
      <c r="M1858" t="s">
        <v>53</v>
      </c>
      <c r="N1858" t="s">
        <v>54</v>
      </c>
      <c r="O1858" t="s">
        <v>35</v>
      </c>
      <c r="Q1858" s="2">
        <f>Ventas[[#This Row],[precio_base]]*Ventas[[#This Row],[cantidad]]</f>
        <v>1399.96</v>
      </c>
      <c r="R1858" s="2">
        <f>Ventas[[#This Row],[Total bruto (antes de descuento)]]-Ventas[[#This Row],[total_venta]]</f>
        <v>0</v>
      </c>
    </row>
    <row r="1859" spans="1:18" x14ac:dyDescent="0.25">
      <c r="A1859" t="s">
        <v>1952</v>
      </c>
      <c r="B1859" s="1">
        <v>45050</v>
      </c>
      <c r="C1859" t="s">
        <v>70</v>
      </c>
      <c r="D1859" t="s">
        <v>31</v>
      </c>
      <c r="E1859">
        <v>3</v>
      </c>
      <c r="F1859" s="2">
        <v>59.99</v>
      </c>
      <c r="G1859">
        <v>0</v>
      </c>
      <c r="H1859" s="2">
        <v>59.99</v>
      </c>
      <c r="I1859" s="2">
        <v>179.97</v>
      </c>
      <c r="J1859" t="s">
        <v>19</v>
      </c>
      <c r="K1859" t="s">
        <v>20</v>
      </c>
      <c r="L1859" t="s">
        <v>45</v>
      </c>
      <c r="M1859" t="s">
        <v>73</v>
      </c>
      <c r="N1859" t="s">
        <v>74</v>
      </c>
      <c r="O1859" t="s">
        <v>35</v>
      </c>
      <c r="P1859">
        <v>1</v>
      </c>
      <c r="Q1859" s="2">
        <f>Ventas[[#This Row],[precio_base]]*Ventas[[#This Row],[cantidad]]</f>
        <v>179.97</v>
      </c>
      <c r="R1859" s="2">
        <f>Ventas[[#This Row],[Total bruto (antes de descuento)]]-Ventas[[#This Row],[total_venta]]</f>
        <v>0</v>
      </c>
    </row>
    <row r="1860" spans="1:18" x14ac:dyDescent="0.25">
      <c r="A1860" t="s">
        <v>1953</v>
      </c>
      <c r="B1860" s="1">
        <v>45436</v>
      </c>
      <c r="C1860" t="s">
        <v>115</v>
      </c>
      <c r="D1860" t="s">
        <v>18</v>
      </c>
      <c r="E1860">
        <v>5</v>
      </c>
      <c r="F1860" s="2">
        <v>799.99</v>
      </c>
      <c r="G1860">
        <v>0</v>
      </c>
      <c r="H1860" s="2">
        <v>799.99</v>
      </c>
      <c r="I1860" s="2">
        <v>3999.95</v>
      </c>
      <c r="J1860" t="s">
        <v>116</v>
      </c>
      <c r="K1860" t="s">
        <v>20</v>
      </c>
      <c r="L1860" t="s">
        <v>45</v>
      </c>
      <c r="M1860" t="s">
        <v>53</v>
      </c>
      <c r="N1860" t="s">
        <v>54</v>
      </c>
      <c r="O1860" t="s">
        <v>35</v>
      </c>
      <c r="Q1860" s="2">
        <f>Ventas[[#This Row],[precio_base]]*Ventas[[#This Row],[cantidad]]</f>
        <v>3999.95</v>
      </c>
      <c r="R1860" s="2">
        <f>Ventas[[#This Row],[Total bruto (antes de descuento)]]-Ventas[[#This Row],[total_venta]]</f>
        <v>0</v>
      </c>
    </row>
    <row r="1861" spans="1:18" x14ac:dyDescent="0.25">
      <c r="A1861" t="s">
        <v>1954</v>
      </c>
      <c r="B1861" s="1">
        <v>45601</v>
      </c>
      <c r="C1861" t="s">
        <v>50</v>
      </c>
      <c r="D1861" t="s">
        <v>27</v>
      </c>
      <c r="E1861">
        <v>4</v>
      </c>
      <c r="F1861" s="2">
        <v>149.99</v>
      </c>
      <c r="G1861">
        <v>20</v>
      </c>
      <c r="H1861" s="2">
        <v>119.99</v>
      </c>
      <c r="I1861" s="2">
        <v>479.96</v>
      </c>
      <c r="J1861" t="s">
        <v>19</v>
      </c>
      <c r="K1861" t="s">
        <v>44</v>
      </c>
      <c r="L1861" t="s">
        <v>21</v>
      </c>
      <c r="M1861" t="s">
        <v>95</v>
      </c>
      <c r="N1861" t="s">
        <v>96</v>
      </c>
      <c r="O1861" t="s">
        <v>48</v>
      </c>
      <c r="P1861">
        <v>2</v>
      </c>
      <c r="Q1861" s="2">
        <f>Ventas[[#This Row],[precio_base]]*Ventas[[#This Row],[cantidad]]</f>
        <v>599.96</v>
      </c>
      <c r="R1861" s="2">
        <f>Ventas[[#This Row],[Total bruto (antes de descuento)]]-Ventas[[#This Row],[total_venta]]</f>
        <v>120.00000000000006</v>
      </c>
    </row>
    <row r="1862" spans="1:18" x14ac:dyDescent="0.25">
      <c r="A1862" t="s">
        <v>1955</v>
      </c>
      <c r="B1862" s="1">
        <v>45301</v>
      </c>
      <c r="C1862" t="s">
        <v>78</v>
      </c>
      <c r="D1862" t="s">
        <v>18</v>
      </c>
      <c r="E1862">
        <v>2</v>
      </c>
      <c r="F1862" s="2">
        <v>349.99</v>
      </c>
      <c r="G1862">
        <v>20</v>
      </c>
      <c r="H1862" s="2">
        <v>279.99</v>
      </c>
      <c r="I1862" s="2">
        <v>559.98</v>
      </c>
      <c r="J1862" t="s">
        <v>19</v>
      </c>
      <c r="K1862" t="s">
        <v>20</v>
      </c>
      <c r="L1862" t="s">
        <v>45</v>
      </c>
      <c r="M1862" t="s">
        <v>39</v>
      </c>
      <c r="N1862" t="s">
        <v>40</v>
      </c>
      <c r="O1862" t="s">
        <v>35</v>
      </c>
      <c r="P1862">
        <v>4</v>
      </c>
      <c r="Q1862" s="2">
        <f>Ventas[[#This Row],[precio_base]]*Ventas[[#This Row],[cantidad]]</f>
        <v>699.98</v>
      </c>
      <c r="R1862" s="2">
        <f>Ventas[[#This Row],[Total bruto (antes de descuento)]]-Ventas[[#This Row],[total_venta]]</f>
        <v>140</v>
      </c>
    </row>
    <row r="1863" spans="1:18" x14ac:dyDescent="0.25">
      <c r="A1863" t="s">
        <v>1956</v>
      </c>
      <c r="B1863" s="1">
        <v>45602</v>
      </c>
      <c r="C1863" t="s">
        <v>30</v>
      </c>
      <c r="D1863" t="s">
        <v>31</v>
      </c>
      <c r="E1863">
        <v>5</v>
      </c>
      <c r="F1863" s="2">
        <v>299.99</v>
      </c>
      <c r="G1863">
        <v>0</v>
      </c>
      <c r="H1863" s="2">
        <v>299.99</v>
      </c>
      <c r="I1863" s="2">
        <v>1499.95</v>
      </c>
      <c r="J1863" t="s">
        <v>62</v>
      </c>
      <c r="K1863" t="s">
        <v>44</v>
      </c>
      <c r="L1863" t="s">
        <v>21</v>
      </c>
      <c r="M1863" t="s">
        <v>95</v>
      </c>
      <c r="N1863" t="s">
        <v>96</v>
      </c>
      <c r="O1863" t="s">
        <v>48</v>
      </c>
      <c r="Q1863" s="2">
        <f>Ventas[[#This Row],[precio_base]]*Ventas[[#This Row],[cantidad]]</f>
        <v>1499.95</v>
      </c>
      <c r="R1863" s="2">
        <f>Ventas[[#This Row],[Total bruto (antes de descuento)]]-Ventas[[#This Row],[total_venta]]</f>
        <v>0</v>
      </c>
    </row>
    <row r="1864" spans="1:18" x14ac:dyDescent="0.25">
      <c r="A1864" t="s">
        <v>1957</v>
      </c>
      <c r="B1864" s="1">
        <v>45466</v>
      </c>
      <c r="C1864" t="s">
        <v>26</v>
      </c>
      <c r="D1864" t="s">
        <v>27</v>
      </c>
      <c r="E1864">
        <v>5</v>
      </c>
      <c r="F1864" s="2">
        <v>399.99</v>
      </c>
      <c r="G1864">
        <v>15</v>
      </c>
      <c r="H1864" s="2">
        <v>339.99</v>
      </c>
      <c r="I1864" s="2">
        <v>1699.95</v>
      </c>
      <c r="J1864" t="s">
        <v>19</v>
      </c>
      <c r="K1864" t="s">
        <v>52</v>
      </c>
      <c r="L1864" t="s">
        <v>28</v>
      </c>
      <c r="M1864" t="s">
        <v>120</v>
      </c>
      <c r="N1864" t="s">
        <v>23</v>
      </c>
      <c r="O1864" t="s">
        <v>24</v>
      </c>
      <c r="P1864">
        <v>3</v>
      </c>
      <c r="Q1864" s="2">
        <f>Ventas[[#This Row],[precio_base]]*Ventas[[#This Row],[cantidad]]</f>
        <v>1999.95</v>
      </c>
      <c r="R1864" s="2">
        <f>Ventas[[#This Row],[Total bruto (antes de descuento)]]-Ventas[[#This Row],[total_venta]]</f>
        <v>300</v>
      </c>
    </row>
    <row r="1865" spans="1:18" x14ac:dyDescent="0.25">
      <c r="A1865" t="s">
        <v>1958</v>
      </c>
      <c r="B1865" s="1">
        <v>45255</v>
      </c>
      <c r="C1865" t="s">
        <v>78</v>
      </c>
      <c r="D1865" t="s">
        <v>18</v>
      </c>
      <c r="E1865">
        <v>4</v>
      </c>
      <c r="F1865" s="2">
        <v>349.99</v>
      </c>
      <c r="G1865">
        <v>20</v>
      </c>
      <c r="H1865" s="2">
        <v>279.99</v>
      </c>
      <c r="I1865" s="2">
        <v>1119.96</v>
      </c>
      <c r="J1865" t="s">
        <v>19</v>
      </c>
      <c r="K1865" t="s">
        <v>20</v>
      </c>
      <c r="L1865" t="s">
        <v>45</v>
      </c>
      <c r="M1865" t="s">
        <v>73</v>
      </c>
      <c r="N1865" t="s">
        <v>74</v>
      </c>
      <c r="O1865" t="s">
        <v>35</v>
      </c>
      <c r="P1865">
        <v>1</v>
      </c>
      <c r="Q1865" s="2">
        <f>Ventas[[#This Row],[precio_base]]*Ventas[[#This Row],[cantidad]]</f>
        <v>1399.96</v>
      </c>
      <c r="R1865" s="2">
        <f>Ventas[[#This Row],[Total bruto (antes de descuento)]]-Ventas[[#This Row],[total_venta]]</f>
        <v>280</v>
      </c>
    </row>
    <row r="1866" spans="1:18" x14ac:dyDescent="0.25">
      <c r="A1866" t="s">
        <v>1959</v>
      </c>
      <c r="B1866" s="1">
        <v>45429</v>
      </c>
      <c r="C1866" t="s">
        <v>104</v>
      </c>
      <c r="D1866" t="s">
        <v>18</v>
      </c>
      <c r="E1866">
        <v>4</v>
      </c>
      <c r="F1866" s="2">
        <v>1199.99</v>
      </c>
      <c r="G1866">
        <v>0</v>
      </c>
      <c r="H1866" s="2">
        <v>1199.99</v>
      </c>
      <c r="I1866" s="2">
        <v>4799.96</v>
      </c>
      <c r="J1866" t="s">
        <v>19</v>
      </c>
      <c r="K1866" t="s">
        <v>44</v>
      </c>
      <c r="L1866" t="s">
        <v>21</v>
      </c>
      <c r="M1866" t="s">
        <v>101</v>
      </c>
      <c r="N1866" t="s">
        <v>102</v>
      </c>
      <c r="O1866" t="s">
        <v>35</v>
      </c>
      <c r="P1866">
        <v>3</v>
      </c>
      <c r="Q1866" s="2">
        <f>Ventas[[#This Row],[precio_base]]*Ventas[[#This Row],[cantidad]]</f>
        <v>4799.96</v>
      </c>
      <c r="R1866" s="2">
        <f>Ventas[[#This Row],[Total bruto (antes de descuento)]]-Ventas[[#This Row],[total_venta]]</f>
        <v>0</v>
      </c>
    </row>
    <row r="1867" spans="1:18" x14ac:dyDescent="0.25">
      <c r="A1867" t="s">
        <v>1960</v>
      </c>
      <c r="B1867" s="1">
        <v>45627</v>
      </c>
      <c r="C1867" t="s">
        <v>30</v>
      </c>
      <c r="D1867" t="s">
        <v>31</v>
      </c>
      <c r="E1867">
        <v>1</v>
      </c>
      <c r="F1867" s="2">
        <v>299.99</v>
      </c>
      <c r="G1867">
        <v>10</v>
      </c>
      <c r="H1867" s="2">
        <v>269.99</v>
      </c>
      <c r="I1867" s="2">
        <v>269.99</v>
      </c>
      <c r="J1867" t="s">
        <v>62</v>
      </c>
      <c r="K1867" t="s">
        <v>52</v>
      </c>
      <c r="L1867" t="s">
        <v>21</v>
      </c>
      <c r="M1867" t="s">
        <v>22</v>
      </c>
      <c r="N1867" t="s">
        <v>23</v>
      </c>
      <c r="O1867" t="s">
        <v>24</v>
      </c>
      <c r="Q1867" s="2">
        <f>Ventas[[#This Row],[precio_base]]*Ventas[[#This Row],[cantidad]]</f>
        <v>299.99</v>
      </c>
      <c r="R1867" s="2">
        <f>Ventas[[#This Row],[Total bruto (antes de descuento)]]-Ventas[[#This Row],[total_venta]]</f>
        <v>30</v>
      </c>
    </row>
    <row r="1868" spans="1:18" x14ac:dyDescent="0.25">
      <c r="A1868" t="s">
        <v>1961</v>
      </c>
      <c r="B1868" s="1">
        <v>45528</v>
      </c>
      <c r="C1868" t="s">
        <v>76</v>
      </c>
      <c r="D1868" t="s">
        <v>31</v>
      </c>
      <c r="E1868">
        <v>5</v>
      </c>
      <c r="F1868" s="2">
        <v>69.989999999999995</v>
      </c>
      <c r="G1868">
        <v>10</v>
      </c>
      <c r="H1868" s="2">
        <v>62.99</v>
      </c>
      <c r="I1868" s="2">
        <v>314.95</v>
      </c>
      <c r="J1868" t="s">
        <v>19</v>
      </c>
      <c r="K1868" t="s">
        <v>44</v>
      </c>
      <c r="L1868" t="s">
        <v>45</v>
      </c>
      <c r="M1868" t="s">
        <v>123</v>
      </c>
      <c r="N1868" t="s">
        <v>124</v>
      </c>
      <c r="O1868" t="s">
        <v>24</v>
      </c>
      <c r="P1868">
        <v>1</v>
      </c>
      <c r="Q1868" s="2">
        <f>Ventas[[#This Row],[precio_base]]*Ventas[[#This Row],[cantidad]]</f>
        <v>349.95</v>
      </c>
      <c r="R1868" s="2">
        <f>Ventas[[#This Row],[Total bruto (antes de descuento)]]-Ventas[[#This Row],[total_venta]]</f>
        <v>35</v>
      </c>
    </row>
    <row r="1869" spans="1:18" x14ac:dyDescent="0.25">
      <c r="A1869" t="s">
        <v>1962</v>
      </c>
      <c r="B1869" s="1">
        <v>45237</v>
      </c>
      <c r="C1869" t="s">
        <v>109</v>
      </c>
      <c r="D1869" t="s">
        <v>38</v>
      </c>
      <c r="E1869">
        <v>2</v>
      </c>
      <c r="F1869" s="2">
        <v>39.99</v>
      </c>
      <c r="G1869">
        <v>0</v>
      </c>
      <c r="H1869" s="2">
        <v>39.99</v>
      </c>
      <c r="I1869" s="2">
        <v>79.98</v>
      </c>
      <c r="J1869" t="s">
        <v>116</v>
      </c>
      <c r="K1869" t="s">
        <v>52</v>
      </c>
      <c r="L1869" t="s">
        <v>28</v>
      </c>
      <c r="M1869" t="s">
        <v>46</v>
      </c>
      <c r="N1869" t="s">
        <v>47</v>
      </c>
      <c r="O1869" t="s">
        <v>48</v>
      </c>
      <c r="Q1869" s="2">
        <f>Ventas[[#This Row],[precio_base]]*Ventas[[#This Row],[cantidad]]</f>
        <v>79.98</v>
      </c>
      <c r="R1869" s="2">
        <f>Ventas[[#This Row],[Total bruto (antes de descuento)]]-Ventas[[#This Row],[total_venta]]</f>
        <v>0</v>
      </c>
    </row>
    <row r="1870" spans="1:18" x14ac:dyDescent="0.25">
      <c r="A1870" t="s">
        <v>1963</v>
      </c>
      <c r="B1870" s="1">
        <v>45371</v>
      </c>
      <c r="C1870" t="s">
        <v>76</v>
      </c>
      <c r="D1870" t="s">
        <v>31</v>
      </c>
      <c r="E1870">
        <v>5</v>
      </c>
      <c r="F1870" s="2">
        <v>69.989999999999995</v>
      </c>
      <c r="G1870">
        <v>10</v>
      </c>
      <c r="H1870" s="2">
        <v>62.99</v>
      </c>
      <c r="I1870" s="2">
        <v>314.95</v>
      </c>
      <c r="J1870" t="s">
        <v>62</v>
      </c>
      <c r="K1870" t="s">
        <v>20</v>
      </c>
      <c r="L1870" t="s">
        <v>28</v>
      </c>
      <c r="M1870" t="s">
        <v>65</v>
      </c>
      <c r="N1870" t="s">
        <v>54</v>
      </c>
      <c r="O1870" t="s">
        <v>35</v>
      </c>
      <c r="Q1870" s="2">
        <f>Ventas[[#This Row],[precio_base]]*Ventas[[#This Row],[cantidad]]</f>
        <v>349.95</v>
      </c>
      <c r="R1870" s="2">
        <f>Ventas[[#This Row],[Total bruto (antes de descuento)]]-Ventas[[#This Row],[total_venta]]</f>
        <v>35</v>
      </c>
    </row>
    <row r="1871" spans="1:18" x14ac:dyDescent="0.25">
      <c r="A1871" t="s">
        <v>1964</v>
      </c>
      <c r="B1871" s="1">
        <v>45146</v>
      </c>
      <c r="C1871" t="s">
        <v>17</v>
      </c>
      <c r="D1871" t="s">
        <v>18</v>
      </c>
      <c r="E1871">
        <v>4</v>
      </c>
      <c r="F1871" s="2">
        <v>45.99</v>
      </c>
      <c r="G1871">
        <v>0</v>
      </c>
      <c r="H1871" s="2">
        <v>45.99</v>
      </c>
      <c r="I1871" s="2">
        <v>183.96</v>
      </c>
      <c r="J1871" t="s">
        <v>62</v>
      </c>
      <c r="K1871" t="s">
        <v>20</v>
      </c>
      <c r="L1871" t="s">
        <v>28</v>
      </c>
      <c r="M1871" t="s">
        <v>84</v>
      </c>
      <c r="N1871" t="s">
        <v>85</v>
      </c>
      <c r="O1871" t="s">
        <v>35</v>
      </c>
      <c r="Q1871" s="2">
        <f>Ventas[[#This Row],[precio_base]]*Ventas[[#This Row],[cantidad]]</f>
        <v>183.96</v>
      </c>
      <c r="R1871" s="2">
        <f>Ventas[[#This Row],[Total bruto (antes de descuento)]]-Ventas[[#This Row],[total_venta]]</f>
        <v>0</v>
      </c>
    </row>
    <row r="1872" spans="1:18" x14ac:dyDescent="0.25">
      <c r="A1872" t="s">
        <v>1965</v>
      </c>
      <c r="B1872" s="1">
        <v>45434</v>
      </c>
      <c r="C1872" t="s">
        <v>115</v>
      </c>
      <c r="D1872" t="s">
        <v>18</v>
      </c>
      <c r="E1872">
        <v>5</v>
      </c>
      <c r="F1872" s="2">
        <v>799.99</v>
      </c>
      <c r="G1872">
        <v>15</v>
      </c>
      <c r="H1872" s="2">
        <v>679.99</v>
      </c>
      <c r="I1872" s="2">
        <v>3399.95</v>
      </c>
      <c r="J1872" t="s">
        <v>51</v>
      </c>
      <c r="K1872" t="s">
        <v>52</v>
      </c>
      <c r="L1872" t="s">
        <v>21</v>
      </c>
      <c r="M1872" t="s">
        <v>46</v>
      </c>
      <c r="N1872" t="s">
        <v>47</v>
      </c>
      <c r="O1872" t="s">
        <v>48</v>
      </c>
      <c r="Q1872" s="2">
        <f>Ventas[[#This Row],[precio_base]]*Ventas[[#This Row],[cantidad]]</f>
        <v>3999.95</v>
      </c>
      <c r="R1872" s="2">
        <f>Ventas[[#This Row],[Total bruto (antes de descuento)]]-Ventas[[#This Row],[total_venta]]</f>
        <v>600</v>
      </c>
    </row>
    <row r="1873" spans="1:18" x14ac:dyDescent="0.25">
      <c r="A1873" t="s">
        <v>1966</v>
      </c>
      <c r="B1873" s="1">
        <v>45632</v>
      </c>
      <c r="C1873" t="s">
        <v>17</v>
      </c>
      <c r="D1873" t="s">
        <v>18</v>
      </c>
      <c r="E1873">
        <v>3</v>
      </c>
      <c r="F1873" s="2">
        <v>45.99</v>
      </c>
      <c r="G1873">
        <v>0</v>
      </c>
      <c r="H1873" s="2">
        <v>45.99</v>
      </c>
      <c r="I1873" s="2">
        <v>137.97</v>
      </c>
      <c r="J1873" t="s">
        <v>90</v>
      </c>
      <c r="K1873" t="s">
        <v>52</v>
      </c>
      <c r="L1873" t="s">
        <v>32</v>
      </c>
      <c r="M1873" t="s">
        <v>73</v>
      </c>
      <c r="N1873" t="s">
        <v>74</v>
      </c>
      <c r="O1873" t="s">
        <v>35</v>
      </c>
      <c r="Q1873" s="2">
        <f>Ventas[[#This Row],[precio_base]]*Ventas[[#This Row],[cantidad]]</f>
        <v>137.97</v>
      </c>
      <c r="R1873" s="2">
        <f>Ventas[[#This Row],[Total bruto (antes de descuento)]]-Ventas[[#This Row],[total_venta]]</f>
        <v>0</v>
      </c>
    </row>
    <row r="1874" spans="1:18" x14ac:dyDescent="0.25">
      <c r="A1874" t="s">
        <v>1967</v>
      </c>
      <c r="B1874" s="1">
        <v>45108</v>
      </c>
      <c r="C1874" t="s">
        <v>109</v>
      </c>
      <c r="D1874" t="s">
        <v>38</v>
      </c>
      <c r="E1874">
        <v>2</v>
      </c>
      <c r="F1874" s="2">
        <v>39.99</v>
      </c>
      <c r="G1874">
        <v>0</v>
      </c>
      <c r="H1874" s="2">
        <v>39.99</v>
      </c>
      <c r="I1874" s="2">
        <v>79.98</v>
      </c>
      <c r="J1874" t="s">
        <v>90</v>
      </c>
      <c r="K1874" t="s">
        <v>20</v>
      </c>
      <c r="L1874" t="s">
        <v>21</v>
      </c>
      <c r="M1874" t="s">
        <v>120</v>
      </c>
      <c r="N1874" t="s">
        <v>23</v>
      </c>
      <c r="O1874" t="s">
        <v>24</v>
      </c>
      <c r="Q1874" s="2">
        <f>Ventas[[#This Row],[precio_base]]*Ventas[[#This Row],[cantidad]]</f>
        <v>79.98</v>
      </c>
      <c r="R1874" s="2">
        <f>Ventas[[#This Row],[Total bruto (antes de descuento)]]-Ventas[[#This Row],[total_venta]]</f>
        <v>0</v>
      </c>
    </row>
    <row r="1875" spans="1:18" x14ac:dyDescent="0.25">
      <c r="A1875" t="s">
        <v>1968</v>
      </c>
      <c r="B1875" s="1">
        <v>45179</v>
      </c>
      <c r="C1875" t="s">
        <v>156</v>
      </c>
      <c r="D1875" t="s">
        <v>27</v>
      </c>
      <c r="E1875">
        <v>3</v>
      </c>
      <c r="F1875" s="2">
        <v>49.99</v>
      </c>
      <c r="G1875">
        <v>5</v>
      </c>
      <c r="H1875" s="2">
        <v>47.49</v>
      </c>
      <c r="I1875" s="2">
        <v>142.47</v>
      </c>
      <c r="J1875" t="s">
        <v>51</v>
      </c>
      <c r="K1875" t="s">
        <v>52</v>
      </c>
      <c r="L1875" t="s">
        <v>28</v>
      </c>
      <c r="M1875" t="s">
        <v>84</v>
      </c>
      <c r="N1875" t="s">
        <v>85</v>
      </c>
      <c r="O1875" t="s">
        <v>35</v>
      </c>
      <c r="Q1875" s="2">
        <f>Ventas[[#This Row],[precio_base]]*Ventas[[#This Row],[cantidad]]</f>
        <v>149.97</v>
      </c>
      <c r="R1875" s="2">
        <f>Ventas[[#This Row],[Total bruto (antes de descuento)]]-Ventas[[#This Row],[total_venta]]</f>
        <v>7.5</v>
      </c>
    </row>
    <row r="1876" spans="1:18" x14ac:dyDescent="0.25">
      <c r="A1876" t="s">
        <v>1969</v>
      </c>
      <c r="B1876" s="1">
        <v>45136</v>
      </c>
      <c r="C1876" t="s">
        <v>130</v>
      </c>
      <c r="D1876" t="s">
        <v>43</v>
      </c>
      <c r="E1876">
        <v>3</v>
      </c>
      <c r="F1876" s="2">
        <v>24.99</v>
      </c>
      <c r="G1876">
        <v>5</v>
      </c>
      <c r="H1876" s="2">
        <v>23.74</v>
      </c>
      <c r="I1876" s="2">
        <v>71.22</v>
      </c>
      <c r="J1876" t="s">
        <v>51</v>
      </c>
      <c r="K1876" t="s">
        <v>52</v>
      </c>
      <c r="L1876" t="s">
        <v>45</v>
      </c>
      <c r="M1876" t="s">
        <v>120</v>
      </c>
      <c r="N1876" t="s">
        <v>23</v>
      </c>
      <c r="O1876" t="s">
        <v>24</v>
      </c>
      <c r="Q1876" s="2">
        <f>Ventas[[#This Row],[precio_base]]*Ventas[[#This Row],[cantidad]]</f>
        <v>74.97</v>
      </c>
      <c r="R1876" s="2">
        <f>Ventas[[#This Row],[Total bruto (antes de descuento)]]-Ventas[[#This Row],[total_venta]]</f>
        <v>3.75</v>
      </c>
    </row>
    <row r="1877" spans="1:18" x14ac:dyDescent="0.25">
      <c r="A1877" t="s">
        <v>1970</v>
      </c>
      <c r="B1877" s="1">
        <v>45121</v>
      </c>
      <c r="C1877" t="s">
        <v>143</v>
      </c>
      <c r="D1877" t="s">
        <v>43</v>
      </c>
      <c r="E1877">
        <v>4</v>
      </c>
      <c r="F1877" s="2">
        <v>34.99</v>
      </c>
      <c r="G1877">
        <v>0</v>
      </c>
      <c r="H1877" s="2">
        <v>34.99</v>
      </c>
      <c r="I1877" s="2">
        <v>139.96</v>
      </c>
      <c r="J1877" t="s">
        <v>51</v>
      </c>
      <c r="K1877" t="s">
        <v>44</v>
      </c>
      <c r="L1877" t="s">
        <v>21</v>
      </c>
      <c r="M1877" t="s">
        <v>73</v>
      </c>
      <c r="N1877" t="s">
        <v>74</v>
      </c>
      <c r="O1877" t="s">
        <v>35</v>
      </c>
      <c r="Q1877" s="2">
        <f>Ventas[[#This Row],[precio_base]]*Ventas[[#This Row],[cantidad]]</f>
        <v>139.96</v>
      </c>
      <c r="R1877" s="2">
        <f>Ventas[[#This Row],[Total bruto (antes de descuento)]]-Ventas[[#This Row],[total_venta]]</f>
        <v>0</v>
      </c>
    </row>
    <row r="1878" spans="1:18" x14ac:dyDescent="0.25">
      <c r="A1878" t="s">
        <v>1971</v>
      </c>
      <c r="B1878" s="1">
        <v>45386</v>
      </c>
      <c r="C1878" t="s">
        <v>78</v>
      </c>
      <c r="D1878" t="s">
        <v>18</v>
      </c>
      <c r="E1878">
        <v>2</v>
      </c>
      <c r="F1878" s="2">
        <v>349.99</v>
      </c>
      <c r="G1878">
        <v>0</v>
      </c>
      <c r="H1878" s="2">
        <v>349.99</v>
      </c>
      <c r="I1878" s="2">
        <v>699.98</v>
      </c>
      <c r="J1878" t="s">
        <v>51</v>
      </c>
      <c r="K1878" t="s">
        <v>20</v>
      </c>
      <c r="L1878" t="s">
        <v>28</v>
      </c>
      <c r="M1878" t="s">
        <v>95</v>
      </c>
      <c r="N1878" t="s">
        <v>96</v>
      </c>
      <c r="O1878" t="s">
        <v>48</v>
      </c>
      <c r="Q1878" s="2">
        <f>Ventas[[#This Row],[precio_base]]*Ventas[[#This Row],[cantidad]]</f>
        <v>699.98</v>
      </c>
      <c r="R1878" s="2">
        <f>Ventas[[#This Row],[Total bruto (antes de descuento)]]-Ventas[[#This Row],[total_venta]]</f>
        <v>0</v>
      </c>
    </row>
    <row r="1879" spans="1:18" x14ac:dyDescent="0.25">
      <c r="A1879" t="s">
        <v>1972</v>
      </c>
      <c r="B1879" s="1">
        <v>44995</v>
      </c>
      <c r="C1879" t="s">
        <v>205</v>
      </c>
      <c r="D1879" t="s">
        <v>18</v>
      </c>
      <c r="E1879">
        <v>5</v>
      </c>
      <c r="F1879" s="2">
        <v>129.99</v>
      </c>
      <c r="G1879">
        <v>0</v>
      </c>
      <c r="H1879" s="2">
        <v>129.99</v>
      </c>
      <c r="I1879" s="2">
        <v>649.95000000000005</v>
      </c>
      <c r="J1879" t="s">
        <v>19</v>
      </c>
      <c r="K1879" t="s">
        <v>20</v>
      </c>
      <c r="L1879" t="s">
        <v>28</v>
      </c>
      <c r="M1879" t="s">
        <v>84</v>
      </c>
      <c r="N1879" t="s">
        <v>85</v>
      </c>
      <c r="O1879" t="s">
        <v>35</v>
      </c>
      <c r="P1879">
        <v>4</v>
      </c>
      <c r="Q1879" s="2">
        <f>Ventas[[#This Row],[precio_base]]*Ventas[[#This Row],[cantidad]]</f>
        <v>649.95000000000005</v>
      </c>
      <c r="R1879" s="2">
        <f>Ventas[[#This Row],[Total bruto (antes de descuento)]]-Ventas[[#This Row],[total_venta]]</f>
        <v>0</v>
      </c>
    </row>
    <row r="1880" spans="1:18" x14ac:dyDescent="0.25">
      <c r="A1880" t="s">
        <v>1973</v>
      </c>
      <c r="B1880" s="1">
        <v>45218</v>
      </c>
      <c r="C1880" t="s">
        <v>50</v>
      </c>
      <c r="D1880" t="s">
        <v>27</v>
      </c>
      <c r="E1880">
        <v>3</v>
      </c>
      <c r="F1880" s="2">
        <v>149.99</v>
      </c>
      <c r="G1880">
        <v>0</v>
      </c>
      <c r="H1880" s="2">
        <v>149.99</v>
      </c>
      <c r="I1880" s="2">
        <v>449.97</v>
      </c>
      <c r="J1880" t="s">
        <v>62</v>
      </c>
      <c r="K1880" t="s">
        <v>20</v>
      </c>
      <c r="L1880" t="s">
        <v>21</v>
      </c>
      <c r="M1880" t="s">
        <v>58</v>
      </c>
      <c r="N1880" t="s">
        <v>59</v>
      </c>
      <c r="O1880" t="s">
        <v>24</v>
      </c>
      <c r="Q1880" s="2">
        <f>Ventas[[#This Row],[precio_base]]*Ventas[[#This Row],[cantidad]]</f>
        <v>449.97</v>
      </c>
      <c r="R1880" s="2">
        <f>Ventas[[#This Row],[Total bruto (antes de descuento)]]-Ventas[[#This Row],[total_venta]]</f>
        <v>0</v>
      </c>
    </row>
    <row r="1881" spans="1:18" x14ac:dyDescent="0.25">
      <c r="A1881" t="s">
        <v>1974</v>
      </c>
      <c r="B1881" s="1">
        <v>45133</v>
      </c>
      <c r="C1881" t="s">
        <v>56</v>
      </c>
      <c r="D1881" t="s">
        <v>18</v>
      </c>
      <c r="E1881">
        <v>5</v>
      </c>
      <c r="F1881" s="2">
        <v>89.99</v>
      </c>
      <c r="G1881">
        <v>20</v>
      </c>
      <c r="H1881" s="2">
        <v>71.989999999999995</v>
      </c>
      <c r="I1881" s="2">
        <v>359.95</v>
      </c>
      <c r="J1881" t="s">
        <v>19</v>
      </c>
      <c r="K1881" t="s">
        <v>44</v>
      </c>
      <c r="L1881" t="s">
        <v>21</v>
      </c>
      <c r="M1881" t="s">
        <v>63</v>
      </c>
      <c r="N1881" t="s">
        <v>34</v>
      </c>
      <c r="O1881" t="s">
        <v>24</v>
      </c>
      <c r="P1881">
        <v>4</v>
      </c>
      <c r="Q1881" s="2">
        <f>Ventas[[#This Row],[precio_base]]*Ventas[[#This Row],[cantidad]]</f>
        <v>449.95</v>
      </c>
      <c r="R1881" s="2">
        <f>Ventas[[#This Row],[Total bruto (antes de descuento)]]-Ventas[[#This Row],[total_venta]]</f>
        <v>90</v>
      </c>
    </row>
    <row r="1882" spans="1:18" x14ac:dyDescent="0.25">
      <c r="A1882" t="s">
        <v>1975</v>
      </c>
      <c r="B1882" s="1">
        <v>45038</v>
      </c>
      <c r="C1882" t="s">
        <v>17</v>
      </c>
      <c r="D1882" t="s">
        <v>18</v>
      </c>
      <c r="E1882">
        <v>2</v>
      </c>
      <c r="F1882" s="2">
        <v>45.99</v>
      </c>
      <c r="G1882">
        <v>0</v>
      </c>
      <c r="H1882" s="2">
        <v>45.99</v>
      </c>
      <c r="I1882" s="2">
        <v>91.98</v>
      </c>
      <c r="J1882" t="s">
        <v>62</v>
      </c>
      <c r="K1882" t="s">
        <v>20</v>
      </c>
      <c r="L1882" t="s">
        <v>28</v>
      </c>
      <c r="M1882" t="s">
        <v>63</v>
      </c>
      <c r="N1882" t="s">
        <v>34</v>
      </c>
      <c r="O1882" t="s">
        <v>24</v>
      </c>
      <c r="Q1882" s="2">
        <f>Ventas[[#This Row],[precio_base]]*Ventas[[#This Row],[cantidad]]</f>
        <v>91.98</v>
      </c>
      <c r="R1882" s="2">
        <f>Ventas[[#This Row],[Total bruto (antes de descuento)]]-Ventas[[#This Row],[total_venta]]</f>
        <v>0</v>
      </c>
    </row>
    <row r="1883" spans="1:18" x14ac:dyDescent="0.25">
      <c r="A1883" t="s">
        <v>1976</v>
      </c>
      <c r="B1883" s="1">
        <v>44996</v>
      </c>
      <c r="C1883" t="s">
        <v>163</v>
      </c>
      <c r="D1883" t="s">
        <v>18</v>
      </c>
      <c r="E1883">
        <v>4</v>
      </c>
      <c r="F1883" s="2">
        <v>499.99</v>
      </c>
      <c r="G1883">
        <v>10</v>
      </c>
      <c r="H1883" s="2">
        <v>449.99</v>
      </c>
      <c r="I1883" s="2">
        <v>1799.96</v>
      </c>
      <c r="J1883" t="s">
        <v>19</v>
      </c>
      <c r="K1883" t="s">
        <v>20</v>
      </c>
      <c r="L1883" t="s">
        <v>45</v>
      </c>
      <c r="M1883" t="s">
        <v>84</v>
      </c>
      <c r="N1883" t="s">
        <v>85</v>
      </c>
      <c r="O1883" t="s">
        <v>35</v>
      </c>
      <c r="P1883">
        <v>1</v>
      </c>
      <c r="Q1883" s="2">
        <f>Ventas[[#This Row],[precio_base]]*Ventas[[#This Row],[cantidad]]</f>
        <v>1999.96</v>
      </c>
      <c r="R1883" s="2">
        <f>Ventas[[#This Row],[Total bruto (antes de descuento)]]-Ventas[[#This Row],[total_venta]]</f>
        <v>200</v>
      </c>
    </row>
    <row r="1884" spans="1:18" x14ac:dyDescent="0.25">
      <c r="A1884" t="s">
        <v>1977</v>
      </c>
      <c r="B1884" s="1">
        <v>45605</v>
      </c>
      <c r="C1884" t="s">
        <v>122</v>
      </c>
      <c r="D1884" t="s">
        <v>43</v>
      </c>
      <c r="E1884">
        <v>5</v>
      </c>
      <c r="F1884" s="2">
        <v>44.99</v>
      </c>
      <c r="G1884">
        <v>20</v>
      </c>
      <c r="H1884" s="2">
        <v>35.99</v>
      </c>
      <c r="I1884" s="2">
        <v>179.95</v>
      </c>
      <c r="J1884" t="s">
        <v>116</v>
      </c>
      <c r="K1884" t="s">
        <v>20</v>
      </c>
      <c r="L1884" t="s">
        <v>21</v>
      </c>
      <c r="M1884" t="s">
        <v>39</v>
      </c>
      <c r="N1884" t="s">
        <v>40</v>
      </c>
      <c r="O1884" t="s">
        <v>35</v>
      </c>
      <c r="Q1884" s="2">
        <f>Ventas[[#This Row],[precio_base]]*Ventas[[#This Row],[cantidad]]</f>
        <v>224.95000000000002</v>
      </c>
      <c r="R1884" s="2">
        <f>Ventas[[#This Row],[Total bruto (antes de descuento)]]-Ventas[[#This Row],[total_venta]]</f>
        <v>45.000000000000028</v>
      </c>
    </row>
    <row r="1885" spans="1:18" x14ac:dyDescent="0.25">
      <c r="A1885" t="s">
        <v>1978</v>
      </c>
      <c r="B1885" s="1">
        <v>45509</v>
      </c>
      <c r="C1885" t="s">
        <v>104</v>
      </c>
      <c r="D1885" t="s">
        <v>18</v>
      </c>
      <c r="E1885">
        <v>2</v>
      </c>
      <c r="F1885" s="2">
        <v>1199.99</v>
      </c>
      <c r="G1885">
        <v>0</v>
      </c>
      <c r="H1885" s="2">
        <v>1199.99</v>
      </c>
      <c r="I1885" s="2">
        <v>2399.98</v>
      </c>
      <c r="J1885" t="s">
        <v>62</v>
      </c>
      <c r="K1885" t="s">
        <v>52</v>
      </c>
      <c r="L1885" t="s">
        <v>45</v>
      </c>
      <c r="M1885" t="s">
        <v>58</v>
      </c>
      <c r="N1885" t="s">
        <v>59</v>
      </c>
      <c r="O1885" t="s">
        <v>24</v>
      </c>
      <c r="Q1885" s="2">
        <f>Ventas[[#This Row],[precio_base]]*Ventas[[#This Row],[cantidad]]</f>
        <v>2399.98</v>
      </c>
      <c r="R1885" s="2">
        <f>Ventas[[#This Row],[Total bruto (antes de descuento)]]-Ventas[[#This Row],[total_venta]]</f>
        <v>0</v>
      </c>
    </row>
    <row r="1886" spans="1:18" x14ac:dyDescent="0.25">
      <c r="A1886" t="s">
        <v>1979</v>
      </c>
      <c r="B1886" s="1">
        <v>45132</v>
      </c>
      <c r="C1886" t="s">
        <v>130</v>
      </c>
      <c r="D1886" t="s">
        <v>43</v>
      </c>
      <c r="E1886">
        <v>1</v>
      </c>
      <c r="F1886" s="2">
        <v>24.99</v>
      </c>
      <c r="G1886">
        <v>5</v>
      </c>
      <c r="H1886" s="2">
        <v>23.74</v>
      </c>
      <c r="I1886" s="2">
        <v>23.74</v>
      </c>
      <c r="J1886" t="s">
        <v>19</v>
      </c>
      <c r="K1886" t="s">
        <v>44</v>
      </c>
      <c r="L1886" t="s">
        <v>21</v>
      </c>
      <c r="M1886" t="s">
        <v>58</v>
      </c>
      <c r="N1886" t="s">
        <v>59</v>
      </c>
      <c r="O1886" t="s">
        <v>24</v>
      </c>
      <c r="P1886">
        <v>2</v>
      </c>
      <c r="Q1886" s="2">
        <f>Ventas[[#This Row],[precio_base]]*Ventas[[#This Row],[cantidad]]</f>
        <v>24.99</v>
      </c>
      <c r="R1886" s="2">
        <f>Ventas[[#This Row],[Total bruto (antes de descuento)]]-Ventas[[#This Row],[total_venta]]</f>
        <v>1.25</v>
      </c>
    </row>
    <row r="1887" spans="1:18" x14ac:dyDescent="0.25">
      <c r="A1887" t="s">
        <v>1980</v>
      </c>
      <c r="B1887" s="1">
        <v>45270</v>
      </c>
      <c r="C1887" t="s">
        <v>81</v>
      </c>
      <c r="D1887" t="s">
        <v>31</v>
      </c>
      <c r="E1887">
        <v>4</v>
      </c>
      <c r="F1887" s="2">
        <v>189.99</v>
      </c>
      <c r="G1887">
        <v>0</v>
      </c>
      <c r="H1887" s="2">
        <v>189.99</v>
      </c>
      <c r="I1887" s="2">
        <v>759.96</v>
      </c>
      <c r="J1887" t="s">
        <v>62</v>
      </c>
      <c r="K1887" t="s">
        <v>52</v>
      </c>
      <c r="L1887" t="s">
        <v>28</v>
      </c>
      <c r="M1887" t="s">
        <v>95</v>
      </c>
      <c r="N1887" t="s">
        <v>96</v>
      </c>
      <c r="O1887" t="s">
        <v>48</v>
      </c>
      <c r="Q1887" s="2">
        <f>Ventas[[#This Row],[precio_base]]*Ventas[[#This Row],[cantidad]]</f>
        <v>759.96</v>
      </c>
      <c r="R1887" s="2">
        <f>Ventas[[#This Row],[Total bruto (antes de descuento)]]-Ventas[[#This Row],[total_venta]]</f>
        <v>0</v>
      </c>
    </row>
    <row r="1888" spans="1:18" x14ac:dyDescent="0.25">
      <c r="A1888" t="s">
        <v>1981</v>
      </c>
      <c r="B1888" s="1">
        <v>45221</v>
      </c>
      <c r="C1888" t="s">
        <v>50</v>
      </c>
      <c r="D1888" t="s">
        <v>27</v>
      </c>
      <c r="E1888">
        <v>2</v>
      </c>
      <c r="F1888" s="2">
        <v>149.99</v>
      </c>
      <c r="G1888">
        <v>0</v>
      </c>
      <c r="H1888" s="2">
        <v>149.99</v>
      </c>
      <c r="I1888" s="2">
        <v>299.98</v>
      </c>
      <c r="J1888" t="s">
        <v>19</v>
      </c>
      <c r="K1888" t="s">
        <v>20</v>
      </c>
      <c r="L1888" t="s">
        <v>28</v>
      </c>
      <c r="M1888" t="s">
        <v>123</v>
      </c>
      <c r="N1888" t="s">
        <v>124</v>
      </c>
      <c r="O1888" t="s">
        <v>24</v>
      </c>
      <c r="P1888">
        <v>4</v>
      </c>
      <c r="Q1888" s="2">
        <f>Ventas[[#This Row],[precio_base]]*Ventas[[#This Row],[cantidad]]</f>
        <v>299.98</v>
      </c>
      <c r="R1888" s="2">
        <f>Ventas[[#This Row],[Total bruto (antes de descuento)]]-Ventas[[#This Row],[total_venta]]</f>
        <v>0</v>
      </c>
    </row>
    <row r="1889" spans="1:18" x14ac:dyDescent="0.25">
      <c r="A1889" t="s">
        <v>1982</v>
      </c>
      <c r="B1889" s="1">
        <v>45457</v>
      </c>
      <c r="C1889" t="s">
        <v>50</v>
      </c>
      <c r="D1889" t="s">
        <v>27</v>
      </c>
      <c r="E1889">
        <v>1</v>
      </c>
      <c r="F1889" s="2">
        <v>149.99</v>
      </c>
      <c r="G1889">
        <v>10</v>
      </c>
      <c r="H1889" s="2">
        <v>134.99</v>
      </c>
      <c r="I1889" s="2">
        <v>134.99</v>
      </c>
      <c r="J1889" t="s">
        <v>51</v>
      </c>
      <c r="K1889" t="s">
        <v>52</v>
      </c>
      <c r="L1889" t="s">
        <v>45</v>
      </c>
      <c r="M1889" t="s">
        <v>84</v>
      </c>
      <c r="N1889" t="s">
        <v>85</v>
      </c>
      <c r="O1889" t="s">
        <v>35</v>
      </c>
      <c r="Q1889" s="2">
        <f>Ventas[[#This Row],[precio_base]]*Ventas[[#This Row],[cantidad]]</f>
        <v>149.99</v>
      </c>
      <c r="R1889" s="2">
        <f>Ventas[[#This Row],[Total bruto (antes de descuento)]]-Ventas[[#This Row],[total_venta]]</f>
        <v>15</v>
      </c>
    </row>
    <row r="1890" spans="1:18" x14ac:dyDescent="0.25">
      <c r="A1890" t="s">
        <v>1983</v>
      </c>
      <c r="B1890" s="1">
        <v>45073</v>
      </c>
      <c r="C1890" t="s">
        <v>130</v>
      </c>
      <c r="D1890" t="s">
        <v>43</v>
      </c>
      <c r="E1890">
        <v>1</v>
      </c>
      <c r="F1890" s="2">
        <v>24.99</v>
      </c>
      <c r="G1890">
        <v>15</v>
      </c>
      <c r="H1890" s="2">
        <v>21.24</v>
      </c>
      <c r="I1890" s="2">
        <v>21.24</v>
      </c>
      <c r="J1890" t="s">
        <v>19</v>
      </c>
      <c r="K1890" t="s">
        <v>20</v>
      </c>
      <c r="L1890" t="s">
        <v>21</v>
      </c>
      <c r="M1890" t="s">
        <v>120</v>
      </c>
      <c r="N1890" t="s">
        <v>23</v>
      </c>
      <c r="O1890" t="s">
        <v>24</v>
      </c>
      <c r="P1890">
        <v>4</v>
      </c>
      <c r="Q1890" s="2">
        <f>Ventas[[#This Row],[precio_base]]*Ventas[[#This Row],[cantidad]]</f>
        <v>24.99</v>
      </c>
      <c r="R1890" s="2">
        <f>Ventas[[#This Row],[Total bruto (antes de descuento)]]-Ventas[[#This Row],[total_venta]]</f>
        <v>3.75</v>
      </c>
    </row>
    <row r="1891" spans="1:18" x14ac:dyDescent="0.25">
      <c r="A1891" t="s">
        <v>1984</v>
      </c>
      <c r="B1891" s="1">
        <v>45507</v>
      </c>
      <c r="C1891" t="s">
        <v>17</v>
      </c>
      <c r="D1891" t="s">
        <v>18</v>
      </c>
      <c r="E1891">
        <v>2</v>
      </c>
      <c r="F1891" s="2">
        <v>45.99</v>
      </c>
      <c r="G1891">
        <v>20</v>
      </c>
      <c r="H1891" s="2">
        <v>36.79</v>
      </c>
      <c r="I1891" s="2">
        <v>73.58</v>
      </c>
      <c r="J1891" t="s">
        <v>51</v>
      </c>
      <c r="K1891" t="s">
        <v>44</v>
      </c>
      <c r="L1891" t="s">
        <v>21</v>
      </c>
      <c r="M1891" t="s">
        <v>33</v>
      </c>
      <c r="N1891" t="s">
        <v>34</v>
      </c>
      <c r="O1891" t="s">
        <v>35</v>
      </c>
      <c r="Q1891" s="2">
        <f>Ventas[[#This Row],[precio_base]]*Ventas[[#This Row],[cantidad]]</f>
        <v>91.98</v>
      </c>
      <c r="R1891" s="2">
        <f>Ventas[[#This Row],[Total bruto (antes de descuento)]]-Ventas[[#This Row],[total_venta]]</f>
        <v>18.400000000000006</v>
      </c>
    </row>
    <row r="1892" spans="1:18" x14ac:dyDescent="0.25">
      <c r="A1892" t="s">
        <v>1985</v>
      </c>
      <c r="B1892" s="1">
        <v>45414</v>
      </c>
      <c r="C1892" t="s">
        <v>122</v>
      </c>
      <c r="D1892" t="s">
        <v>43</v>
      </c>
      <c r="E1892">
        <v>5</v>
      </c>
      <c r="F1892" s="2">
        <v>44.99</v>
      </c>
      <c r="G1892">
        <v>15</v>
      </c>
      <c r="H1892" s="2">
        <v>38.24</v>
      </c>
      <c r="I1892" s="2">
        <v>191.2</v>
      </c>
      <c r="J1892" t="s">
        <v>19</v>
      </c>
      <c r="K1892" t="s">
        <v>44</v>
      </c>
      <c r="L1892" t="s">
        <v>45</v>
      </c>
      <c r="M1892" t="s">
        <v>73</v>
      </c>
      <c r="N1892" t="s">
        <v>74</v>
      </c>
      <c r="O1892" t="s">
        <v>35</v>
      </c>
      <c r="P1892">
        <v>2</v>
      </c>
      <c r="Q1892" s="2">
        <f>Ventas[[#This Row],[precio_base]]*Ventas[[#This Row],[cantidad]]</f>
        <v>224.95000000000002</v>
      </c>
      <c r="R1892" s="2">
        <f>Ventas[[#This Row],[Total bruto (antes de descuento)]]-Ventas[[#This Row],[total_venta]]</f>
        <v>33.750000000000028</v>
      </c>
    </row>
    <row r="1893" spans="1:18" x14ac:dyDescent="0.25">
      <c r="A1893" t="s">
        <v>1986</v>
      </c>
      <c r="B1893" s="1">
        <v>45626</v>
      </c>
      <c r="C1893" t="s">
        <v>92</v>
      </c>
      <c r="D1893" t="s">
        <v>27</v>
      </c>
      <c r="E1893">
        <v>5</v>
      </c>
      <c r="F1893" s="2">
        <v>79.989999999999995</v>
      </c>
      <c r="G1893">
        <v>0</v>
      </c>
      <c r="H1893" s="2">
        <v>79.989999999999995</v>
      </c>
      <c r="I1893" s="2">
        <v>399.95</v>
      </c>
      <c r="J1893" t="s">
        <v>19</v>
      </c>
      <c r="K1893" t="s">
        <v>44</v>
      </c>
      <c r="L1893" t="s">
        <v>152</v>
      </c>
      <c r="M1893" t="s">
        <v>73</v>
      </c>
      <c r="N1893" t="s">
        <v>74</v>
      </c>
      <c r="O1893" t="s">
        <v>35</v>
      </c>
      <c r="P1893">
        <v>2</v>
      </c>
      <c r="Q1893" s="2">
        <f>Ventas[[#This Row],[precio_base]]*Ventas[[#This Row],[cantidad]]</f>
        <v>399.95</v>
      </c>
      <c r="R1893" s="2">
        <f>Ventas[[#This Row],[Total bruto (antes de descuento)]]-Ventas[[#This Row],[total_venta]]</f>
        <v>0</v>
      </c>
    </row>
    <row r="1894" spans="1:18" x14ac:dyDescent="0.25">
      <c r="A1894" t="s">
        <v>1987</v>
      </c>
      <c r="B1894" s="1">
        <v>45392</v>
      </c>
      <c r="C1894" t="s">
        <v>50</v>
      </c>
      <c r="D1894" t="s">
        <v>27</v>
      </c>
      <c r="E1894">
        <v>3</v>
      </c>
      <c r="F1894" s="2">
        <v>149.99</v>
      </c>
      <c r="G1894">
        <v>0</v>
      </c>
      <c r="H1894" s="2">
        <v>149.99</v>
      </c>
      <c r="I1894" s="2">
        <v>449.97</v>
      </c>
      <c r="J1894" t="s">
        <v>19</v>
      </c>
      <c r="K1894" t="s">
        <v>44</v>
      </c>
      <c r="L1894" t="s">
        <v>152</v>
      </c>
      <c r="M1894" t="s">
        <v>73</v>
      </c>
      <c r="N1894" t="s">
        <v>74</v>
      </c>
      <c r="O1894" t="s">
        <v>35</v>
      </c>
      <c r="P1894">
        <v>4</v>
      </c>
      <c r="Q1894" s="2">
        <f>Ventas[[#This Row],[precio_base]]*Ventas[[#This Row],[cantidad]]</f>
        <v>449.97</v>
      </c>
      <c r="R1894" s="2">
        <f>Ventas[[#This Row],[Total bruto (antes de descuento)]]-Ventas[[#This Row],[total_venta]]</f>
        <v>0</v>
      </c>
    </row>
    <row r="1895" spans="1:18" x14ac:dyDescent="0.25">
      <c r="A1895" t="s">
        <v>1988</v>
      </c>
      <c r="B1895" s="1">
        <v>45190</v>
      </c>
      <c r="C1895" t="s">
        <v>130</v>
      </c>
      <c r="D1895" t="s">
        <v>43</v>
      </c>
      <c r="E1895">
        <v>2</v>
      </c>
      <c r="F1895" s="2">
        <v>24.99</v>
      </c>
      <c r="G1895">
        <v>0</v>
      </c>
      <c r="H1895" s="2">
        <v>24.99</v>
      </c>
      <c r="I1895" s="2">
        <v>49.98</v>
      </c>
      <c r="J1895" t="s">
        <v>51</v>
      </c>
      <c r="K1895" t="s">
        <v>52</v>
      </c>
      <c r="L1895" t="s">
        <v>21</v>
      </c>
      <c r="M1895" t="s">
        <v>120</v>
      </c>
      <c r="N1895" t="s">
        <v>23</v>
      </c>
      <c r="O1895" t="s">
        <v>24</v>
      </c>
      <c r="Q1895" s="2">
        <f>Ventas[[#This Row],[precio_base]]*Ventas[[#This Row],[cantidad]]</f>
        <v>49.98</v>
      </c>
      <c r="R1895" s="2">
        <f>Ventas[[#This Row],[Total bruto (antes de descuento)]]-Ventas[[#This Row],[total_venta]]</f>
        <v>0</v>
      </c>
    </row>
    <row r="1896" spans="1:18" x14ac:dyDescent="0.25">
      <c r="A1896" t="s">
        <v>1989</v>
      </c>
      <c r="B1896" s="1">
        <v>45397</v>
      </c>
      <c r="C1896" t="s">
        <v>37</v>
      </c>
      <c r="D1896" t="s">
        <v>38</v>
      </c>
      <c r="E1896">
        <v>5</v>
      </c>
      <c r="F1896" s="2">
        <v>34.99</v>
      </c>
      <c r="G1896">
        <v>20</v>
      </c>
      <c r="H1896" s="2">
        <v>27.99</v>
      </c>
      <c r="I1896" s="2">
        <v>139.94999999999999</v>
      </c>
      <c r="J1896" t="s">
        <v>19</v>
      </c>
      <c r="K1896" t="s">
        <v>20</v>
      </c>
      <c r="L1896" t="s">
        <v>28</v>
      </c>
      <c r="M1896" t="s">
        <v>120</v>
      </c>
      <c r="N1896" t="s">
        <v>23</v>
      </c>
      <c r="O1896" t="s">
        <v>24</v>
      </c>
      <c r="P1896">
        <v>2</v>
      </c>
      <c r="Q1896" s="2">
        <f>Ventas[[#This Row],[precio_base]]*Ventas[[#This Row],[cantidad]]</f>
        <v>174.95000000000002</v>
      </c>
      <c r="R1896" s="2">
        <f>Ventas[[#This Row],[Total bruto (antes de descuento)]]-Ventas[[#This Row],[total_venta]]</f>
        <v>35.000000000000028</v>
      </c>
    </row>
    <row r="1897" spans="1:18" x14ac:dyDescent="0.25">
      <c r="A1897" t="s">
        <v>1990</v>
      </c>
      <c r="B1897" s="1">
        <v>45342</v>
      </c>
      <c r="C1897" t="s">
        <v>37</v>
      </c>
      <c r="D1897" t="s">
        <v>38</v>
      </c>
      <c r="E1897">
        <v>4</v>
      </c>
      <c r="F1897" s="2">
        <v>34.99</v>
      </c>
      <c r="G1897">
        <v>5</v>
      </c>
      <c r="H1897" s="2">
        <v>33.24</v>
      </c>
      <c r="I1897" s="2">
        <v>132.96</v>
      </c>
      <c r="J1897" t="s">
        <v>51</v>
      </c>
      <c r="K1897" t="s">
        <v>57</v>
      </c>
      <c r="L1897" t="s">
        <v>45</v>
      </c>
      <c r="M1897" t="s">
        <v>101</v>
      </c>
      <c r="N1897" t="s">
        <v>102</v>
      </c>
      <c r="O1897" t="s">
        <v>35</v>
      </c>
      <c r="Q1897" s="2">
        <f>Ventas[[#This Row],[precio_base]]*Ventas[[#This Row],[cantidad]]</f>
        <v>139.96</v>
      </c>
      <c r="R1897" s="2">
        <f>Ventas[[#This Row],[Total bruto (antes de descuento)]]-Ventas[[#This Row],[total_venta]]</f>
        <v>7</v>
      </c>
    </row>
    <row r="1898" spans="1:18" x14ac:dyDescent="0.25">
      <c r="A1898" t="s">
        <v>1991</v>
      </c>
      <c r="B1898" s="1">
        <v>45272</v>
      </c>
      <c r="C1898" t="s">
        <v>141</v>
      </c>
      <c r="D1898" t="s">
        <v>38</v>
      </c>
      <c r="E1898">
        <v>4</v>
      </c>
      <c r="F1898" s="2">
        <v>89.99</v>
      </c>
      <c r="G1898">
        <v>0</v>
      </c>
      <c r="H1898" s="2">
        <v>89.99</v>
      </c>
      <c r="I1898" s="2">
        <v>359.96</v>
      </c>
      <c r="J1898" t="s">
        <v>51</v>
      </c>
      <c r="K1898" t="s">
        <v>20</v>
      </c>
      <c r="L1898" t="s">
        <v>28</v>
      </c>
      <c r="M1898" t="s">
        <v>22</v>
      </c>
      <c r="N1898" t="s">
        <v>23</v>
      </c>
      <c r="O1898" t="s">
        <v>24</v>
      </c>
      <c r="Q1898" s="2">
        <f>Ventas[[#This Row],[precio_base]]*Ventas[[#This Row],[cantidad]]</f>
        <v>359.96</v>
      </c>
      <c r="R1898" s="2">
        <f>Ventas[[#This Row],[Total bruto (antes de descuento)]]-Ventas[[#This Row],[total_venta]]</f>
        <v>0</v>
      </c>
    </row>
    <row r="1899" spans="1:18" x14ac:dyDescent="0.25">
      <c r="A1899" t="s">
        <v>1992</v>
      </c>
      <c r="B1899" s="1">
        <v>45509</v>
      </c>
      <c r="C1899" t="s">
        <v>115</v>
      </c>
      <c r="D1899" t="s">
        <v>18</v>
      </c>
      <c r="E1899">
        <v>5</v>
      </c>
      <c r="F1899" s="2">
        <v>799.99</v>
      </c>
      <c r="G1899">
        <v>0</v>
      </c>
      <c r="H1899" s="2">
        <v>799.99</v>
      </c>
      <c r="I1899" s="2">
        <v>3999.95</v>
      </c>
      <c r="J1899" t="s">
        <v>90</v>
      </c>
      <c r="K1899" t="s">
        <v>52</v>
      </c>
      <c r="L1899" t="s">
        <v>28</v>
      </c>
      <c r="M1899" t="s">
        <v>65</v>
      </c>
      <c r="N1899" t="s">
        <v>54</v>
      </c>
      <c r="O1899" t="s">
        <v>35</v>
      </c>
      <c r="Q1899" s="2">
        <f>Ventas[[#This Row],[precio_base]]*Ventas[[#This Row],[cantidad]]</f>
        <v>3999.95</v>
      </c>
      <c r="R1899" s="2">
        <f>Ventas[[#This Row],[Total bruto (antes de descuento)]]-Ventas[[#This Row],[total_venta]]</f>
        <v>0</v>
      </c>
    </row>
    <row r="1900" spans="1:18" x14ac:dyDescent="0.25">
      <c r="A1900" t="s">
        <v>1993</v>
      </c>
      <c r="B1900" s="1">
        <v>45310</v>
      </c>
      <c r="C1900" t="s">
        <v>72</v>
      </c>
      <c r="D1900" t="s">
        <v>31</v>
      </c>
      <c r="E1900">
        <v>3</v>
      </c>
      <c r="F1900" s="2">
        <v>29.99</v>
      </c>
      <c r="G1900">
        <v>0</v>
      </c>
      <c r="H1900" s="2">
        <v>29.99</v>
      </c>
      <c r="I1900" s="2">
        <v>89.97</v>
      </c>
      <c r="J1900" t="s">
        <v>19</v>
      </c>
      <c r="K1900" t="s">
        <v>20</v>
      </c>
      <c r="L1900" t="s">
        <v>28</v>
      </c>
      <c r="M1900" t="s">
        <v>101</v>
      </c>
      <c r="N1900" t="s">
        <v>102</v>
      </c>
      <c r="O1900" t="s">
        <v>35</v>
      </c>
      <c r="P1900">
        <v>3</v>
      </c>
      <c r="Q1900" s="2">
        <f>Ventas[[#This Row],[precio_base]]*Ventas[[#This Row],[cantidad]]</f>
        <v>89.97</v>
      </c>
      <c r="R1900" s="2">
        <f>Ventas[[#This Row],[Total bruto (antes de descuento)]]-Ventas[[#This Row],[total_venta]]</f>
        <v>0</v>
      </c>
    </row>
    <row r="1901" spans="1:18" x14ac:dyDescent="0.25">
      <c r="A1901" t="s">
        <v>1994</v>
      </c>
      <c r="B1901" s="1">
        <v>45565</v>
      </c>
      <c r="C1901" t="s">
        <v>37</v>
      </c>
      <c r="D1901" t="s">
        <v>38</v>
      </c>
      <c r="E1901">
        <v>1</v>
      </c>
      <c r="F1901" s="2">
        <v>34.99</v>
      </c>
      <c r="G1901">
        <v>0</v>
      </c>
      <c r="H1901" s="2">
        <v>34.99</v>
      </c>
      <c r="I1901" s="2">
        <v>34.99</v>
      </c>
      <c r="J1901" t="s">
        <v>19</v>
      </c>
      <c r="K1901" t="s">
        <v>52</v>
      </c>
      <c r="L1901" t="s">
        <v>28</v>
      </c>
      <c r="M1901" t="s">
        <v>65</v>
      </c>
      <c r="N1901" t="s">
        <v>54</v>
      </c>
      <c r="O1901" t="s">
        <v>35</v>
      </c>
      <c r="P1901">
        <v>5</v>
      </c>
      <c r="Q1901" s="2">
        <f>Ventas[[#This Row],[precio_base]]*Ventas[[#This Row],[cantidad]]</f>
        <v>34.99</v>
      </c>
      <c r="R1901" s="2">
        <f>Ventas[[#This Row],[Total bruto (antes de descuento)]]-Ventas[[#This Row],[total_venta]]</f>
        <v>0</v>
      </c>
    </row>
    <row r="1902" spans="1:18" x14ac:dyDescent="0.25">
      <c r="A1902" t="s">
        <v>1995</v>
      </c>
      <c r="B1902" s="1">
        <v>45369</v>
      </c>
      <c r="C1902" t="s">
        <v>205</v>
      </c>
      <c r="D1902" t="s">
        <v>18</v>
      </c>
      <c r="E1902">
        <v>4</v>
      </c>
      <c r="F1902" s="2">
        <v>129.99</v>
      </c>
      <c r="G1902">
        <v>0</v>
      </c>
      <c r="H1902" s="2">
        <v>129.99</v>
      </c>
      <c r="I1902" s="2">
        <v>519.96</v>
      </c>
      <c r="J1902" t="s">
        <v>51</v>
      </c>
      <c r="K1902" t="s">
        <v>44</v>
      </c>
      <c r="L1902" t="s">
        <v>21</v>
      </c>
      <c r="M1902" t="s">
        <v>120</v>
      </c>
      <c r="N1902" t="s">
        <v>23</v>
      </c>
      <c r="O1902" t="s">
        <v>24</v>
      </c>
      <c r="Q1902" s="2">
        <f>Ventas[[#This Row],[precio_base]]*Ventas[[#This Row],[cantidad]]</f>
        <v>519.96</v>
      </c>
      <c r="R1902" s="2">
        <f>Ventas[[#This Row],[Total bruto (antes de descuento)]]-Ventas[[#This Row],[total_venta]]</f>
        <v>0</v>
      </c>
    </row>
    <row r="1903" spans="1:18" x14ac:dyDescent="0.25">
      <c r="A1903" t="s">
        <v>1996</v>
      </c>
      <c r="B1903" s="1">
        <v>45623</v>
      </c>
      <c r="C1903" t="s">
        <v>26</v>
      </c>
      <c r="D1903" t="s">
        <v>27</v>
      </c>
      <c r="E1903">
        <v>2</v>
      </c>
      <c r="F1903" s="2">
        <v>399.99</v>
      </c>
      <c r="G1903">
        <v>15</v>
      </c>
      <c r="H1903" s="2">
        <v>339.99</v>
      </c>
      <c r="I1903" s="2">
        <v>679.98</v>
      </c>
      <c r="J1903" t="s">
        <v>19</v>
      </c>
      <c r="K1903" t="s">
        <v>52</v>
      </c>
      <c r="L1903" t="s">
        <v>21</v>
      </c>
      <c r="M1903" t="s">
        <v>39</v>
      </c>
      <c r="N1903" t="s">
        <v>40</v>
      </c>
      <c r="O1903" t="s">
        <v>35</v>
      </c>
      <c r="P1903">
        <v>3</v>
      </c>
      <c r="Q1903" s="2">
        <f>Ventas[[#This Row],[precio_base]]*Ventas[[#This Row],[cantidad]]</f>
        <v>799.98</v>
      </c>
      <c r="R1903" s="2">
        <f>Ventas[[#This Row],[Total bruto (antes de descuento)]]-Ventas[[#This Row],[total_venta]]</f>
        <v>120</v>
      </c>
    </row>
    <row r="1904" spans="1:18" x14ac:dyDescent="0.25">
      <c r="A1904" t="s">
        <v>1997</v>
      </c>
      <c r="B1904" s="1">
        <v>45406</v>
      </c>
      <c r="C1904" t="s">
        <v>163</v>
      </c>
      <c r="D1904" t="s">
        <v>18</v>
      </c>
      <c r="E1904">
        <v>2</v>
      </c>
      <c r="F1904" s="2">
        <v>499.99</v>
      </c>
      <c r="G1904">
        <v>20</v>
      </c>
      <c r="H1904" s="2">
        <v>399.99</v>
      </c>
      <c r="I1904" s="2">
        <v>799.98</v>
      </c>
      <c r="J1904" t="s">
        <v>90</v>
      </c>
      <c r="K1904" t="s">
        <v>44</v>
      </c>
      <c r="L1904" t="s">
        <v>28</v>
      </c>
      <c r="M1904" t="s">
        <v>123</v>
      </c>
      <c r="N1904" t="s">
        <v>124</v>
      </c>
      <c r="O1904" t="s">
        <v>24</v>
      </c>
      <c r="Q1904" s="2">
        <f>Ventas[[#This Row],[precio_base]]*Ventas[[#This Row],[cantidad]]</f>
        <v>999.98</v>
      </c>
      <c r="R1904" s="2">
        <f>Ventas[[#This Row],[Total bruto (antes de descuento)]]-Ventas[[#This Row],[total_venta]]</f>
        <v>200</v>
      </c>
    </row>
    <row r="1905" spans="1:18" x14ac:dyDescent="0.25">
      <c r="A1905" t="s">
        <v>1998</v>
      </c>
      <c r="B1905" s="1">
        <v>45470</v>
      </c>
      <c r="C1905" t="s">
        <v>76</v>
      </c>
      <c r="D1905" t="s">
        <v>31</v>
      </c>
      <c r="E1905">
        <v>1</v>
      </c>
      <c r="F1905" s="2">
        <v>69.989999999999995</v>
      </c>
      <c r="G1905">
        <v>15</v>
      </c>
      <c r="H1905" s="2">
        <v>59.49</v>
      </c>
      <c r="I1905" s="2">
        <v>59.49</v>
      </c>
      <c r="J1905" t="s">
        <v>19</v>
      </c>
      <c r="K1905" t="s">
        <v>20</v>
      </c>
      <c r="L1905" t="s">
        <v>21</v>
      </c>
      <c r="M1905" t="s">
        <v>95</v>
      </c>
      <c r="N1905" t="s">
        <v>96</v>
      </c>
      <c r="O1905" t="s">
        <v>48</v>
      </c>
      <c r="P1905">
        <v>1</v>
      </c>
      <c r="Q1905" s="2">
        <f>Ventas[[#This Row],[precio_base]]*Ventas[[#This Row],[cantidad]]</f>
        <v>69.989999999999995</v>
      </c>
      <c r="R1905" s="2">
        <f>Ventas[[#This Row],[Total bruto (antes de descuento)]]-Ventas[[#This Row],[total_venta]]</f>
        <v>10.499999999999993</v>
      </c>
    </row>
    <row r="1906" spans="1:18" x14ac:dyDescent="0.25">
      <c r="A1906" t="s">
        <v>1999</v>
      </c>
      <c r="B1906" s="1">
        <v>45266</v>
      </c>
      <c r="C1906" t="s">
        <v>42</v>
      </c>
      <c r="D1906" t="s">
        <v>43</v>
      </c>
      <c r="E1906">
        <v>1</v>
      </c>
      <c r="F1906" s="2">
        <v>349.99</v>
      </c>
      <c r="G1906">
        <v>0</v>
      </c>
      <c r="H1906" s="2">
        <v>349.99</v>
      </c>
      <c r="I1906" s="2">
        <v>349.99</v>
      </c>
      <c r="J1906" t="s">
        <v>90</v>
      </c>
      <c r="K1906" t="s">
        <v>20</v>
      </c>
      <c r="L1906" t="s">
        <v>21</v>
      </c>
      <c r="M1906" t="s">
        <v>123</v>
      </c>
      <c r="N1906" t="s">
        <v>124</v>
      </c>
      <c r="O1906" t="s">
        <v>24</v>
      </c>
      <c r="Q1906" s="2">
        <f>Ventas[[#This Row],[precio_base]]*Ventas[[#This Row],[cantidad]]</f>
        <v>349.99</v>
      </c>
      <c r="R1906" s="2">
        <f>Ventas[[#This Row],[Total bruto (antes de descuento)]]-Ventas[[#This Row],[total_venta]]</f>
        <v>0</v>
      </c>
    </row>
    <row r="1907" spans="1:18" x14ac:dyDescent="0.25">
      <c r="A1907" t="s">
        <v>2000</v>
      </c>
      <c r="B1907" s="1">
        <v>45145</v>
      </c>
      <c r="C1907" t="s">
        <v>83</v>
      </c>
      <c r="D1907" t="s">
        <v>38</v>
      </c>
      <c r="E1907">
        <v>1</v>
      </c>
      <c r="F1907" s="2">
        <v>49.99</v>
      </c>
      <c r="G1907">
        <v>0</v>
      </c>
      <c r="H1907" s="2">
        <v>49.99</v>
      </c>
      <c r="I1907" s="2">
        <v>49.99</v>
      </c>
      <c r="J1907" t="s">
        <v>51</v>
      </c>
      <c r="K1907" t="s">
        <v>44</v>
      </c>
      <c r="L1907" t="s">
        <v>32</v>
      </c>
      <c r="M1907" t="s">
        <v>123</v>
      </c>
      <c r="N1907" t="s">
        <v>124</v>
      </c>
      <c r="O1907" t="s">
        <v>24</v>
      </c>
      <c r="Q1907" s="2">
        <f>Ventas[[#This Row],[precio_base]]*Ventas[[#This Row],[cantidad]]</f>
        <v>49.99</v>
      </c>
      <c r="R1907" s="2">
        <f>Ventas[[#This Row],[Total bruto (antes de descuento)]]-Ventas[[#This Row],[total_venta]]</f>
        <v>0</v>
      </c>
    </row>
    <row r="1908" spans="1:18" x14ac:dyDescent="0.25">
      <c r="A1908" t="s">
        <v>2001</v>
      </c>
      <c r="B1908" s="1">
        <v>45413</v>
      </c>
      <c r="C1908" t="s">
        <v>141</v>
      </c>
      <c r="D1908" t="s">
        <v>38</v>
      </c>
      <c r="E1908">
        <v>2</v>
      </c>
      <c r="F1908" s="2">
        <v>89.99</v>
      </c>
      <c r="G1908">
        <v>0</v>
      </c>
      <c r="H1908" s="2">
        <v>89.99</v>
      </c>
      <c r="I1908" s="2">
        <v>179.98</v>
      </c>
      <c r="J1908" t="s">
        <v>19</v>
      </c>
      <c r="K1908" t="s">
        <v>44</v>
      </c>
      <c r="L1908" t="s">
        <v>152</v>
      </c>
      <c r="M1908" t="s">
        <v>39</v>
      </c>
      <c r="N1908" t="s">
        <v>40</v>
      </c>
      <c r="O1908" t="s">
        <v>35</v>
      </c>
      <c r="P1908">
        <v>2</v>
      </c>
      <c r="Q1908" s="2">
        <f>Ventas[[#This Row],[precio_base]]*Ventas[[#This Row],[cantidad]]</f>
        <v>179.98</v>
      </c>
      <c r="R1908" s="2">
        <f>Ventas[[#This Row],[Total bruto (antes de descuento)]]-Ventas[[#This Row],[total_venta]]</f>
        <v>0</v>
      </c>
    </row>
    <row r="1909" spans="1:18" x14ac:dyDescent="0.25">
      <c r="A1909" t="s">
        <v>2002</v>
      </c>
      <c r="B1909" s="1">
        <v>45094</v>
      </c>
      <c r="C1909" t="s">
        <v>37</v>
      </c>
      <c r="D1909" t="s">
        <v>38</v>
      </c>
      <c r="E1909">
        <v>1</v>
      </c>
      <c r="F1909" s="2">
        <v>34.99</v>
      </c>
      <c r="G1909">
        <v>10</v>
      </c>
      <c r="H1909" s="2">
        <v>31.49</v>
      </c>
      <c r="I1909" s="2">
        <v>31.49</v>
      </c>
      <c r="J1909" t="s">
        <v>90</v>
      </c>
      <c r="K1909" t="s">
        <v>20</v>
      </c>
      <c r="L1909" t="s">
        <v>45</v>
      </c>
      <c r="M1909" t="s">
        <v>120</v>
      </c>
      <c r="N1909" t="s">
        <v>23</v>
      </c>
      <c r="O1909" t="s">
        <v>24</v>
      </c>
      <c r="Q1909" s="2">
        <f>Ventas[[#This Row],[precio_base]]*Ventas[[#This Row],[cantidad]]</f>
        <v>34.99</v>
      </c>
      <c r="R1909" s="2">
        <f>Ventas[[#This Row],[Total bruto (antes de descuento)]]-Ventas[[#This Row],[total_venta]]</f>
        <v>3.5000000000000036</v>
      </c>
    </row>
    <row r="1910" spans="1:18" x14ac:dyDescent="0.25">
      <c r="A1910" t="s">
        <v>2003</v>
      </c>
      <c r="B1910" s="1">
        <v>45407</v>
      </c>
      <c r="C1910" t="s">
        <v>30</v>
      </c>
      <c r="D1910" t="s">
        <v>31</v>
      </c>
      <c r="E1910">
        <v>3</v>
      </c>
      <c r="F1910" s="2">
        <v>299.99</v>
      </c>
      <c r="G1910">
        <v>15</v>
      </c>
      <c r="H1910" s="2">
        <v>254.99</v>
      </c>
      <c r="I1910" s="2">
        <v>764.97</v>
      </c>
      <c r="J1910" t="s">
        <v>62</v>
      </c>
      <c r="K1910" t="s">
        <v>57</v>
      </c>
      <c r="L1910" t="s">
        <v>28</v>
      </c>
      <c r="M1910" t="s">
        <v>22</v>
      </c>
      <c r="N1910" t="s">
        <v>23</v>
      </c>
      <c r="O1910" t="s">
        <v>24</v>
      </c>
      <c r="Q1910" s="2">
        <f>Ventas[[#This Row],[precio_base]]*Ventas[[#This Row],[cantidad]]</f>
        <v>899.97</v>
      </c>
      <c r="R1910" s="2">
        <f>Ventas[[#This Row],[Total bruto (antes de descuento)]]-Ventas[[#This Row],[total_venta]]</f>
        <v>135</v>
      </c>
    </row>
    <row r="1911" spans="1:18" x14ac:dyDescent="0.25">
      <c r="A1911" t="s">
        <v>2004</v>
      </c>
      <c r="B1911" s="1">
        <v>45077</v>
      </c>
      <c r="C1911" t="s">
        <v>122</v>
      </c>
      <c r="D1911" t="s">
        <v>43</v>
      </c>
      <c r="E1911">
        <v>4</v>
      </c>
      <c r="F1911" s="2">
        <v>44.99</v>
      </c>
      <c r="G1911">
        <v>0</v>
      </c>
      <c r="H1911" s="2">
        <v>44.99</v>
      </c>
      <c r="I1911" s="2">
        <v>179.96</v>
      </c>
      <c r="J1911" t="s">
        <v>51</v>
      </c>
      <c r="K1911" t="s">
        <v>52</v>
      </c>
      <c r="L1911" t="s">
        <v>45</v>
      </c>
      <c r="M1911" t="s">
        <v>63</v>
      </c>
      <c r="N1911" t="s">
        <v>34</v>
      </c>
      <c r="O1911" t="s">
        <v>24</v>
      </c>
      <c r="Q1911" s="2">
        <f>Ventas[[#This Row],[precio_base]]*Ventas[[#This Row],[cantidad]]</f>
        <v>179.96</v>
      </c>
      <c r="R1911" s="2">
        <f>Ventas[[#This Row],[Total bruto (antes de descuento)]]-Ventas[[#This Row],[total_venta]]</f>
        <v>0</v>
      </c>
    </row>
    <row r="1912" spans="1:18" x14ac:dyDescent="0.25">
      <c r="A1912" t="s">
        <v>2005</v>
      </c>
      <c r="B1912" s="1">
        <v>45415</v>
      </c>
      <c r="C1912" t="s">
        <v>205</v>
      </c>
      <c r="D1912" t="s">
        <v>18</v>
      </c>
      <c r="E1912">
        <v>1</v>
      </c>
      <c r="F1912" s="2">
        <v>129.99</v>
      </c>
      <c r="G1912">
        <v>10</v>
      </c>
      <c r="H1912" s="2">
        <v>116.99</v>
      </c>
      <c r="I1912" s="2">
        <v>116.99</v>
      </c>
      <c r="J1912" t="s">
        <v>51</v>
      </c>
      <c r="K1912" t="s">
        <v>20</v>
      </c>
      <c r="L1912" t="s">
        <v>45</v>
      </c>
      <c r="M1912" t="s">
        <v>67</v>
      </c>
      <c r="N1912" t="s">
        <v>68</v>
      </c>
      <c r="O1912" t="s">
        <v>35</v>
      </c>
      <c r="Q1912" s="2">
        <f>Ventas[[#This Row],[precio_base]]*Ventas[[#This Row],[cantidad]]</f>
        <v>129.99</v>
      </c>
      <c r="R1912" s="2">
        <f>Ventas[[#This Row],[Total bruto (antes de descuento)]]-Ventas[[#This Row],[total_venta]]</f>
        <v>13.000000000000014</v>
      </c>
    </row>
    <row r="1913" spans="1:18" x14ac:dyDescent="0.25">
      <c r="A1913" t="s">
        <v>2006</v>
      </c>
      <c r="B1913" s="1">
        <v>45512</v>
      </c>
      <c r="C1913" t="s">
        <v>205</v>
      </c>
      <c r="D1913" t="s">
        <v>18</v>
      </c>
      <c r="E1913">
        <v>4</v>
      </c>
      <c r="F1913" s="2">
        <v>129.99</v>
      </c>
      <c r="G1913">
        <v>0</v>
      </c>
      <c r="H1913" s="2">
        <v>129.99</v>
      </c>
      <c r="I1913" s="2">
        <v>519.96</v>
      </c>
      <c r="J1913" t="s">
        <v>116</v>
      </c>
      <c r="K1913" t="s">
        <v>44</v>
      </c>
      <c r="L1913" t="s">
        <v>32</v>
      </c>
      <c r="M1913" t="s">
        <v>73</v>
      </c>
      <c r="N1913" t="s">
        <v>74</v>
      </c>
      <c r="O1913" t="s">
        <v>35</v>
      </c>
      <c r="Q1913" s="2">
        <f>Ventas[[#This Row],[precio_base]]*Ventas[[#This Row],[cantidad]]</f>
        <v>519.96</v>
      </c>
      <c r="R1913" s="2">
        <f>Ventas[[#This Row],[Total bruto (antes de descuento)]]-Ventas[[#This Row],[total_venta]]</f>
        <v>0</v>
      </c>
    </row>
    <row r="1914" spans="1:18" x14ac:dyDescent="0.25">
      <c r="A1914" t="s">
        <v>2007</v>
      </c>
      <c r="B1914" s="1">
        <v>45014</v>
      </c>
      <c r="C1914" t="s">
        <v>130</v>
      </c>
      <c r="D1914" t="s">
        <v>43</v>
      </c>
      <c r="E1914">
        <v>3</v>
      </c>
      <c r="F1914" s="2">
        <v>24.99</v>
      </c>
      <c r="G1914">
        <v>0</v>
      </c>
      <c r="H1914" s="2">
        <v>24.99</v>
      </c>
      <c r="I1914" s="2">
        <v>74.97</v>
      </c>
      <c r="J1914" t="s">
        <v>19</v>
      </c>
      <c r="K1914" t="s">
        <v>20</v>
      </c>
      <c r="L1914" t="s">
        <v>45</v>
      </c>
      <c r="M1914" t="s">
        <v>33</v>
      </c>
      <c r="N1914" t="s">
        <v>34</v>
      </c>
      <c r="O1914" t="s">
        <v>35</v>
      </c>
      <c r="P1914">
        <v>2</v>
      </c>
      <c r="Q1914" s="2">
        <f>Ventas[[#This Row],[precio_base]]*Ventas[[#This Row],[cantidad]]</f>
        <v>74.97</v>
      </c>
      <c r="R1914" s="2">
        <f>Ventas[[#This Row],[Total bruto (antes de descuento)]]-Ventas[[#This Row],[total_venta]]</f>
        <v>0</v>
      </c>
    </row>
    <row r="1915" spans="1:18" x14ac:dyDescent="0.25">
      <c r="A1915" t="s">
        <v>2008</v>
      </c>
      <c r="B1915" s="1">
        <v>45040</v>
      </c>
      <c r="C1915" t="s">
        <v>122</v>
      </c>
      <c r="D1915" t="s">
        <v>43</v>
      </c>
      <c r="E1915">
        <v>2</v>
      </c>
      <c r="F1915" s="2">
        <v>44.99</v>
      </c>
      <c r="G1915">
        <v>15</v>
      </c>
      <c r="H1915" s="2">
        <v>38.24</v>
      </c>
      <c r="I1915" s="2">
        <v>76.48</v>
      </c>
      <c r="J1915" t="s">
        <v>19</v>
      </c>
      <c r="K1915" t="s">
        <v>52</v>
      </c>
      <c r="L1915" t="s">
        <v>28</v>
      </c>
      <c r="M1915" t="s">
        <v>84</v>
      </c>
      <c r="N1915" t="s">
        <v>85</v>
      </c>
      <c r="O1915" t="s">
        <v>35</v>
      </c>
      <c r="P1915">
        <v>3</v>
      </c>
      <c r="Q1915" s="2">
        <f>Ventas[[#This Row],[precio_base]]*Ventas[[#This Row],[cantidad]]</f>
        <v>89.98</v>
      </c>
      <c r="R1915" s="2">
        <f>Ventas[[#This Row],[Total bruto (antes de descuento)]]-Ventas[[#This Row],[total_venta]]</f>
        <v>13.5</v>
      </c>
    </row>
    <row r="1916" spans="1:18" x14ac:dyDescent="0.25">
      <c r="A1916" t="s">
        <v>2009</v>
      </c>
      <c r="B1916" s="1">
        <v>45544</v>
      </c>
      <c r="C1916" t="s">
        <v>70</v>
      </c>
      <c r="D1916" t="s">
        <v>31</v>
      </c>
      <c r="E1916">
        <v>4</v>
      </c>
      <c r="F1916" s="2">
        <v>59.99</v>
      </c>
      <c r="G1916">
        <v>0</v>
      </c>
      <c r="H1916" s="2">
        <v>59.99</v>
      </c>
      <c r="I1916" s="2">
        <v>239.96</v>
      </c>
      <c r="J1916" t="s">
        <v>51</v>
      </c>
      <c r="K1916" t="s">
        <v>20</v>
      </c>
      <c r="L1916" t="s">
        <v>21</v>
      </c>
      <c r="M1916" t="s">
        <v>33</v>
      </c>
      <c r="N1916" t="s">
        <v>34</v>
      </c>
      <c r="O1916" t="s">
        <v>35</v>
      </c>
      <c r="Q1916" s="2">
        <f>Ventas[[#This Row],[precio_base]]*Ventas[[#This Row],[cantidad]]</f>
        <v>239.96</v>
      </c>
      <c r="R1916" s="2">
        <f>Ventas[[#This Row],[Total bruto (antes de descuento)]]-Ventas[[#This Row],[total_venta]]</f>
        <v>0</v>
      </c>
    </row>
    <row r="1917" spans="1:18" x14ac:dyDescent="0.25">
      <c r="A1917" t="s">
        <v>2010</v>
      </c>
      <c r="B1917" s="1">
        <v>45185</v>
      </c>
      <c r="C1917" t="s">
        <v>115</v>
      </c>
      <c r="D1917" t="s">
        <v>18</v>
      </c>
      <c r="E1917">
        <v>5</v>
      </c>
      <c r="F1917" s="2">
        <v>799.99</v>
      </c>
      <c r="G1917">
        <v>0</v>
      </c>
      <c r="H1917" s="2">
        <v>799.99</v>
      </c>
      <c r="I1917" s="2">
        <v>3999.95</v>
      </c>
      <c r="J1917" t="s">
        <v>116</v>
      </c>
      <c r="K1917" t="s">
        <v>52</v>
      </c>
      <c r="L1917" t="s">
        <v>45</v>
      </c>
      <c r="M1917" t="s">
        <v>53</v>
      </c>
      <c r="N1917" t="s">
        <v>54</v>
      </c>
      <c r="O1917" t="s">
        <v>35</v>
      </c>
      <c r="Q1917" s="2">
        <f>Ventas[[#This Row],[precio_base]]*Ventas[[#This Row],[cantidad]]</f>
        <v>3999.95</v>
      </c>
      <c r="R1917" s="2">
        <f>Ventas[[#This Row],[Total bruto (antes de descuento)]]-Ventas[[#This Row],[total_venta]]</f>
        <v>0</v>
      </c>
    </row>
    <row r="1918" spans="1:18" x14ac:dyDescent="0.25">
      <c r="A1918" t="s">
        <v>2011</v>
      </c>
      <c r="B1918" s="1">
        <v>45097</v>
      </c>
      <c r="C1918" t="s">
        <v>94</v>
      </c>
      <c r="D1918" t="s">
        <v>18</v>
      </c>
      <c r="E1918">
        <v>2</v>
      </c>
      <c r="F1918" s="2">
        <v>899.99</v>
      </c>
      <c r="G1918">
        <v>15</v>
      </c>
      <c r="H1918" s="2">
        <v>764.99</v>
      </c>
      <c r="I1918" s="2">
        <v>1529.98</v>
      </c>
      <c r="J1918" t="s">
        <v>19</v>
      </c>
      <c r="K1918" t="s">
        <v>57</v>
      </c>
      <c r="L1918" t="s">
        <v>21</v>
      </c>
      <c r="M1918" t="s">
        <v>101</v>
      </c>
      <c r="N1918" t="s">
        <v>102</v>
      </c>
      <c r="O1918" t="s">
        <v>35</v>
      </c>
      <c r="P1918">
        <v>3</v>
      </c>
      <c r="Q1918" s="2">
        <f>Ventas[[#This Row],[precio_base]]*Ventas[[#This Row],[cantidad]]</f>
        <v>1799.98</v>
      </c>
      <c r="R1918" s="2">
        <f>Ventas[[#This Row],[Total bruto (antes de descuento)]]-Ventas[[#This Row],[total_venta]]</f>
        <v>270</v>
      </c>
    </row>
    <row r="1919" spans="1:18" x14ac:dyDescent="0.25">
      <c r="A1919" t="s">
        <v>2012</v>
      </c>
      <c r="B1919" s="1">
        <v>45599</v>
      </c>
      <c r="C1919" t="s">
        <v>151</v>
      </c>
      <c r="D1919" t="s">
        <v>27</v>
      </c>
      <c r="E1919">
        <v>1</v>
      </c>
      <c r="F1919" s="2">
        <v>599.99</v>
      </c>
      <c r="G1919">
        <v>0</v>
      </c>
      <c r="H1919" s="2">
        <v>599.99</v>
      </c>
      <c r="I1919" s="2">
        <v>599.99</v>
      </c>
      <c r="J1919" t="s">
        <v>19</v>
      </c>
      <c r="K1919" t="s">
        <v>52</v>
      </c>
      <c r="L1919" t="s">
        <v>152</v>
      </c>
      <c r="M1919" t="s">
        <v>63</v>
      </c>
      <c r="N1919" t="s">
        <v>34</v>
      </c>
      <c r="O1919" t="s">
        <v>24</v>
      </c>
      <c r="P1919">
        <v>1</v>
      </c>
      <c r="Q1919" s="2">
        <f>Ventas[[#This Row],[precio_base]]*Ventas[[#This Row],[cantidad]]</f>
        <v>599.99</v>
      </c>
      <c r="R1919" s="2">
        <f>Ventas[[#This Row],[Total bruto (antes de descuento)]]-Ventas[[#This Row],[total_venta]]</f>
        <v>0</v>
      </c>
    </row>
    <row r="1920" spans="1:18" x14ac:dyDescent="0.25">
      <c r="A1920" t="s">
        <v>2013</v>
      </c>
      <c r="B1920" s="1">
        <v>45514</v>
      </c>
      <c r="C1920" t="s">
        <v>104</v>
      </c>
      <c r="D1920" t="s">
        <v>18</v>
      </c>
      <c r="E1920">
        <v>3</v>
      </c>
      <c r="F1920" s="2">
        <v>1199.99</v>
      </c>
      <c r="G1920">
        <v>5</v>
      </c>
      <c r="H1920" s="2">
        <v>1139.99</v>
      </c>
      <c r="I1920" s="2">
        <v>3419.97</v>
      </c>
      <c r="J1920" t="s">
        <v>19</v>
      </c>
      <c r="K1920" t="s">
        <v>20</v>
      </c>
      <c r="L1920" t="s">
        <v>21</v>
      </c>
      <c r="M1920" t="s">
        <v>101</v>
      </c>
      <c r="N1920" t="s">
        <v>102</v>
      </c>
      <c r="O1920" t="s">
        <v>35</v>
      </c>
      <c r="P1920">
        <v>3</v>
      </c>
      <c r="Q1920" s="2">
        <f>Ventas[[#This Row],[precio_base]]*Ventas[[#This Row],[cantidad]]</f>
        <v>3599.9700000000003</v>
      </c>
      <c r="R1920" s="2">
        <f>Ventas[[#This Row],[Total bruto (antes de descuento)]]-Ventas[[#This Row],[total_venta]]</f>
        <v>180.00000000000045</v>
      </c>
    </row>
    <row r="1921" spans="1:18" x14ac:dyDescent="0.25">
      <c r="A1921" t="s">
        <v>2014</v>
      </c>
      <c r="B1921" s="1">
        <v>45640</v>
      </c>
      <c r="C1921" t="s">
        <v>109</v>
      </c>
      <c r="D1921" t="s">
        <v>38</v>
      </c>
      <c r="E1921">
        <v>3</v>
      </c>
      <c r="F1921" s="2">
        <v>39.99</v>
      </c>
      <c r="G1921">
        <v>0</v>
      </c>
      <c r="H1921" s="2">
        <v>39.99</v>
      </c>
      <c r="I1921" s="2">
        <v>119.97</v>
      </c>
      <c r="J1921" t="s">
        <v>62</v>
      </c>
      <c r="K1921" t="s">
        <v>57</v>
      </c>
      <c r="L1921" t="s">
        <v>45</v>
      </c>
      <c r="M1921" t="s">
        <v>67</v>
      </c>
      <c r="N1921" t="s">
        <v>68</v>
      </c>
      <c r="O1921" t="s">
        <v>35</v>
      </c>
      <c r="Q1921" s="2">
        <f>Ventas[[#This Row],[precio_base]]*Ventas[[#This Row],[cantidad]]</f>
        <v>119.97</v>
      </c>
      <c r="R1921" s="2">
        <f>Ventas[[#This Row],[Total bruto (antes de descuento)]]-Ventas[[#This Row],[total_venta]]</f>
        <v>0</v>
      </c>
    </row>
    <row r="1922" spans="1:18" x14ac:dyDescent="0.25">
      <c r="A1922" t="s">
        <v>2015</v>
      </c>
      <c r="B1922" s="1">
        <v>45651</v>
      </c>
      <c r="C1922" t="s">
        <v>141</v>
      </c>
      <c r="D1922" t="s">
        <v>38</v>
      </c>
      <c r="E1922">
        <v>2</v>
      </c>
      <c r="F1922" s="2">
        <v>89.99</v>
      </c>
      <c r="G1922">
        <v>0</v>
      </c>
      <c r="H1922" s="2">
        <v>89.99</v>
      </c>
      <c r="I1922" s="2">
        <v>179.98</v>
      </c>
      <c r="J1922" t="s">
        <v>51</v>
      </c>
      <c r="K1922" t="s">
        <v>20</v>
      </c>
      <c r="L1922" t="s">
        <v>21</v>
      </c>
      <c r="M1922" t="s">
        <v>65</v>
      </c>
      <c r="N1922" t="s">
        <v>54</v>
      </c>
      <c r="O1922" t="s">
        <v>35</v>
      </c>
      <c r="Q1922" s="2">
        <f>Ventas[[#This Row],[precio_base]]*Ventas[[#This Row],[cantidad]]</f>
        <v>179.98</v>
      </c>
      <c r="R1922" s="2">
        <f>Ventas[[#This Row],[Total bruto (antes de descuento)]]-Ventas[[#This Row],[total_venta]]</f>
        <v>0</v>
      </c>
    </row>
    <row r="1923" spans="1:18" x14ac:dyDescent="0.25">
      <c r="A1923" t="s">
        <v>2016</v>
      </c>
      <c r="B1923" s="1">
        <v>45012</v>
      </c>
      <c r="C1923" t="s">
        <v>122</v>
      </c>
      <c r="D1923" t="s">
        <v>43</v>
      </c>
      <c r="E1923">
        <v>4</v>
      </c>
      <c r="F1923" s="2">
        <v>44.99</v>
      </c>
      <c r="G1923">
        <v>15</v>
      </c>
      <c r="H1923" s="2">
        <v>38.24</v>
      </c>
      <c r="I1923" s="2">
        <v>152.96</v>
      </c>
      <c r="J1923" t="s">
        <v>19</v>
      </c>
      <c r="K1923" t="s">
        <v>52</v>
      </c>
      <c r="L1923" t="s">
        <v>32</v>
      </c>
      <c r="M1923" t="s">
        <v>73</v>
      </c>
      <c r="N1923" t="s">
        <v>74</v>
      </c>
      <c r="O1923" t="s">
        <v>35</v>
      </c>
      <c r="P1923">
        <v>1</v>
      </c>
      <c r="Q1923" s="2">
        <f>Ventas[[#This Row],[precio_base]]*Ventas[[#This Row],[cantidad]]</f>
        <v>179.96</v>
      </c>
      <c r="R1923" s="2">
        <f>Ventas[[#This Row],[Total bruto (antes de descuento)]]-Ventas[[#This Row],[total_venta]]</f>
        <v>27</v>
      </c>
    </row>
    <row r="1924" spans="1:18" x14ac:dyDescent="0.25">
      <c r="A1924" t="s">
        <v>2017</v>
      </c>
      <c r="B1924" s="1">
        <v>44950</v>
      </c>
      <c r="C1924" t="s">
        <v>70</v>
      </c>
      <c r="D1924" t="s">
        <v>31</v>
      </c>
      <c r="E1924">
        <v>2</v>
      </c>
      <c r="F1924" s="2">
        <v>59.99</v>
      </c>
      <c r="G1924">
        <v>20</v>
      </c>
      <c r="H1924" s="2">
        <v>47.99</v>
      </c>
      <c r="I1924" s="2">
        <v>95.98</v>
      </c>
      <c r="J1924" t="s">
        <v>51</v>
      </c>
      <c r="K1924" t="s">
        <v>20</v>
      </c>
      <c r="L1924" t="s">
        <v>45</v>
      </c>
      <c r="M1924" t="s">
        <v>22</v>
      </c>
      <c r="N1924" t="s">
        <v>23</v>
      </c>
      <c r="O1924" t="s">
        <v>24</v>
      </c>
      <c r="Q1924" s="2">
        <f>Ventas[[#This Row],[precio_base]]*Ventas[[#This Row],[cantidad]]</f>
        <v>119.98</v>
      </c>
      <c r="R1924" s="2">
        <f>Ventas[[#This Row],[Total bruto (antes de descuento)]]-Ventas[[#This Row],[total_venta]]</f>
        <v>24</v>
      </c>
    </row>
    <row r="1925" spans="1:18" x14ac:dyDescent="0.25">
      <c r="A1925" t="s">
        <v>2018</v>
      </c>
      <c r="B1925" s="1">
        <v>45084</v>
      </c>
      <c r="C1925" t="s">
        <v>26</v>
      </c>
      <c r="D1925" t="s">
        <v>27</v>
      </c>
      <c r="E1925">
        <v>2</v>
      </c>
      <c r="F1925" s="2">
        <v>399.99</v>
      </c>
      <c r="G1925">
        <v>20</v>
      </c>
      <c r="H1925" s="2">
        <v>319.99</v>
      </c>
      <c r="I1925" s="2">
        <v>639.98</v>
      </c>
      <c r="J1925" t="s">
        <v>19</v>
      </c>
      <c r="K1925" t="s">
        <v>20</v>
      </c>
      <c r="L1925" t="s">
        <v>21</v>
      </c>
      <c r="M1925" t="s">
        <v>95</v>
      </c>
      <c r="N1925" t="s">
        <v>96</v>
      </c>
      <c r="O1925" t="s">
        <v>48</v>
      </c>
      <c r="P1925">
        <v>3</v>
      </c>
      <c r="Q1925" s="2">
        <f>Ventas[[#This Row],[precio_base]]*Ventas[[#This Row],[cantidad]]</f>
        <v>799.98</v>
      </c>
      <c r="R1925" s="2">
        <f>Ventas[[#This Row],[Total bruto (antes de descuento)]]-Ventas[[#This Row],[total_venta]]</f>
        <v>160</v>
      </c>
    </row>
    <row r="1926" spans="1:18" x14ac:dyDescent="0.25">
      <c r="A1926" t="s">
        <v>2019</v>
      </c>
      <c r="B1926" s="1">
        <v>45559</v>
      </c>
      <c r="C1926" t="s">
        <v>56</v>
      </c>
      <c r="D1926" t="s">
        <v>18</v>
      </c>
      <c r="E1926">
        <v>2</v>
      </c>
      <c r="F1926" s="2">
        <v>89.99</v>
      </c>
      <c r="G1926">
        <v>10</v>
      </c>
      <c r="H1926" s="2">
        <v>80.989999999999995</v>
      </c>
      <c r="I1926" s="2">
        <v>161.97999999999999</v>
      </c>
      <c r="J1926" t="s">
        <v>51</v>
      </c>
      <c r="K1926" t="s">
        <v>57</v>
      </c>
      <c r="L1926" t="s">
        <v>28</v>
      </c>
      <c r="M1926" t="s">
        <v>67</v>
      </c>
      <c r="N1926" t="s">
        <v>68</v>
      </c>
      <c r="O1926" t="s">
        <v>35</v>
      </c>
      <c r="Q1926" s="2">
        <f>Ventas[[#This Row],[precio_base]]*Ventas[[#This Row],[cantidad]]</f>
        <v>179.98</v>
      </c>
      <c r="R1926" s="2">
        <f>Ventas[[#This Row],[Total bruto (antes de descuento)]]-Ventas[[#This Row],[total_venta]]</f>
        <v>18</v>
      </c>
    </row>
    <row r="1927" spans="1:18" x14ac:dyDescent="0.25">
      <c r="A1927" t="s">
        <v>2020</v>
      </c>
      <c r="B1927" s="1">
        <v>45265</v>
      </c>
      <c r="C1927" t="s">
        <v>70</v>
      </c>
      <c r="D1927" t="s">
        <v>31</v>
      </c>
      <c r="E1927">
        <v>1</v>
      </c>
      <c r="F1927" s="2">
        <v>59.99</v>
      </c>
      <c r="G1927">
        <v>10</v>
      </c>
      <c r="H1927" s="2">
        <v>53.99</v>
      </c>
      <c r="I1927" s="2">
        <v>53.99</v>
      </c>
      <c r="J1927" t="s">
        <v>19</v>
      </c>
      <c r="K1927" t="s">
        <v>20</v>
      </c>
      <c r="L1927" t="s">
        <v>152</v>
      </c>
      <c r="M1927" t="s">
        <v>84</v>
      </c>
      <c r="N1927" t="s">
        <v>85</v>
      </c>
      <c r="O1927" t="s">
        <v>35</v>
      </c>
      <c r="P1927">
        <v>1</v>
      </c>
      <c r="Q1927" s="2">
        <f>Ventas[[#This Row],[precio_base]]*Ventas[[#This Row],[cantidad]]</f>
        <v>59.99</v>
      </c>
      <c r="R1927" s="2">
        <f>Ventas[[#This Row],[Total bruto (antes de descuento)]]-Ventas[[#This Row],[total_venta]]</f>
        <v>6</v>
      </c>
    </row>
    <row r="1928" spans="1:18" x14ac:dyDescent="0.25">
      <c r="A1928" t="s">
        <v>2021</v>
      </c>
      <c r="B1928" s="1">
        <v>45117</v>
      </c>
      <c r="C1928" t="s">
        <v>56</v>
      </c>
      <c r="D1928" t="s">
        <v>18</v>
      </c>
      <c r="E1928">
        <v>1</v>
      </c>
      <c r="F1928" s="2">
        <v>89.99</v>
      </c>
      <c r="G1928">
        <v>0</v>
      </c>
      <c r="H1928" s="2">
        <v>89.99</v>
      </c>
      <c r="I1928" s="2">
        <v>89.99</v>
      </c>
      <c r="J1928" t="s">
        <v>19</v>
      </c>
      <c r="K1928" t="s">
        <v>20</v>
      </c>
      <c r="L1928" t="s">
        <v>21</v>
      </c>
      <c r="M1928" t="s">
        <v>73</v>
      </c>
      <c r="N1928" t="s">
        <v>74</v>
      </c>
      <c r="O1928" t="s">
        <v>35</v>
      </c>
      <c r="P1928">
        <v>1</v>
      </c>
      <c r="Q1928" s="2">
        <f>Ventas[[#This Row],[precio_base]]*Ventas[[#This Row],[cantidad]]</f>
        <v>89.99</v>
      </c>
      <c r="R1928" s="2">
        <f>Ventas[[#This Row],[Total bruto (antes de descuento)]]-Ventas[[#This Row],[total_venta]]</f>
        <v>0</v>
      </c>
    </row>
    <row r="1929" spans="1:18" x14ac:dyDescent="0.25">
      <c r="A1929" t="s">
        <v>2022</v>
      </c>
      <c r="B1929" s="1">
        <v>45323</v>
      </c>
      <c r="C1929" t="s">
        <v>141</v>
      </c>
      <c r="D1929" t="s">
        <v>38</v>
      </c>
      <c r="E1929">
        <v>5</v>
      </c>
      <c r="F1929" s="2">
        <v>89.99</v>
      </c>
      <c r="G1929">
        <v>0</v>
      </c>
      <c r="H1929" s="2">
        <v>89.99</v>
      </c>
      <c r="I1929" s="2">
        <v>449.95</v>
      </c>
      <c r="J1929" t="s">
        <v>19</v>
      </c>
      <c r="K1929" t="s">
        <v>44</v>
      </c>
      <c r="L1929" t="s">
        <v>45</v>
      </c>
      <c r="M1929" t="s">
        <v>22</v>
      </c>
      <c r="N1929" t="s">
        <v>23</v>
      </c>
      <c r="O1929" t="s">
        <v>24</v>
      </c>
      <c r="P1929">
        <v>2</v>
      </c>
      <c r="Q1929" s="2">
        <f>Ventas[[#This Row],[precio_base]]*Ventas[[#This Row],[cantidad]]</f>
        <v>449.95</v>
      </c>
      <c r="R1929" s="2">
        <f>Ventas[[#This Row],[Total bruto (antes de descuento)]]-Ventas[[#This Row],[total_venta]]</f>
        <v>0</v>
      </c>
    </row>
    <row r="1930" spans="1:18" x14ac:dyDescent="0.25">
      <c r="A1930" t="s">
        <v>2023</v>
      </c>
      <c r="B1930" s="1">
        <v>45407</v>
      </c>
      <c r="C1930" t="s">
        <v>83</v>
      </c>
      <c r="D1930" t="s">
        <v>38</v>
      </c>
      <c r="E1930">
        <v>5</v>
      </c>
      <c r="F1930" s="2">
        <v>49.99</v>
      </c>
      <c r="G1930">
        <v>20</v>
      </c>
      <c r="H1930" s="2">
        <v>39.99</v>
      </c>
      <c r="I1930" s="2">
        <v>199.95</v>
      </c>
      <c r="J1930" t="s">
        <v>62</v>
      </c>
      <c r="K1930" t="s">
        <v>20</v>
      </c>
      <c r="L1930" t="s">
        <v>21</v>
      </c>
      <c r="M1930" t="s">
        <v>101</v>
      </c>
      <c r="N1930" t="s">
        <v>102</v>
      </c>
      <c r="O1930" t="s">
        <v>35</v>
      </c>
      <c r="Q1930" s="2">
        <f>Ventas[[#This Row],[precio_base]]*Ventas[[#This Row],[cantidad]]</f>
        <v>249.95000000000002</v>
      </c>
      <c r="R1930" s="2">
        <f>Ventas[[#This Row],[Total bruto (antes de descuento)]]-Ventas[[#This Row],[total_venta]]</f>
        <v>50.000000000000028</v>
      </c>
    </row>
    <row r="1931" spans="1:18" x14ac:dyDescent="0.25">
      <c r="A1931" t="s">
        <v>2024</v>
      </c>
      <c r="B1931" s="1">
        <v>45107</v>
      </c>
      <c r="C1931" t="s">
        <v>115</v>
      </c>
      <c r="D1931" t="s">
        <v>18</v>
      </c>
      <c r="E1931">
        <v>3</v>
      </c>
      <c r="F1931" s="2">
        <v>799.99</v>
      </c>
      <c r="G1931">
        <v>0</v>
      </c>
      <c r="H1931" s="2">
        <v>799.99</v>
      </c>
      <c r="I1931" s="2">
        <v>2399.9699999999998</v>
      </c>
      <c r="J1931" t="s">
        <v>62</v>
      </c>
      <c r="K1931" t="s">
        <v>57</v>
      </c>
      <c r="L1931" t="s">
        <v>28</v>
      </c>
      <c r="M1931" t="s">
        <v>33</v>
      </c>
      <c r="N1931" t="s">
        <v>34</v>
      </c>
      <c r="O1931" t="s">
        <v>35</v>
      </c>
      <c r="Q1931" s="2">
        <f>Ventas[[#This Row],[precio_base]]*Ventas[[#This Row],[cantidad]]</f>
        <v>2399.9700000000003</v>
      </c>
      <c r="R1931" s="2">
        <f>Ventas[[#This Row],[Total bruto (antes de descuento)]]-Ventas[[#This Row],[total_venta]]</f>
        <v>0</v>
      </c>
    </row>
    <row r="1932" spans="1:18" x14ac:dyDescent="0.25">
      <c r="A1932" t="s">
        <v>2025</v>
      </c>
      <c r="B1932" s="1">
        <v>45646</v>
      </c>
      <c r="C1932" t="s">
        <v>98</v>
      </c>
      <c r="D1932" t="s">
        <v>31</v>
      </c>
      <c r="E1932">
        <v>1</v>
      </c>
      <c r="F1932" s="2">
        <v>99.99</v>
      </c>
      <c r="G1932">
        <v>0</v>
      </c>
      <c r="H1932" s="2">
        <v>99.99</v>
      </c>
      <c r="I1932" s="2">
        <v>99.99</v>
      </c>
      <c r="J1932" t="s">
        <v>19</v>
      </c>
      <c r="K1932" t="s">
        <v>52</v>
      </c>
      <c r="L1932" t="s">
        <v>21</v>
      </c>
      <c r="M1932" t="s">
        <v>123</v>
      </c>
      <c r="N1932" t="s">
        <v>124</v>
      </c>
      <c r="O1932" t="s">
        <v>24</v>
      </c>
      <c r="P1932">
        <v>4</v>
      </c>
      <c r="Q1932" s="2">
        <f>Ventas[[#This Row],[precio_base]]*Ventas[[#This Row],[cantidad]]</f>
        <v>99.99</v>
      </c>
      <c r="R1932" s="2">
        <f>Ventas[[#This Row],[Total bruto (antes de descuento)]]-Ventas[[#This Row],[total_venta]]</f>
        <v>0</v>
      </c>
    </row>
    <row r="1933" spans="1:18" x14ac:dyDescent="0.25">
      <c r="A1933" t="s">
        <v>2026</v>
      </c>
      <c r="B1933" s="1">
        <v>45577</v>
      </c>
      <c r="C1933" t="s">
        <v>143</v>
      </c>
      <c r="D1933" t="s">
        <v>43</v>
      </c>
      <c r="E1933">
        <v>5</v>
      </c>
      <c r="F1933" s="2">
        <v>34.99</v>
      </c>
      <c r="G1933">
        <v>0</v>
      </c>
      <c r="H1933" s="2">
        <v>34.99</v>
      </c>
      <c r="I1933" s="2">
        <v>174.95</v>
      </c>
      <c r="J1933" t="s">
        <v>51</v>
      </c>
      <c r="K1933" t="s">
        <v>44</v>
      </c>
      <c r="L1933" t="s">
        <v>21</v>
      </c>
      <c r="M1933" t="s">
        <v>65</v>
      </c>
      <c r="N1933" t="s">
        <v>54</v>
      </c>
      <c r="O1933" t="s">
        <v>35</v>
      </c>
      <c r="Q1933" s="2">
        <f>Ventas[[#This Row],[precio_base]]*Ventas[[#This Row],[cantidad]]</f>
        <v>174.95000000000002</v>
      </c>
      <c r="R1933" s="2">
        <f>Ventas[[#This Row],[Total bruto (antes de descuento)]]-Ventas[[#This Row],[total_venta]]</f>
        <v>0</v>
      </c>
    </row>
    <row r="1934" spans="1:18" x14ac:dyDescent="0.25">
      <c r="A1934" t="s">
        <v>2027</v>
      </c>
      <c r="B1934" s="1">
        <v>45183</v>
      </c>
      <c r="C1934" t="s">
        <v>143</v>
      </c>
      <c r="D1934" t="s">
        <v>43</v>
      </c>
      <c r="E1934">
        <v>3</v>
      </c>
      <c r="F1934" s="2">
        <v>34.99</v>
      </c>
      <c r="G1934">
        <v>15</v>
      </c>
      <c r="H1934" s="2">
        <v>29.74</v>
      </c>
      <c r="I1934" s="2">
        <v>89.22</v>
      </c>
      <c r="J1934" t="s">
        <v>19</v>
      </c>
      <c r="K1934" t="s">
        <v>44</v>
      </c>
      <c r="L1934" t="s">
        <v>152</v>
      </c>
      <c r="M1934" t="s">
        <v>46</v>
      </c>
      <c r="N1934" t="s">
        <v>47</v>
      </c>
      <c r="O1934" t="s">
        <v>48</v>
      </c>
      <c r="P1934">
        <v>3</v>
      </c>
      <c r="Q1934" s="2">
        <f>Ventas[[#This Row],[precio_base]]*Ventas[[#This Row],[cantidad]]</f>
        <v>104.97</v>
      </c>
      <c r="R1934" s="2">
        <f>Ventas[[#This Row],[Total bruto (antes de descuento)]]-Ventas[[#This Row],[total_venta]]</f>
        <v>15.75</v>
      </c>
    </row>
    <row r="1935" spans="1:18" x14ac:dyDescent="0.25">
      <c r="A1935" t="s">
        <v>2028</v>
      </c>
      <c r="B1935" s="1">
        <v>45215</v>
      </c>
      <c r="C1935" t="s">
        <v>98</v>
      </c>
      <c r="D1935" t="s">
        <v>31</v>
      </c>
      <c r="E1935">
        <v>2</v>
      </c>
      <c r="F1935" s="2">
        <v>99.99</v>
      </c>
      <c r="G1935">
        <v>0</v>
      </c>
      <c r="H1935" s="2">
        <v>99.99</v>
      </c>
      <c r="I1935" s="2">
        <v>199.98</v>
      </c>
      <c r="J1935" t="s">
        <v>19</v>
      </c>
      <c r="K1935" t="s">
        <v>20</v>
      </c>
      <c r="L1935" t="s">
        <v>28</v>
      </c>
      <c r="M1935" t="s">
        <v>101</v>
      </c>
      <c r="N1935" t="s">
        <v>102</v>
      </c>
      <c r="O1935" t="s">
        <v>35</v>
      </c>
      <c r="P1935">
        <v>5</v>
      </c>
      <c r="Q1935" s="2">
        <f>Ventas[[#This Row],[precio_base]]*Ventas[[#This Row],[cantidad]]</f>
        <v>199.98</v>
      </c>
      <c r="R1935" s="2">
        <f>Ventas[[#This Row],[Total bruto (antes de descuento)]]-Ventas[[#This Row],[total_venta]]</f>
        <v>0</v>
      </c>
    </row>
    <row r="1936" spans="1:18" x14ac:dyDescent="0.25">
      <c r="A1936" t="s">
        <v>2029</v>
      </c>
      <c r="B1936" s="1">
        <v>45367</v>
      </c>
      <c r="C1936" t="s">
        <v>56</v>
      </c>
      <c r="D1936" t="s">
        <v>18</v>
      </c>
      <c r="E1936">
        <v>4</v>
      </c>
      <c r="F1936" s="2">
        <v>89.99</v>
      </c>
      <c r="G1936">
        <v>0</v>
      </c>
      <c r="H1936" s="2">
        <v>89.99</v>
      </c>
      <c r="I1936" s="2">
        <v>359.96</v>
      </c>
      <c r="J1936" t="s">
        <v>116</v>
      </c>
      <c r="K1936" t="s">
        <v>20</v>
      </c>
      <c r="L1936" t="s">
        <v>45</v>
      </c>
      <c r="M1936" t="s">
        <v>73</v>
      </c>
      <c r="N1936" t="s">
        <v>74</v>
      </c>
      <c r="O1936" t="s">
        <v>35</v>
      </c>
      <c r="Q1936" s="2">
        <f>Ventas[[#This Row],[precio_base]]*Ventas[[#This Row],[cantidad]]</f>
        <v>359.96</v>
      </c>
      <c r="R1936" s="2">
        <f>Ventas[[#This Row],[Total bruto (antes de descuento)]]-Ventas[[#This Row],[total_venta]]</f>
        <v>0</v>
      </c>
    </row>
    <row r="1937" spans="1:18" x14ac:dyDescent="0.25">
      <c r="A1937" t="s">
        <v>2030</v>
      </c>
      <c r="B1937" s="1">
        <v>45297</v>
      </c>
      <c r="C1937" t="s">
        <v>30</v>
      </c>
      <c r="D1937" t="s">
        <v>31</v>
      </c>
      <c r="E1937">
        <v>5</v>
      </c>
      <c r="F1937" s="2">
        <v>299.99</v>
      </c>
      <c r="G1937">
        <v>15</v>
      </c>
      <c r="H1937" s="2">
        <v>254.99</v>
      </c>
      <c r="I1937" s="2">
        <v>1274.95</v>
      </c>
      <c r="J1937" t="s">
        <v>90</v>
      </c>
      <c r="K1937" t="s">
        <v>20</v>
      </c>
      <c r="L1937" t="s">
        <v>32</v>
      </c>
      <c r="M1937" t="s">
        <v>33</v>
      </c>
      <c r="N1937" t="s">
        <v>34</v>
      </c>
      <c r="O1937" t="s">
        <v>35</v>
      </c>
      <c r="Q1937" s="2">
        <f>Ventas[[#This Row],[precio_base]]*Ventas[[#This Row],[cantidad]]</f>
        <v>1499.95</v>
      </c>
      <c r="R1937" s="2">
        <f>Ventas[[#This Row],[Total bruto (antes de descuento)]]-Ventas[[#This Row],[total_venta]]</f>
        <v>225</v>
      </c>
    </row>
    <row r="1938" spans="1:18" x14ac:dyDescent="0.25">
      <c r="A1938" t="s">
        <v>2031</v>
      </c>
      <c r="B1938" s="1">
        <v>45388</v>
      </c>
      <c r="C1938" t="s">
        <v>89</v>
      </c>
      <c r="D1938" t="s">
        <v>38</v>
      </c>
      <c r="E1938">
        <v>4</v>
      </c>
      <c r="F1938" s="2">
        <v>69.989999999999995</v>
      </c>
      <c r="G1938">
        <v>0</v>
      </c>
      <c r="H1938" s="2">
        <v>69.989999999999995</v>
      </c>
      <c r="I1938" s="2">
        <v>279.95999999999998</v>
      </c>
      <c r="J1938" t="s">
        <v>19</v>
      </c>
      <c r="K1938" t="s">
        <v>44</v>
      </c>
      <c r="L1938" t="s">
        <v>45</v>
      </c>
      <c r="M1938" t="s">
        <v>39</v>
      </c>
      <c r="N1938" t="s">
        <v>40</v>
      </c>
      <c r="O1938" t="s">
        <v>35</v>
      </c>
      <c r="P1938">
        <v>2</v>
      </c>
      <c r="Q1938" s="2">
        <f>Ventas[[#This Row],[precio_base]]*Ventas[[#This Row],[cantidad]]</f>
        <v>279.95999999999998</v>
      </c>
      <c r="R1938" s="2">
        <f>Ventas[[#This Row],[Total bruto (antes de descuento)]]-Ventas[[#This Row],[total_venta]]</f>
        <v>0</v>
      </c>
    </row>
    <row r="1939" spans="1:18" x14ac:dyDescent="0.25">
      <c r="A1939" t="s">
        <v>2032</v>
      </c>
      <c r="B1939" s="1">
        <v>45160</v>
      </c>
      <c r="C1939" t="s">
        <v>26</v>
      </c>
      <c r="D1939" t="s">
        <v>27</v>
      </c>
      <c r="E1939">
        <v>2</v>
      </c>
      <c r="F1939" s="2">
        <v>399.99</v>
      </c>
      <c r="G1939">
        <v>0</v>
      </c>
      <c r="H1939" s="2">
        <v>399.99</v>
      </c>
      <c r="I1939" s="2">
        <v>799.98</v>
      </c>
      <c r="J1939" t="s">
        <v>51</v>
      </c>
      <c r="K1939" t="s">
        <v>44</v>
      </c>
      <c r="L1939" t="s">
        <v>45</v>
      </c>
      <c r="M1939" t="s">
        <v>120</v>
      </c>
      <c r="N1939" t="s">
        <v>23</v>
      </c>
      <c r="O1939" t="s">
        <v>24</v>
      </c>
      <c r="Q1939" s="2">
        <f>Ventas[[#This Row],[precio_base]]*Ventas[[#This Row],[cantidad]]</f>
        <v>799.98</v>
      </c>
      <c r="R1939" s="2">
        <f>Ventas[[#This Row],[Total bruto (antes de descuento)]]-Ventas[[#This Row],[total_venta]]</f>
        <v>0</v>
      </c>
    </row>
    <row r="1940" spans="1:18" x14ac:dyDescent="0.25">
      <c r="A1940" t="s">
        <v>2033</v>
      </c>
      <c r="B1940" s="1">
        <v>45339</v>
      </c>
      <c r="C1940" t="s">
        <v>151</v>
      </c>
      <c r="D1940" t="s">
        <v>27</v>
      </c>
      <c r="E1940">
        <v>4</v>
      </c>
      <c r="F1940" s="2">
        <v>599.99</v>
      </c>
      <c r="G1940">
        <v>5</v>
      </c>
      <c r="H1940" s="2">
        <v>569.99</v>
      </c>
      <c r="I1940" s="2">
        <v>2279.96</v>
      </c>
      <c r="J1940" t="s">
        <v>19</v>
      </c>
      <c r="K1940" t="s">
        <v>52</v>
      </c>
      <c r="L1940" t="s">
        <v>45</v>
      </c>
      <c r="M1940" t="s">
        <v>84</v>
      </c>
      <c r="N1940" t="s">
        <v>85</v>
      </c>
      <c r="O1940" t="s">
        <v>35</v>
      </c>
      <c r="P1940">
        <v>1</v>
      </c>
      <c r="Q1940" s="2">
        <f>Ventas[[#This Row],[precio_base]]*Ventas[[#This Row],[cantidad]]</f>
        <v>2399.96</v>
      </c>
      <c r="R1940" s="2">
        <f>Ventas[[#This Row],[Total bruto (antes de descuento)]]-Ventas[[#This Row],[total_venta]]</f>
        <v>120</v>
      </c>
    </row>
    <row r="1941" spans="1:18" x14ac:dyDescent="0.25">
      <c r="A1941" t="s">
        <v>2034</v>
      </c>
      <c r="B1941" s="1">
        <v>45069</v>
      </c>
      <c r="C1941" t="s">
        <v>70</v>
      </c>
      <c r="D1941" t="s">
        <v>31</v>
      </c>
      <c r="E1941">
        <v>3</v>
      </c>
      <c r="F1941" s="2">
        <v>59.99</v>
      </c>
      <c r="G1941">
        <v>5</v>
      </c>
      <c r="H1941" s="2">
        <v>56.99</v>
      </c>
      <c r="I1941" s="2">
        <v>170.97</v>
      </c>
      <c r="J1941" t="s">
        <v>116</v>
      </c>
      <c r="K1941" t="s">
        <v>20</v>
      </c>
      <c r="L1941" t="s">
        <v>45</v>
      </c>
      <c r="M1941" t="s">
        <v>73</v>
      </c>
      <c r="N1941" t="s">
        <v>74</v>
      </c>
      <c r="O1941" t="s">
        <v>35</v>
      </c>
      <c r="Q1941" s="2">
        <f>Ventas[[#This Row],[precio_base]]*Ventas[[#This Row],[cantidad]]</f>
        <v>179.97</v>
      </c>
      <c r="R1941" s="2">
        <f>Ventas[[#This Row],[Total bruto (antes de descuento)]]-Ventas[[#This Row],[total_venta]]</f>
        <v>9</v>
      </c>
    </row>
    <row r="1942" spans="1:18" x14ac:dyDescent="0.25">
      <c r="A1942" t="s">
        <v>2035</v>
      </c>
      <c r="B1942" s="1">
        <v>45371</v>
      </c>
      <c r="C1942" t="s">
        <v>70</v>
      </c>
      <c r="D1942" t="s">
        <v>31</v>
      </c>
      <c r="E1942">
        <v>2</v>
      </c>
      <c r="F1942" s="2">
        <v>59.99</v>
      </c>
      <c r="G1942">
        <v>0</v>
      </c>
      <c r="H1942" s="2">
        <v>59.99</v>
      </c>
      <c r="I1942" s="2">
        <v>119.98</v>
      </c>
      <c r="J1942" t="s">
        <v>19</v>
      </c>
      <c r="K1942" t="s">
        <v>20</v>
      </c>
      <c r="L1942" t="s">
        <v>21</v>
      </c>
      <c r="M1942" t="s">
        <v>63</v>
      </c>
      <c r="N1942" t="s">
        <v>34</v>
      </c>
      <c r="O1942" t="s">
        <v>24</v>
      </c>
      <c r="P1942">
        <v>4</v>
      </c>
      <c r="Q1942" s="2">
        <f>Ventas[[#This Row],[precio_base]]*Ventas[[#This Row],[cantidad]]</f>
        <v>119.98</v>
      </c>
      <c r="R1942" s="2">
        <f>Ventas[[#This Row],[Total bruto (antes de descuento)]]-Ventas[[#This Row],[total_venta]]</f>
        <v>0</v>
      </c>
    </row>
    <row r="1943" spans="1:18" x14ac:dyDescent="0.25">
      <c r="A1943" t="s">
        <v>2036</v>
      </c>
      <c r="B1943" s="1">
        <v>45080</v>
      </c>
      <c r="C1943" t="s">
        <v>61</v>
      </c>
      <c r="D1943" t="s">
        <v>38</v>
      </c>
      <c r="E1943">
        <v>3</v>
      </c>
      <c r="F1943" s="2">
        <v>19.989999999999998</v>
      </c>
      <c r="G1943">
        <v>0</v>
      </c>
      <c r="H1943" s="2">
        <v>19.989999999999998</v>
      </c>
      <c r="I1943" s="2">
        <v>59.97</v>
      </c>
      <c r="J1943" t="s">
        <v>19</v>
      </c>
      <c r="K1943" t="s">
        <v>20</v>
      </c>
      <c r="L1943" t="s">
        <v>32</v>
      </c>
      <c r="M1943" t="s">
        <v>120</v>
      </c>
      <c r="N1943" t="s">
        <v>23</v>
      </c>
      <c r="O1943" t="s">
        <v>24</v>
      </c>
      <c r="P1943">
        <v>5</v>
      </c>
      <c r="Q1943" s="2">
        <f>Ventas[[#This Row],[precio_base]]*Ventas[[#This Row],[cantidad]]</f>
        <v>59.97</v>
      </c>
      <c r="R1943" s="2">
        <f>Ventas[[#This Row],[Total bruto (antes de descuento)]]-Ventas[[#This Row],[total_venta]]</f>
        <v>0</v>
      </c>
    </row>
    <row r="1944" spans="1:18" x14ac:dyDescent="0.25">
      <c r="A1944" t="s">
        <v>2037</v>
      </c>
      <c r="B1944" s="1">
        <v>45211</v>
      </c>
      <c r="C1944" t="s">
        <v>163</v>
      </c>
      <c r="D1944" t="s">
        <v>18</v>
      </c>
      <c r="E1944">
        <v>2</v>
      </c>
      <c r="F1944" s="2">
        <v>499.99</v>
      </c>
      <c r="G1944">
        <v>5</v>
      </c>
      <c r="H1944" s="2">
        <v>474.99</v>
      </c>
      <c r="I1944" s="2">
        <v>949.98</v>
      </c>
      <c r="J1944" t="s">
        <v>51</v>
      </c>
      <c r="K1944" t="s">
        <v>20</v>
      </c>
      <c r="L1944" t="s">
        <v>152</v>
      </c>
      <c r="M1944" t="s">
        <v>101</v>
      </c>
      <c r="N1944" t="s">
        <v>102</v>
      </c>
      <c r="O1944" t="s">
        <v>35</v>
      </c>
      <c r="Q1944" s="2">
        <f>Ventas[[#This Row],[precio_base]]*Ventas[[#This Row],[cantidad]]</f>
        <v>999.98</v>
      </c>
      <c r="R1944" s="2">
        <f>Ventas[[#This Row],[Total bruto (antes de descuento)]]-Ventas[[#This Row],[total_venta]]</f>
        <v>50</v>
      </c>
    </row>
    <row r="1945" spans="1:18" x14ac:dyDescent="0.25">
      <c r="A1945" t="s">
        <v>2038</v>
      </c>
      <c r="B1945" s="1">
        <v>45090</v>
      </c>
      <c r="C1945" t="s">
        <v>92</v>
      </c>
      <c r="D1945" t="s">
        <v>27</v>
      </c>
      <c r="E1945">
        <v>1</v>
      </c>
      <c r="F1945" s="2">
        <v>79.989999999999995</v>
      </c>
      <c r="G1945">
        <v>0</v>
      </c>
      <c r="H1945" s="2">
        <v>79.989999999999995</v>
      </c>
      <c r="I1945" s="2">
        <v>79.989999999999995</v>
      </c>
      <c r="J1945" t="s">
        <v>116</v>
      </c>
      <c r="K1945" t="s">
        <v>57</v>
      </c>
      <c r="L1945" t="s">
        <v>28</v>
      </c>
      <c r="M1945" t="s">
        <v>95</v>
      </c>
      <c r="N1945" t="s">
        <v>96</v>
      </c>
      <c r="O1945" t="s">
        <v>48</v>
      </c>
      <c r="Q1945" s="2">
        <f>Ventas[[#This Row],[precio_base]]*Ventas[[#This Row],[cantidad]]</f>
        <v>79.989999999999995</v>
      </c>
      <c r="R1945" s="2">
        <f>Ventas[[#This Row],[Total bruto (antes de descuento)]]-Ventas[[#This Row],[total_venta]]</f>
        <v>0</v>
      </c>
    </row>
    <row r="1946" spans="1:18" x14ac:dyDescent="0.25">
      <c r="A1946" t="s">
        <v>2039</v>
      </c>
      <c r="B1946" s="1">
        <v>45549</v>
      </c>
      <c r="C1946" t="s">
        <v>83</v>
      </c>
      <c r="D1946" t="s">
        <v>38</v>
      </c>
      <c r="E1946">
        <v>2</v>
      </c>
      <c r="F1946" s="2">
        <v>49.99</v>
      </c>
      <c r="G1946">
        <v>0</v>
      </c>
      <c r="H1946" s="2">
        <v>49.99</v>
      </c>
      <c r="I1946" s="2">
        <v>99.98</v>
      </c>
      <c r="J1946" t="s">
        <v>19</v>
      </c>
      <c r="K1946" t="s">
        <v>52</v>
      </c>
      <c r="L1946" t="s">
        <v>45</v>
      </c>
      <c r="M1946" t="s">
        <v>101</v>
      </c>
      <c r="N1946" t="s">
        <v>102</v>
      </c>
      <c r="O1946" t="s">
        <v>35</v>
      </c>
      <c r="P1946">
        <v>1</v>
      </c>
      <c r="Q1946" s="2">
        <f>Ventas[[#This Row],[precio_base]]*Ventas[[#This Row],[cantidad]]</f>
        <v>99.98</v>
      </c>
      <c r="R1946" s="2">
        <f>Ventas[[#This Row],[Total bruto (antes de descuento)]]-Ventas[[#This Row],[total_venta]]</f>
        <v>0</v>
      </c>
    </row>
    <row r="1947" spans="1:18" x14ac:dyDescent="0.25">
      <c r="A1947" t="s">
        <v>2040</v>
      </c>
      <c r="B1947" s="1">
        <v>45242</v>
      </c>
      <c r="C1947" t="s">
        <v>72</v>
      </c>
      <c r="D1947" t="s">
        <v>31</v>
      </c>
      <c r="E1947">
        <v>2</v>
      </c>
      <c r="F1947" s="2">
        <v>29.99</v>
      </c>
      <c r="G1947">
        <v>0</v>
      </c>
      <c r="H1947" s="2">
        <v>29.99</v>
      </c>
      <c r="I1947" s="2">
        <v>59.98</v>
      </c>
      <c r="J1947" t="s">
        <v>51</v>
      </c>
      <c r="K1947" t="s">
        <v>44</v>
      </c>
      <c r="L1947" t="s">
        <v>28</v>
      </c>
      <c r="M1947" t="s">
        <v>73</v>
      </c>
      <c r="N1947" t="s">
        <v>74</v>
      </c>
      <c r="O1947" t="s">
        <v>35</v>
      </c>
      <c r="Q1947" s="2">
        <f>Ventas[[#This Row],[precio_base]]*Ventas[[#This Row],[cantidad]]</f>
        <v>59.98</v>
      </c>
      <c r="R1947" s="2">
        <f>Ventas[[#This Row],[Total bruto (antes de descuento)]]-Ventas[[#This Row],[total_venta]]</f>
        <v>0</v>
      </c>
    </row>
    <row r="1948" spans="1:18" x14ac:dyDescent="0.25">
      <c r="A1948" t="s">
        <v>2041</v>
      </c>
      <c r="B1948" s="1">
        <v>45540</v>
      </c>
      <c r="C1948" t="s">
        <v>78</v>
      </c>
      <c r="D1948" t="s">
        <v>18</v>
      </c>
      <c r="E1948">
        <v>5</v>
      </c>
      <c r="F1948" s="2">
        <v>349.99</v>
      </c>
      <c r="G1948">
        <v>0</v>
      </c>
      <c r="H1948" s="2">
        <v>349.99</v>
      </c>
      <c r="I1948" s="2">
        <v>1749.95</v>
      </c>
      <c r="J1948" t="s">
        <v>19</v>
      </c>
      <c r="K1948" t="s">
        <v>52</v>
      </c>
      <c r="L1948" t="s">
        <v>32</v>
      </c>
      <c r="M1948" t="s">
        <v>123</v>
      </c>
      <c r="N1948" t="s">
        <v>124</v>
      </c>
      <c r="O1948" t="s">
        <v>24</v>
      </c>
      <c r="P1948">
        <v>3</v>
      </c>
      <c r="Q1948" s="2">
        <f>Ventas[[#This Row],[precio_base]]*Ventas[[#This Row],[cantidad]]</f>
        <v>1749.95</v>
      </c>
      <c r="R1948" s="2">
        <f>Ventas[[#This Row],[Total bruto (antes de descuento)]]-Ventas[[#This Row],[total_venta]]</f>
        <v>0</v>
      </c>
    </row>
    <row r="1949" spans="1:18" x14ac:dyDescent="0.25">
      <c r="A1949" t="s">
        <v>2042</v>
      </c>
      <c r="B1949" s="1">
        <v>45505</v>
      </c>
      <c r="C1949" t="s">
        <v>92</v>
      </c>
      <c r="D1949" t="s">
        <v>27</v>
      </c>
      <c r="E1949">
        <v>1</v>
      </c>
      <c r="F1949" s="2">
        <v>79.989999999999995</v>
      </c>
      <c r="G1949">
        <v>0</v>
      </c>
      <c r="H1949" s="2">
        <v>79.989999999999995</v>
      </c>
      <c r="I1949" s="2">
        <v>79.989999999999995</v>
      </c>
      <c r="J1949" t="s">
        <v>19</v>
      </c>
      <c r="K1949" t="s">
        <v>20</v>
      </c>
      <c r="L1949" t="s">
        <v>152</v>
      </c>
      <c r="M1949" t="s">
        <v>120</v>
      </c>
      <c r="N1949" t="s">
        <v>23</v>
      </c>
      <c r="O1949" t="s">
        <v>24</v>
      </c>
      <c r="P1949">
        <v>2</v>
      </c>
      <c r="Q1949" s="2">
        <f>Ventas[[#This Row],[precio_base]]*Ventas[[#This Row],[cantidad]]</f>
        <v>79.989999999999995</v>
      </c>
      <c r="R1949" s="2">
        <f>Ventas[[#This Row],[Total bruto (antes de descuento)]]-Ventas[[#This Row],[total_venta]]</f>
        <v>0</v>
      </c>
    </row>
    <row r="1950" spans="1:18" x14ac:dyDescent="0.25">
      <c r="A1950" t="s">
        <v>2043</v>
      </c>
      <c r="B1950" s="1">
        <v>45247</v>
      </c>
      <c r="C1950" t="s">
        <v>72</v>
      </c>
      <c r="D1950" t="s">
        <v>31</v>
      </c>
      <c r="E1950">
        <v>4</v>
      </c>
      <c r="F1950" s="2">
        <v>29.99</v>
      </c>
      <c r="G1950">
        <v>20</v>
      </c>
      <c r="H1950" s="2">
        <v>23.99</v>
      </c>
      <c r="I1950" s="2">
        <v>95.96</v>
      </c>
      <c r="J1950" t="s">
        <v>19</v>
      </c>
      <c r="K1950" t="s">
        <v>44</v>
      </c>
      <c r="L1950" t="s">
        <v>21</v>
      </c>
      <c r="M1950" t="s">
        <v>123</v>
      </c>
      <c r="N1950" t="s">
        <v>124</v>
      </c>
      <c r="O1950" t="s">
        <v>24</v>
      </c>
      <c r="P1950">
        <v>2</v>
      </c>
      <c r="Q1950" s="2">
        <f>Ventas[[#This Row],[precio_base]]*Ventas[[#This Row],[cantidad]]</f>
        <v>119.96</v>
      </c>
      <c r="R1950" s="2">
        <f>Ventas[[#This Row],[Total bruto (antes de descuento)]]-Ventas[[#This Row],[total_venta]]</f>
        <v>24</v>
      </c>
    </row>
    <row r="1951" spans="1:18" x14ac:dyDescent="0.25">
      <c r="A1951" t="s">
        <v>2044</v>
      </c>
      <c r="B1951" s="1">
        <v>45057</v>
      </c>
      <c r="C1951" t="s">
        <v>141</v>
      </c>
      <c r="D1951" t="s">
        <v>38</v>
      </c>
      <c r="E1951">
        <v>5</v>
      </c>
      <c r="F1951" s="2">
        <v>89.99</v>
      </c>
      <c r="G1951">
        <v>0</v>
      </c>
      <c r="H1951" s="2">
        <v>89.99</v>
      </c>
      <c r="I1951" s="2">
        <v>449.95</v>
      </c>
      <c r="J1951" t="s">
        <v>51</v>
      </c>
      <c r="K1951" t="s">
        <v>20</v>
      </c>
      <c r="L1951" t="s">
        <v>32</v>
      </c>
      <c r="M1951" t="s">
        <v>33</v>
      </c>
      <c r="N1951" t="s">
        <v>34</v>
      </c>
      <c r="O1951" t="s">
        <v>35</v>
      </c>
      <c r="Q1951" s="2">
        <f>Ventas[[#This Row],[precio_base]]*Ventas[[#This Row],[cantidad]]</f>
        <v>449.95</v>
      </c>
      <c r="R1951" s="2">
        <f>Ventas[[#This Row],[Total bruto (antes de descuento)]]-Ventas[[#This Row],[total_venta]]</f>
        <v>0</v>
      </c>
    </row>
    <row r="1952" spans="1:18" x14ac:dyDescent="0.25">
      <c r="A1952" t="s">
        <v>2045</v>
      </c>
      <c r="B1952" s="1">
        <v>45427</v>
      </c>
      <c r="C1952" t="s">
        <v>26</v>
      </c>
      <c r="D1952" t="s">
        <v>27</v>
      </c>
      <c r="E1952">
        <v>4</v>
      </c>
      <c r="F1952" s="2">
        <v>399.99</v>
      </c>
      <c r="G1952">
        <v>0</v>
      </c>
      <c r="H1952" s="2">
        <v>399.99</v>
      </c>
      <c r="I1952" s="2">
        <v>1599.96</v>
      </c>
      <c r="J1952" t="s">
        <v>19</v>
      </c>
      <c r="K1952" t="s">
        <v>20</v>
      </c>
      <c r="L1952" t="s">
        <v>28</v>
      </c>
      <c r="M1952" t="s">
        <v>53</v>
      </c>
      <c r="N1952" t="s">
        <v>54</v>
      </c>
      <c r="O1952" t="s">
        <v>35</v>
      </c>
      <c r="P1952">
        <v>5</v>
      </c>
      <c r="Q1952" s="2">
        <f>Ventas[[#This Row],[precio_base]]*Ventas[[#This Row],[cantidad]]</f>
        <v>1599.96</v>
      </c>
      <c r="R1952" s="2">
        <f>Ventas[[#This Row],[Total bruto (antes de descuento)]]-Ventas[[#This Row],[total_venta]]</f>
        <v>0</v>
      </c>
    </row>
    <row r="1953" spans="1:18" x14ac:dyDescent="0.25">
      <c r="A1953" t="s">
        <v>2046</v>
      </c>
      <c r="B1953" s="1">
        <v>45256</v>
      </c>
      <c r="C1953" t="s">
        <v>56</v>
      </c>
      <c r="D1953" t="s">
        <v>18</v>
      </c>
      <c r="E1953">
        <v>5</v>
      </c>
      <c r="F1953" s="2">
        <v>89.99</v>
      </c>
      <c r="G1953">
        <v>5</v>
      </c>
      <c r="H1953" s="2">
        <v>85.49</v>
      </c>
      <c r="I1953" s="2">
        <v>427.45</v>
      </c>
      <c r="J1953" t="s">
        <v>19</v>
      </c>
      <c r="K1953" t="s">
        <v>52</v>
      </c>
      <c r="L1953" t="s">
        <v>152</v>
      </c>
      <c r="M1953" t="s">
        <v>53</v>
      </c>
      <c r="N1953" t="s">
        <v>54</v>
      </c>
      <c r="O1953" t="s">
        <v>35</v>
      </c>
      <c r="P1953">
        <v>3</v>
      </c>
      <c r="Q1953" s="2">
        <f>Ventas[[#This Row],[precio_base]]*Ventas[[#This Row],[cantidad]]</f>
        <v>449.95</v>
      </c>
      <c r="R1953" s="2">
        <f>Ventas[[#This Row],[Total bruto (antes de descuento)]]-Ventas[[#This Row],[total_venta]]</f>
        <v>22.5</v>
      </c>
    </row>
    <row r="1954" spans="1:18" x14ac:dyDescent="0.25">
      <c r="A1954" t="s">
        <v>2047</v>
      </c>
      <c r="B1954" s="1">
        <v>44995</v>
      </c>
      <c r="C1954" t="s">
        <v>151</v>
      </c>
      <c r="D1954" t="s">
        <v>27</v>
      </c>
      <c r="E1954">
        <v>4</v>
      </c>
      <c r="F1954" s="2">
        <v>599.99</v>
      </c>
      <c r="G1954">
        <v>20</v>
      </c>
      <c r="H1954" s="2">
        <v>479.99</v>
      </c>
      <c r="I1954" s="2">
        <v>1919.96</v>
      </c>
      <c r="J1954" t="s">
        <v>19</v>
      </c>
      <c r="K1954" t="s">
        <v>20</v>
      </c>
      <c r="L1954" t="s">
        <v>21</v>
      </c>
      <c r="M1954" t="s">
        <v>39</v>
      </c>
      <c r="N1954" t="s">
        <v>40</v>
      </c>
      <c r="O1954" t="s">
        <v>35</v>
      </c>
      <c r="P1954">
        <v>1</v>
      </c>
      <c r="Q1954" s="2">
        <f>Ventas[[#This Row],[precio_base]]*Ventas[[#This Row],[cantidad]]</f>
        <v>2399.96</v>
      </c>
      <c r="R1954" s="2">
        <f>Ventas[[#This Row],[Total bruto (antes de descuento)]]-Ventas[[#This Row],[total_venta]]</f>
        <v>480</v>
      </c>
    </row>
    <row r="1955" spans="1:18" x14ac:dyDescent="0.25">
      <c r="A1955" t="s">
        <v>2048</v>
      </c>
      <c r="B1955" s="1">
        <v>45412</v>
      </c>
      <c r="C1955" t="s">
        <v>163</v>
      </c>
      <c r="D1955" t="s">
        <v>18</v>
      </c>
      <c r="E1955">
        <v>2</v>
      </c>
      <c r="F1955" s="2">
        <v>499.99</v>
      </c>
      <c r="G1955">
        <v>15</v>
      </c>
      <c r="H1955" s="2">
        <v>424.99</v>
      </c>
      <c r="I1955" s="2">
        <v>849.98</v>
      </c>
      <c r="J1955" t="s">
        <v>19</v>
      </c>
      <c r="K1955" t="s">
        <v>52</v>
      </c>
      <c r="L1955" t="s">
        <v>45</v>
      </c>
      <c r="M1955" t="s">
        <v>123</v>
      </c>
      <c r="N1955" t="s">
        <v>124</v>
      </c>
      <c r="O1955" t="s">
        <v>24</v>
      </c>
      <c r="P1955">
        <v>2</v>
      </c>
      <c r="Q1955" s="2">
        <f>Ventas[[#This Row],[precio_base]]*Ventas[[#This Row],[cantidad]]</f>
        <v>999.98</v>
      </c>
      <c r="R1955" s="2">
        <f>Ventas[[#This Row],[Total bruto (antes de descuento)]]-Ventas[[#This Row],[total_venta]]</f>
        <v>150</v>
      </c>
    </row>
    <row r="1956" spans="1:18" x14ac:dyDescent="0.25">
      <c r="A1956" t="s">
        <v>2049</v>
      </c>
      <c r="B1956" s="1">
        <v>45206</v>
      </c>
      <c r="C1956" t="s">
        <v>141</v>
      </c>
      <c r="D1956" t="s">
        <v>38</v>
      </c>
      <c r="E1956">
        <v>4</v>
      </c>
      <c r="F1956" s="2">
        <v>89.99</v>
      </c>
      <c r="G1956">
        <v>0</v>
      </c>
      <c r="H1956" s="2">
        <v>89.99</v>
      </c>
      <c r="I1956" s="2">
        <v>359.96</v>
      </c>
      <c r="J1956" t="s">
        <v>51</v>
      </c>
      <c r="K1956" t="s">
        <v>20</v>
      </c>
      <c r="L1956" t="s">
        <v>32</v>
      </c>
      <c r="M1956" t="s">
        <v>65</v>
      </c>
      <c r="N1956" t="s">
        <v>54</v>
      </c>
      <c r="O1956" t="s">
        <v>35</v>
      </c>
      <c r="Q1956" s="2">
        <f>Ventas[[#This Row],[precio_base]]*Ventas[[#This Row],[cantidad]]</f>
        <v>359.96</v>
      </c>
      <c r="R1956" s="2">
        <f>Ventas[[#This Row],[Total bruto (antes de descuento)]]-Ventas[[#This Row],[total_venta]]</f>
        <v>0</v>
      </c>
    </row>
    <row r="1957" spans="1:18" x14ac:dyDescent="0.25">
      <c r="A1957" t="s">
        <v>2050</v>
      </c>
      <c r="B1957" s="1">
        <v>45119</v>
      </c>
      <c r="C1957" t="s">
        <v>122</v>
      </c>
      <c r="D1957" t="s">
        <v>43</v>
      </c>
      <c r="E1957">
        <v>5</v>
      </c>
      <c r="F1957" s="2">
        <v>44.99</v>
      </c>
      <c r="G1957">
        <v>10</v>
      </c>
      <c r="H1957" s="2">
        <v>40.49</v>
      </c>
      <c r="I1957" s="2">
        <v>202.45</v>
      </c>
      <c r="J1957" t="s">
        <v>19</v>
      </c>
      <c r="K1957" t="s">
        <v>20</v>
      </c>
      <c r="L1957" t="s">
        <v>32</v>
      </c>
      <c r="M1957" t="s">
        <v>84</v>
      </c>
      <c r="N1957" t="s">
        <v>85</v>
      </c>
      <c r="O1957" t="s">
        <v>35</v>
      </c>
      <c r="P1957">
        <v>5</v>
      </c>
      <c r="Q1957" s="2">
        <f>Ventas[[#This Row],[precio_base]]*Ventas[[#This Row],[cantidad]]</f>
        <v>224.95000000000002</v>
      </c>
      <c r="R1957" s="2">
        <f>Ventas[[#This Row],[Total bruto (antes de descuento)]]-Ventas[[#This Row],[total_venta]]</f>
        <v>22.500000000000028</v>
      </c>
    </row>
    <row r="1958" spans="1:18" x14ac:dyDescent="0.25">
      <c r="A1958" t="s">
        <v>2051</v>
      </c>
      <c r="B1958" s="1">
        <v>45443</v>
      </c>
      <c r="C1958" t="s">
        <v>83</v>
      </c>
      <c r="D1958" t="s">
        <v>38</v>
      </c>
      <c r="E1958">
        <v>2</v>
      </c>
      <c r="F1958" s="2">
        <v>49.99</v>
      </c>
      <c r="G1958">
        <v>20</v>
      </c>
      <c r="H1958" s="2">
        <v>39.99</v>
      </c>
      <c r="I1958" s="2">
        <v>79.98</v>
      </c>
      <c r="J1958" t="s">
        <v>19</v>
      </c>
      <c r="K1958" t="s">
        <v>52</v>
      </c>
      <c r="L1958" t="s">
        <v>21</v>
      </c>
      <c r="M1958" t="s">
        <v>84</v>
      </c>
      <c r="N1958" t="s">
        <v>85</v>
      </c>
      <c r="O1958" t="s">
        <v>35</v>
      </c>
      <c r="P1958">
        <v>3</v>
      </c>
      <c r="Q1958" s="2">
        <f>Ventas[[#This Row],[precio_base]]*Ventas[[#This Row],[cantidad]]</f>
        <v>99.98</v>
      </c>
      <c r="R1958" s="2">
        <f>Ventas[[#This Row],[Total bruto (antes de descuento)]]-Ventas[[#This Row],[total_venta]]</f>
        <v>20</v>
      </c>
    </row>
    <row r="1959" spans="1:18" x14ac:dyDescent="0.25">
      <c r="A1959" t="s">
        <v>2052</v>
      </c>
      <c r="B1959" s="1">
        <v>45136</v>
      </c>
      <c r="C1959" t="s">
        <v>78</v>
      </c>
      <c r="D1959" t="s">
        <v>18</v>
      </c>
      <c r="E1959">
        <v>3</v>
      </c>
      <c r="F1959" s="2">
        <v>349.99</v>
      </c>
      <c r="G1959">
        <v>0</v>
      </c>
      <c r="H1959" s="2">
        <v>349.99</v>
      </c>
      <c r="I1959" s="2">
        <v>1049.97</v>
      </c>
      <c r="J1959" t="s">
        <v>19</v>
      </c>
      <c r="K1959" t="s">
        <v>52</v>
      </c>
      <c r="L1959" t="s">
        <v>21</v>
      </c>
      <c r="M1959" t="s">
        <v>73</v>
      </c>
      <c r="N1959" t="s">
        <v>74</v>
      </c>
      <c r="O1959" t="s">
        <v>35</v>
      </c>
      <c r="P1959">
        <v>4</v>
      </c>
      <c r="Q1959" s="2">
        <f>Ventas[[#This Row],[precio_base]]*Ventas[[#This Row],[cantidad]]</f>
        <v>1049.97</v>
      </c>
      <c r="R1959" s="2">
        <f>Ventas[[#This Row],[Total bruto (antes de descuento)]]-Ventas[[#This Row],[total_venta]]</f>
        <v>0</v>
      </c>
    </row>
    <row r="1960" spans="1:18" x14ac:dyDescent="0.25">
      <c r="A1960" t="s">
        <v>2053</v>
      </c>
      <c r="B1960" s="1">
        <v>45078</v>
      </c>
      <c r="C1960" t="s">
        <v>151</v>
      </c>
      <c r="D1960" t="s">
        <v>27</v>
      </c>
      <c r="E1960">
        <v>4</v>
      </c>
      <c r="F1960" s="2">
        <v>599.99</v>
      </c>
      <c r="G1960">
        <v>10</v>
      </c>
      <c r="H1960" s="2">
        <v>539.99</v>
      </c>
      <c r="I1960" s="2">
        <v>2159.96</v>
      </c>
      <c r="J1960" t="s">
        <v>19</v>
      </c>
      <c r="K1960" t="s">
        <v>52</v>
      </c>
      <c r="L1960" t="s">
        <v>21</v>
      </c>
      <c r="M1960" t="s">
        <v>101</v>
      </c>
      <c r="N1960" t="s">
        <v>102</v>
      </c>
      <c r="O1960" t="s">
        <v>35</v>
      </c>
      <c r="P1960">
        <v>3</v>
      </c>
      <c r="Q1960" s="2">
        <f>Ventas[[#This Row],[precio_base]]*Ventas[[#This Row],[cantidad]]</f>
        <v>2399.96</v>
      </c>
      <c r="R1960" s="2">
        <f>Ventas[[#This Row],[Total bruto (antes de descuento)]]-Ventas[[#This Row],[total_venta]]</f>
        <v>240</v>
      </c>
    </row>
    <row r="1961" spans="1:18" x14ac:dyDescent="0.25">
      <c r="A1961" t="s">
        <v>2054</v>
      </c>
      <c r="B1961" s="1">
        <v>45393</v>
      </c>
      <c r="C1961" t="s">
        <v>61</v>
      </c>
      <c r="D1961" t="s">
        <v>38</v>
      </c>
      <c r="E1961">
        <v>2</v>
      </c>
      <c r="F1961" s="2">
        <v>19.989999999999998</v>
      </c>
      <c r="G1961">
        <v>15</v>
      </c>
      <c r="H1961" s="2">
        <v>16.989999999999998</v>
      </c>
      <c r="I1961" s="2">
        <v>33.979999999999997</v>
      </c>
      <c r="J1961" t="s">
        <v>51</v>
      </c>
      <c r="K1961" t="s">
        <v>20</v>
      </c>
      <c r="L1961" t="s">
        <v>21</v>
      </c>
      <c r="M1961" t="s">
        <v>58</v>
      </c>
      <c r="N1961" t="s">
        <v>59</v>
      </c>
      <c r="O1961" t="s">
        <v>24</v>
      </c>
      <c r="Q1961" s="2">
        <f>Ventas[[#This Row],[precio_base]]*Ventas[[#This Row],[cantidad]]</f>
        <v>39.979999999999997</v>
      </c>
      <c r="R1961" s="2">
        <f>Ventas[[#This Row],[Total bruto (antes de descuento)]]-Ventas[[#This Row],[total_venta]]</f>
        <v>6</v>
      </c>
    </row>
    <row r="1962" spans="1:18" x14ac:dyDescent="0.25">
      <c r="A1962" t="s">
        <v>2055</v>
      </c>
      <c r="B1962" s="1">
        <v>44944</v>
      </c>
      <c r="C1962" t="s">
        <v>17</v>
      </c>
      <c r="D1962" t="s">
        <v>18</v>
      </c>
      <c r="E1962">
        <v>1</v>
      </c>
      <c r="F1962" s="2">
        <v>45.99</v>
      </c>
      <c r="G1962">
        <v>20</v>
      </c>
      <c r="H1962" s="2">
        <v>36.79</v>
      </c>
      <c r="I1962" s="2">
        <v>36.79</v>
      </c>
      <c r="J1962" t="s">
        <v>19</v>
      </c>
      <c r="K1962" t="s">
        <v>20</v>
      </c>
      <c r="L1962" t="s">
        <v>21</v>
      </c>
      <c r="M1962" t="s">
        <v>101</v>
      </c>
      <c r="N1962" t="s">
        <v>102</v>
      </c>
      <c r="O1962" t="s">
        <v>35</v>
      </c>
      <c r="P1962">
        <v>4</v>
      </c>
      <c r="Q1962" s="2">
        <f>Ventas[[#This Row],[precio_base]]*Ventas[[#This Row],[cantidad]]</f>
        <v>45.99</v>
      </c>
      <c r="R1962" s="2">
        <f>Ventas[[#This Row],[Total bruto (antes de descuento)]]-Ventas[[#This Row],[total_venta]]</f>
        <v>9.2000000000000028</v>
      </c>
    </row>
    <row r="1963" spans="1:18" x14ac:dyDescent="0.25">
      <c r="A1963" t="s">
        <v>2056</v>
      </c>
      <c r="B1963" s="1">
        <v>45490</v>
      </c>
      <c r="C1963" t="s">
        <v>104</v>
      </c>
      <c r="D1963" t="s">
        <v>18</v>
      </c>
      <c r="E1963">
        <v>4</v>
      </c>
      <c r="F1963" s="2">
        <v>1199.99</v>
      </c>
      <c r="G1963">
        <v>15</v>
      </c>
      <c r="H1963" s="2">
        <v>1019.99</v>
      </c>
      <c r="I1963" s="2">
        <v>4079.96</v>
      </c>
      <c r="J1963" t="s">
        <v>19</v>
      </c>
      <c r="K1963" t="s">
        <v>20</v>
      </c>
      <c r="L1963" t="s">
        <v>32</v>
      </c>
      <c r="M1963" t="s">
        <v>63</v>
      </c>
      <c r="N1963" t="s">
        <v>34</v>
      </c>
      <c r="O1963" t="s">
        <v>24</v>
      </c>
      <c r="P1963">
        <v>1</v>
      </c>
      <c r="Q1963" s="2">
        <f>Ventas[[#This Row],[precio_base]]*Ventas[[#This Row],[cantidad]]</f>
        <v>4799.96</v>
      </c>
      <c r="R1963" s="2">
        <f>Ventas[[#This Row],[Total bruto (antes de descuento)]]-Ventas[[#This Row],[total_venta]]</f>
        <v>720</v>
      </c>
    </row>
    <row r="1964" spans="1:18" x14ac:dyDescent="0.25">
      <c r="A1964" t="s">
        <v>2057</v>
      </c>
      <c r="B1964" s="1">
        <v>45586</v>
      </c>
      <c r="C1964" t="s">
        <v>83</v>
      </c>
      <c r="D1964" t="s">
        <v>38</v>
      </c>
      <c r="E1964">
        <v>3</v>
      </c>
      <c r="F1964" s="2">
        <v>49.99</v>
      </c>
      <c r="G1964">
        <v>10</v>
      </c>
      <c r="H1964" s="2">
        <v>44.99</v>
      </c>
      <c r="I1964" s="2">
        <v>134.97</v>
      </c>
      <c r="J1964" t="s">
        <v>51</v>
      </c>
      <c r="K1964" t="s">
        <v>52</v>
      </c>
      <c r="L1964" t="s">
        <v>21</v>
      </c>
      <c r="M1964" t="s">
        <v>46</v>
      </c>
      <c r="N1964" t="s">
        <v>47</v>
      </c>
      <c r="O1964" t="s">
        <v>48</v>
      </c>
      <c r="Q1964" s="2">
        <f>Ventas[[#This Row],[precio_base]]*Ventas[[#This Row],[cantidad]]</f>
        <v>149.97</v>
      </c>
      <c r="R1964" s="2">
        <f>Ventas[[#This Row],[Total bruto (antes de descuento)]]-Ventas[[#This Row],[total_venta]]</f>
        <v>15</v>
      </c>
    </row>
    <row r="1965" spans="1:18" x14ac:dyDescent="0.25">
      <c r="A1965" t="s">
        <v>2058</v>
      </c>
      <c r="B1965" s="1">
        <v>45657</v>
      </c>
      <c r="C1965" t="s">
        <v>78</v>
      </c>
      <c r="D1965" t="s">
        <v>18</v>
      </c>
      <c r="E1965">
        <v>4</v>
      </c>
      <c r="F1965" s="2">
        <v>349.99</v>
      </c>
      <c r="G1965">
        <v>0</v>
      </c>
      <c r="H1965" s="2">
        <v>349.99</v>
      </c>
      <c r="I1965" s="2">
        <v>1399.96</v>
      </c>
      <c r="J1965" t="s">
        <v>90</v>
      </c>
      <c r="K1965" t="s">
        <v>20</v>
      </c>
      <c r="L1965" t="s">
        <v>45</v>
      </c>
      <c r="M1965" t="s">
        <v>63</v>
      </c>
      <c r="N1965" t="s">
        <v>34</v>
      </c>
      <c r="O1965" t="s">
        <v>24</v>
      </c>
      <c r="Q1965" s="2">
        <f>Ventas[[#This Row],[precio_base]]*Ventas[[#This Row],[cantidad]]</f>
        <v>1399.96</v>
      </c>
      <c r="R1965" s="2">
        <f>Ventas[[#This Row],[Total bruto (antes de descuento)]]-Ventas[[#This Row],[total_venta]]</f>
        <v>0</v>
      </c>
    </row>
    <row r="1966" spans="1:18" x14ac:dyDescent="0.25">
      <c r="A1966" t="s">
        <v>2059</v>
      </c>
      <c r="B1966" s="1">
        <v>45657</v>
      </c>
      <c r="C1966" t="s">
        <v>163</v>
      </c>
      <c r="D1966" t="s">
        <v>18</v>
      </c>
      <c r="E1966">
        <v>1</v>
      </c>
      <c r="F1966" s="2">
        <v>499.99</v>
      </c>
      <c r="G1966">
        <v>20</v>
      </c>
      <c r="H1966" s="2">
        <v>399.99</v>
      </c>
      <c r="I1966" s="2">
        <v>399.99</v>
      </c>
      <c r="J1966" t="s">
        <v>19</v>
      </c>
      <c r="K1966" t="s">
        <v>20</v>
      </c>
      <c r="L1966" t="s">
        <v>45</v>
      </c>
      <c r="M1966" t="s">
        <v>123</v>
      </c>
      <c r="N1966" t="s">
        <v>124</v>
      </c>
      <c r="O1966" t="s">
        <v>24</v>
      </c>
      <c r="P1966">
        <v>1</v>
      </c>
      <c r="Q1966" s="2">
        <f>Ventas[[#This Row],[precio_base]]*Ventas[[#This Row],[cantidad]]</f>
        <v>499.99</v>
      </c>
      <c r="R1966" s="2">
        <f>Ventas[[#This Row],[Total bruto (antes de descuento)]]-Ventas[[#This Row],[total_venta]]</f>
        <v>100</v>
      </c>
    </row>
    <row r="1967" spans="1:18" x14ac:dyDescent="0.25">
      <c r="A1967" t="s">
        <v>2060</v>
      </c>
      <c r="B1967" s="1">
        <v>45431</v>
      </c>
      <c r="C1967" t="s">
        <v>109</v>
      </c>
      <c r="D1967" t="s">
        <v>38</v>
      </c>
      <c r="E1967">
        <v>5</v>
      </c>
      <c r="F1967" s="2">
        <v>39.99</v>
      </c>
      <c r="G1967">
        <v>0</v>
      </c>
      <c r="H1967" s="2">
        <v>39.99</v>
      </c>
      <c r="I1967" s="2">
        <v>199.95</v>
      </c>
      <c r="J1967" t="s">
        <v>19</v>
      </c>
      <c r="K1967" t="s">
        <v>52</v>
      </c>
      <c r="L1967" t="s">
        <v>28</v>
      </c>
      <c r="M1967" t="s">
        <v>73</v>
      </c>
      <c r="N1967" t="s">
        <v>74</v>
      </c>
      <c r="O1967" t="s">
        <v>35</v>
      </c>
      <c r="P1967">
        <v>5</v>
      </c>
      <c r="Q1967" s="2">
        <f>Ventas[[#This Row],[precio_base]]*Ventas[[#This Row],[cantidad]]</f>
        <v>199.95000000000002</v>
      </c>
      <c r="R1967" s="2">
        <f>Ventas[[#This Row],[Total bruto (antes de descuento)]]-Ventas[[#This Row],[total_venta]]</f>
        <v>0</v>
      </c>
    </row>
    <row r="1968" spans="1:18" x14ac:dyDescent="0.25">
      <c r="A1968" t="s">
        <v>2061</v>
      </c>
      <c r="B1968" s="1">
        <v>45018</v>
      </c>
      <c r="C1968" t="s">
        <v>143</v>
      </c>
      <c r="D1968" t="s">
        <v>43</v>
      </c>
      <c r="E1968">
        <v>2</v>
      </c>
      <c r="F1968" s="2">
        <v>34.99</v>
      </c>
      <c r="G1968">
        <v>5</v>
      </c>
      <c r="H1968" s="2">
        <v>33.24</v>
      </c>
      <c r="I1968" s="2">
        <v>66.48</v>
      </c>
      <c r="J1968" t="s">
        <v>19</v>
      </c>
      <c r="K1968" t="s">
        <v>52</v>
      </c>
      <c r="L1968" t="s">
        <v>21</v>
      </c>
      <c r="M1968" t="s">
        <v>39</v>
      </c>
      <c r="N1968" t="s">
        <v>40</v>
      </c>
      <c r="O1968" t="s">
        <v>35</v>
      </c>
      <c r="P1968">
        <v>2</v>
      </c>
      <c r="Q1968" s="2">
        <f>Ventas[[#This Row],[precio_base]]*Ventas[[#This Row],[cantidad]]</f>
        <v>69.98</v>
      </c>
      <c r="R1968" s="2">
        <f>Ventas[[#This Row],[Total bruto (antes de descuento)]]-Ventas[[#This Row],[total_venta]]</f>
        <v>3.5</v>
      </c>
    </row>
    <row r="1969" spans="1:18" x14ac:dyDescent="0.25">
      <c r="A1969" t="s">
        <v>2062</v>
      </c>
      <c r="B1969" s="1">
        <v>44984</v>
      </c>
      <c r="C1969" t="s">
        <v>72</v>
      </c>
      <c r="D1969" t="s">
        <v>31</v>
      </c>
      <c r="E1969">
        <v>5</v>
      </c>
      <c r="F1969" s="2">
        <v>29.99</v>
      </c>
      <c r="G1969">
        <v>0</v>
      </c>
      <c r="H1969" s="2">
        <v>29.99</v>
      </c>
      <c r="I1969" s="2">
        <v>149.94999999999999</v>
      </c>
      <c r="J1969" t="s">
        <v>19</v>
      </c>
      <c r="K1969" t="s">
        <v>44</v>
      </c>
      <c r="L1969" t="s">
        <v>45</v>
      </c>
      <c r="M1969" t="s">
        <v>67</v>
      </c>
      <c r="N1969" t="s">
        <v>68</v>
      </c>
      <c r="O1969" t="s">
        <v>35</v>
      </c>
      <c r="P1969">
        <v>1</v>
      </c>
      <c r="Q1969" s="2">
        <f>Ventas[[#This Row],[precio_base]]*Ventas[[#This Row],[cantidad]]</f>
        <v>149.94999999999999</v>
      </c>
      <c r="R1969" s="2">
        <f>Ventas[[#This Row],[Total bruto (antes de descuento)]]-Ventas[[#This Row],[total_venta]]</f>
        <v>0</v>
      </c>
    </row>
    <row r="1970" spans="1:18" x14ac:dyDescent="0.25">
      <c r="A1970" t="s">
        <v>2063</v>
      </c>
      <c r="B1970" s="1">
        <v>45151</v>
      </c>
      <c r="C1970" t="s">
        <v>98</v>
      </c>
      <c r="D1970" t="s">
        <v>31</v>
      </c>
      <c r="E1970">
        <v>2</v>
      </c>
      <c r="F1970" s="2">
        <v>99.99</v>
      </c>
      <c r="G1970">
        <v>0</v>
      </c>
      <c r="H1970" s="2">
        <v>99.99</v>
      </c>
      <c r="I1970" s="2">
        <v>199.98</v>
      </c>
      <c r="J1970" t="s">
        <v>90</v>
      </c>
      <c r="K1970" t="s">
        <v>44</v>
      </c>
      <c r="L1970" t="s">
        <v>21</v>
      </c>
      <c r="M1970" t="s">
        <v>63</v>
      </c>
      <c r="N1970" t="s">
        <v>34</v>
      </c>
      <c r="O1970" t="s">
        <v>24</v>
      </c>
      <c r="Q1970" s="2">
        <f>Ventas[[#This Row],[precio_base]]*Ventas[[#This Row],[cantidad]]</f>
        <v>199.98</v>
      </c>
      <c r="R1970" s="2">
        <f>Ventas[[#This Row],[Total bruto (antes de descuento)]]-Ventas[[#This Row],[total_venta]]</f>
        <v>0</v>
      </c>
    </row>
    <row r="1971" spans="1:18" x14ac:dyDescent="0.25">
      <c r="A1971" t="s">
        <v>2064</v>
      </c>
      <c r="B1971" s="1">
        <v>45576</v>
      </c>
      <c r="C1971" t="s">
        <v>81</v>
      </c>
      <c r="D1971" t="s">
        <v>31</v>
      </c>
      <c r="E1971">
        <v>4</v>
      </c>
      <c r="F1971" s="2">
        <v>189.99</v>
      </c>
      <c r="G1971">
        <v>0</v>
      </c>
      <c r="H1971" s="2">
        <v>189.99</v>
      </c>
      <c r="I1971" s="2">
        <v>759.96</v>
      </c>
      <c r="J1971" t="s">
        <v>19</v>
      </c>
      <c r="K1971" t="s">
        <v>44</v>
      </c>
      <c r="L1971" t="s">
        <v>28</v>
      </c>
      <c r="M1971" t="s">
        <v>58</v>
      </c>
      <c r="N1971" t="s">
        <v>59</v>
      </c>
      <c r="O1971" t="s">
        <v>24</v>
      </c>
      <c r="P1971">
        <v>4</v>
      </c>
      <c r="Q1971" s="2">
        <f>Ventas[[#This Row],[precio_base]]*Ventas[[#This Row],[cantidad]]</f>
        <v>759.96</v>
      </c>
      <c r="R1971" s="2">
        <f>Ventas[[#This Row],[Total bruto (antes de descuento)]]-Ventas[[#This Row],[total_venta]]</f>
        <v>0</v>
      </c>
    </row>
    <row r="1972" spans="1:18" x14ac:dyDescent="0.25">
      <c r="A1972" t="s">
        <v>2065</v>
      </c>
      <c r="B1972" s="1">
        <v>45490</v>
      </c>
      <c r="C1972" t="s">
        <v>56</v>
      </c>
      <c r="D1972" t="s">
        <v>18</v>
      </c>
      <c r="E1972">
        <v>1</v>
      </c>
      <c r="F1972" s="2">
        <v>89.99</v>
      </c>
      <c r="G1972">
        <v>0</v>
      </c>
      <c r="H1972" s="2">
        <v>89.99</v>
      </c>
      <c r="I1972" s="2">
        <v>89.99</v>
      </c>
      <c r="J1972" t="s">
        <v>19</v>
      </c>
      <c r="K1972" t="s">
        <v>20</v>
      </c>
      <c r="L1972" t="s">
        <v>45</v>
      </c>
      <c r="M1972" t="s">
        <v>22</v>
      </c>
      <c r="N1972" t="s">
        <v>23</v>
      </c>
      <c r="O1972" t="s">
        <v>24</v>
      </c>
      <c r="P1972">
        <v>3</v>
      </c>
      <c r="Q1972" s="2">
        <f>Ventas[[#This Row],[precio_base]]*Ventas[[#This Row],[cantidad]]</f>
        <v>89.99</v>
      </c>
      <c r="R1972" s="2">
        <f>Ventas[[#This Row],[Total bruto (antes de descuento)]]-Ventas[[#This Row],[total_venta]]</f>
        <v>0</v>
      </c>
    </row>
    <row r="1973" spans="1:18" x14ac:dyDescent="0.25">
      <c r="A1973" t="s">
        <v>2066</v>
      </c>
      <c r="B1973" s="1">
        <v>45645</v>
      </c>
      <c r="C1973" t="s">
        <v>56</v>
      </c>
      <c r="D1973" t="s">
        <v>18</v>
      </c>
      <c r="E1973">
        <v>5</v>
      </c>
      <c r="F1973" s="2">
        <v>89.99</v>
      </c>
      <c r="G1973">
        <v>0</v>
      </c>
      <c r="H1973" s="2">
        <v>89.99</v>
      </c>
      <c r="I1973" s="2">
        <v>449.95</v>
      </c>
      <c r="J1973" t="s">
        <v>19</v>
      </c>
      <c r="K1973" t="s">
        <v>20</v>
      </c>
      <c r="L1973" t="s">
        <v>21</v>
      </c>
      <c r="M1973" t="s">
        <v>67</v>
      </c>
      <c r="N1973" t="s">
        <v>68</v>
      </c>
      <c r="O1973" t="s">
        <v>35</v>
      </c>
      <c r="P1973">
        <v>5</v>
      </c>
      <c r="Q1973" s="2">
        <f>Ventas[[#This Row],[precio_base]]*Ventas[[#This Row],[cantidad]]</f>
        <v>449.95</v>
      </c>
      <c r="R1973" s="2">
        <f>Ventas[[#This Row],[Total bruto (antes de descuento)]]-Ventas[[#This Row],[total_venta]]</f>
        <v>0</v>
      </c>
    </row>
    <row r="1974" spans="1:18" x14ac:dyDescent="0.25">
      <c r="A1974" t="s">
        <v>2067</v>
      </c>
      <c r="B1974" s="1">
        <v>44934</v>
      </c>
      <c r="C1974" t="s">
        <v>122</v>
      </c>
      <c r="D1974" t="s">
        <v>43</v>
      </c>
      <c r="E1974">
        <v>5</v>
      </c>
      <c r="F1974" s="2">
        <v>44.99</v>
      </c>
      <c r="G1974">
        <v>0</v>
      </c>
      <c r="H1974" s="2">
        <v>44.99</v>
      </c>
      <c r="I1974" s="2">
        <v>224.95</v>
      </c>
      <c r="J1974" t="s">
        <v>19</v>
      </c>
      <c r="K1974" t="s">
        <v>44</v>
      </c>
      <c r="L1974" t="s">
        <v>21</v>
      </c>
      <c r="M1974" t="s">
        <v>123</v>
      </c>
      <c r="N1974" t="s">
        <v>124</v>
      </c>
      <c r="O1974" t="s">
        <v>24</v>
      </c>
      <c r="P1974">
        <v>2</v>
      </c>
      <c r="Q1974" s="2">
        <f>Ventas[[#This Row],[precio_base]]*Ventas[[#This Row],[cantidad]]</f>
        <v>224.95000000000002</v>
      </c>
      <c r="R1974" s="2">
        <f>Ventas[[#This Row],[Total bruto (antes de descuento)]]-Ventas[[#This Row],[total_venta]]</f>
        <v>0</v>
      </c>
    </row>
    <row r="1975" spans="1:18" x14ac:dyDescent="0.25">
      <c r="A1975" t="s">
        <v>2068</v>
      </c>
      <c r="B1975" s="1">
        <v>45549</v>
      </c>
      <c r="C1975" t="s">
        <v>61</v>
      </c>
      <c r="D1975" t="s">
        <v>38</v>
      </c>
      <c r="E1975">
        <v>3</v>
      </c>
      <c r="F1975" s="2">
        <v>19.989999999999998</v>
      </c>
      <c r="G1975">
        <v>0</v>
      </c>
      <c r="H1975" s="2">
        <v>19.989999999999998</v>
      </c>
      <c r="I1975" s="2">
        <v>59.97</v>
      </c>
      <c r="J1975" t="s">
        <v>19</v>
      </c>
      <c r="K1975" t="s">
        <v>20</v>
      </c>
      <c r="L1975" t="s">
        <v>28</v>
      </c>
      <c r="M1975" t="s">
        <v>58</v>
      </c>
      <c r="N1975" t="s">
        <v>59</v>
      </c>
      <c r="O1975" t="s">
        <v>24</v>
      </c>
      <c r="P1975">
        <v>4</v>
      </c>
      <c r="Q1975" s="2">
        <f>Ventas[[#This Row],[precio_base]]*Ventas[[#This Row],[cantidad]]</f>
        <v>59.97</v>
      </c>
      <c r="R1975" s="2">
        <f>Ventas[[#This Row],[Total bruto (antes de descuento)]]-Ventas[[#This Row],[total_venta]]</f>
        <v>0</v>
      </c>
    </row>
    <row r="1976" spans="1:18" x14ac:dyDescent="0.25">
      <c r="A1976" t="s">
        <v>2069</v>
      </c>
      <c r="B1976" s="1">
        <v>44956</v>
      </c>
      <c r="C1976" t="s">
        <v>151</v>
      </c>
      <c r="D1976" t="s">
        <v>27</v>
      </c>
      <c r="E1976">
        <v>5</v>
      </c>
      <c r="F1976" s="2">
        <v>599.99</v>
      </c>
      <c r="G1976">
        <v>15</v>
      </c>
      <c r="H1976" s="2">
        <v>509.99</v>
      </c>
      <c r="I1976" s="2">
        <v>2549.9499999999998</v>
      </c>
      <c r="J1976" t="s">
        <v>51</v>
      </c>
      <c r="K1976" t="s">
        <v>20</v>
      </c>
      <c r="L1976" t="s">
        <v>21</v>
      </c>
      <c r="M1976" t="s">
        <v>39</v>
      </c>
      <c r="N1976" t="s">
        <v>40</v>
      </c>
      <c r="O1976" t="s">
        <v>35</v>
      </c>
      <c r="Q1976" s="2">
        <f>Ventas[[#This Row],[precio_base]]*Ventas[[#This Row],[cantidad]]</f>
        <v>2999.95</v>
      </c>
      <c r="R1976" s="2">
        <f>Ventas[[#This Row],[Total bruto (antes de descuento)]]-Ventas[[#This Row],[total_venta]]</f>
        <v>450</v>
      </c>
    </row>
    <row r="1977" spans="1:18" x14ac:dyDescent="0.25">
      <c r="A1977" t="s">
        <v>2070</v>
      </c>
      <c r="B1977" s="1">
        <v>44969</v>
      </c>
      <c r="C1977" t="s">
        <v>109</v>
      </c>
      <c r="D1977" t="s">
        <v>38</v>
      </c>
      <c r="E1977">
        <v>1</v>
      </c>
      <c r="F1977" s="2">
        <v>39.99</v>
      </c>
      <c r="G1977">
        <v>15</v>
      </c>
      <c r="H1977" s="2">
        <v>33.99</v>
      </c>
      <c r="I1977" s="2">
        <v>33.99</v>
      </c>
      <c r="J1977" t="s">
        <v>90</v>
      </c>
      <c r="K1977" t="s">
        <v>20</v>
      </c>
      <c r="L1977" t="s">
        <v>45</v>
      </c>
      <c r="M1977" t="s">
        <v>22</v>
      </c>
      <c r="N1977" t="s">
        <v>23</v>
      </c>
      <c r="O1977" t="s">
        <v>24</v>
      </c>
      <c r="Q1977" s="2">
        <f>Ventas[[#This Row],[precio_base]]*Ventas[[#This Row],[cantidad]]</f>
        <v>39.99</v>
      </c>
      <c r="R1977" s="2">
        <f>Ventas[[#This Row],[Total bruto (antes de descuento)]]-Ventas[[#This Row],[total_venta]]</f>
        <v>6</v>
      </c>
    </row>
    <row r="1978" spans="1:18" x14ac:dyDescent="0.25">
      <c r="A1978" t="s">
        <v>2071</v>
      </c>
      <c r="B1978" s="1">
        <v>45232</v>
      </c>
      <c r="C1978" t="s">
        <v>143</v>
      </c>
      <c r="D1978" t="s">
        <v>43</v>
      </c>
      <c r="E1978">
        <v>2</v>
      </c>
      <c r="F1978" s="2">
        <v>34.99</v>
      </c>
      <c r="G1978">
        <v>10</v>
      </c>
      <c r="H1978" s="2">
        <v>31.49</v>
      </c>
      <c r="I1978" s="2">
        <v>62.98</v>
      </c>
      <c r="J1978" t="s">
        <v>62</v>
      </c>
      <c r="K1978" t="s">
        <v>44</v>
      </c>
      <c r="L1978" t="s">
        <v>28</v>
      </c>
      <c r="M1978" t="s">
        <v>123</v>
      </c>
      <c r="N1978" t="s">
        <v>124</v>
      </c>
      <c r="O1978" t="s">
        <v>24</v>
      </c>
      <c r="Q1978" s="2">
        <f>Ventas[[#This Row],[precio_base]]*Ventas[[#This Row],[cantidad]]</f>
        <v>69.98</v>
      </c>
      <c r="R1978" s="2">
        <f>Ventas[[#This Row],[Total bruto (antes de descuento)]]-Ventas[[#This Row],[total_venta]]</f>
        <v>7.0000000000000071</v>
      </c>
    </row>
    <row r="1979" spans="1:18" x14ac:dyDescent="0.25">
      <c r="A1979" t="s">
        <v>2072</v>
      </c>
      <c r="B1979" s="1">
        <v>45162</v>
      </c>
      <c r="C1979" t="s">
        <v>26</v>
      </c>
      <c r="D1979" t="s">
        <v>27</v>
      </c>
      <c r="E1979">
        <v>3</v>
      </c>
      <c r="F1979" s="2">
        <v>399.99</v>
      </c>
      <c r="G1979">
        <v>0</v>
      </c>
      <c r="H1979" s="2">
        <v>399.99</v>
      </c>
      <c r="I1979" s="2">
        <v>1199.97</v>
      </c>
      <c r="J1979" t="s">
        <v>19</v>
      </c>
      <c r="K1979" t="s">
        <v>20</v>
      </c>
      <c r="L1979" t="s">
        <v>32</v>
      </c>
      <c r="M1979" t="s">
        <v>58</v>
      </c>
      <c r="N1979" t="s">
        <v>59</v>
      </c>
      <c r="O1979" t="s">
        <v>24</v>
      </c>
      <c r="P1979">
        <v>3</v>
      </c>
      <c r="Q1979" s="2">
        <f>Ventas[[#This Row],[precio_base]]*Ventas[[#This Row],[cantidad]]</f>
        <v>1199.97</v>
      </c>
      <c r="R1979" s="2">
        <f>Ventas[[#This Row],[Total bruto (antes de descuento)]]-Ventas[[#This Row],[total_venta]]</f>
        <v>0</v>
      </c>
    </row>
    <row r="1980" spans="1:18" x14ac:dyDescent="0.25">
      <c r="A1980" t="s">
        <v>2073</v>
      </c>
      <c r="B1980" s="1">
        <v>45138</v>
      </c>
      <c r="C1980" t="s">
        <v>92</v>
      </c>
      <c r="D1980" t="s">
        <v>27</v>
      </c>
      <c r="E1980">
        <v>4</v>
      </c>
      <c r="F1980" s="2">
        <v>79.989999999999995</v>
      </c>
      <c r="G1980">
        <v>15</v>
      </c>
      <c r="H1980" s="2">
        <v>67.989999999999995</v>
      </c>
      <c r="I1980" s="2">
        <v>271.95999999999998</v>
      </c>
      <c r="J1980" t="s">
        <v>19</v>
      </c>
      <c r="K1980" t="s">
        <v>44</v>
      </c>
      <c r="L1980" t="s">
        <v>21</v>
      </c>
      <c r="M1980" t="s">
        <v>120</v>
      </c>
      <c r="N1980" t="s">
        <v>23</v>
      </c>
      <c r="O1980" t="s">
        <v>24</v>
      </c>
      <c r="P1980">
        <v>4</v>
      </c>
      <c r="Q1980" s="2">
        <f>Ventas[[#This Row],[precio_base]]*Ventas[[#This Row],[cantidad]]</f>
        <v>319.95999999999998</v>
      </c>
      <c r="R1980" s="2">
        <f>Ventas[[#This Row],[Total bruto (antes de descuento)]]-Ventas[[#This Row],[total_venta]]</f>
        <v>48</v>
      </c>
    </row>
    <row r="1981" spans="1:18" x14ac:dyDescent="0.25">
      <c r="A1981" t="s">
        <v>2074</v>
      </c>
      <c r="B1981" s="1">
        <v>45418</v>
      </c>
      <c r="C1981" t="s">
        <v>50</v>
      </c>
      <c r="D1981" t="s">
        <v>27</v>
      </c>
      <c r="E1981">
        <v>5</v>
      </c>
      <c r="F1981" s="2">
        <v>149.99</v>
      </c>
      <c r="G1981">
        <v>0</v>
      </c>
      <c r="H1981" s="2">
        <v>149.99</v>
      </c>
      <c r="I1981" s="2">
        <v>749.95</v>
      </c>
      <c r="J1981" t="s">
        <v>51</v>
      </c>
      <c r="K1981" t="s">
        <v>52</v>
      </c>
      <c r="L1981" t="s">
        <v>21</v>
      </c>
      <c r="M1981" t="s">
        <v>73</v>
      </c>
      <c r="N1981" t="s">
        <v>74</v>
      </c>
      <c r="O1981" t="s">
        <v>35</v>
      </c>
      <c r="Q1981" s="2">
        <f>Ventas[[#This Row],[precio_base]]*Ventas[[#This Row],[cantidad]]</f>
        <v>749.95</v>
      </c>
      <c r="R1981" s="2">
        <f>Ventas[[#This Row],[Total bruto (antes de descuento)]]-Ventas[[#This Row],[total_venta]]</f>
        <v>0</v>
      </c>
    </row>
    <row r="1982" spans="1:18" x14ac:dyDescent="0.25">
      <c r="A1982" t="s">
        <v>2075</v>
      </c>
      <c r="B1982" s="1">
        <v>45558</v>
      </c>
      <c r="C1982" t="s">
        <v>17</v>
      </c>
      <c r="D1982" t="s">
        <v>18</v>
      </c>
      <c r="E1982">
        <v>1</v>
      </c>
      <c r="F1982" s="2">
        <v>45.99</v>
      </c>
      <c r="G1982">
        <v>20</v>
      </c>
      <c r="H1982" s="2">
        <v>36.79</v>
      </c>
      <c r="I1982" s="2">
        <v>36.79</v>
      </c>
      <c r="J1982" t="s">
        <v>19</v>
      </c>
      <c r="K1982" t="s">
        <v>52</v>
      </c>
      <c r="L1982" t="s">
        <v>152</v>
      </c>
      <c r="M1982" t="s">
        <v>46</v>
      </c>
      <c r="N1982" t="s">
        <v>47</v>
      </c>
      <c r="O1982" t="s">
        <v>48</v>
      </c>
      <c r="P1982">
        <v>1</v>
      </c>
      <c r="Q1982" s="2">
        <f>Ventas[[#This Row],[precio_base]]*Ventas[[#This Row],[cantidad]]</f>
        <v>45.99</v>
      </c>
      <c r="R1982" s="2">
        <f>Ventas[[#This Row],[Total bruto (antes de descuento)]]-Ventas[[#This Row],[total_venta]]</f>
        <v>9.2000000000000028</v>
      </c>
    </row>
    <row r="1983" spans="1:18" x14ac:dyDescent="0.25">
      <c r="A1983" t="s">
        <v>2076</v>
      </c>
      <c r="B1983" s="1">
        <v>45237</v>
      </c>
      <c r="C1983" t="s">
        <v>151</v>
      </c>
      <c r="D1983" t="s">
        <v>27</v>
      </c>
      <c r="E1983">
        <v>4</v>
      </c>
      <c r="F1983" s="2">
        <v>599.99</v>
      </c>
      <c r="G1983">
        <v>15</v>
      </c>
      <c r="H1983" s="2">
        <v>509.99</v>
      </c>
      <c r="I1983" s="2">
        <v>2039.96</v>
      </c>
      <c r="J1983" t="s">
        <v>19</v>
      </c>
      <c r="K1983" t="s">
        <v>20</v>
      </c>
      <c r="L1983" t="s">
        <v>45</v>
      </c>
      <c r="M1983" t="s">
        <v>63</v>
      </c>
      <c r="N1983" t="s">
        <v>34</v>
      </c>
      <c r="O1983" t="s">
        <v>24</v>
      </c>
      <c r="P1983">
        <v>2</v>
      </c>
      <c r="Q1983" s="2">
        <f>Ventas[[#This Row],[precio_base]]*Ventas[[#This Row],[cantidad]]</f>
        <v>2399.96</v>
      </c>
      <c r="R1983" s="2">
        <f>Ventas[[#This Row],[Total bruto (antes de descuento)]]-Ventas[[#This Row],[total_venta]]</f>
        <v>360</v>
      </c>
    </row>
    <row r="1984" spans="1:18" x14ac:dyDescent="0.25">
      <c r="A1984" t="s">
        <v>2077</v>
      </c>
      <c r="B1984" s="1">
        <v>45360</v>
      </c>
      <c r="C1984" t="s">
        <v>76</v>
      </c>
      <c r="D1984" t="s">
        <v>31</v>
      </c>
      <c r="E1984">
        <v>3</v>
      </c>
      <c r="F1984" s="2">
        <v>69.989999999999995</v>
      </c>
      <c r="G1984">
        <v>0</v>
      </c>
      <c r="H1984" s="2">
        <v>69.989999999999995</v>
      </c>
      <c r="I1984" s="2">
        <v>209.97</v>
      </c>
      <c r="J1984" t="s">
        <v>19</v>
      </c>
      <c r="K1984" t="s">
        <v>20</v>
      </c>
      <c r="L1984" t="s">
        <v>28</v>
      </c>
      <c r="M1984" t="s">
        <v>73</v>
      </c>
      <c r="N1984" t="s">
        <v>74</v>
      </c>
      <c r="O1984" t="s">
        <v>35</v>
      </c>
      <c r="P1984">
        <v>1</v>
      </c>
      <c r="Q1984" s="2">
        <f>Ventas[[#This Row],[precio_base]]*Ventas[[#This Row],[cantidad]]</f>
        <v>209.96999999999997</v>
      </c>
      <c r="R1984" s="2">
        <f>Ventas[[#This Row],[Total bruto (antes de descuento)]]-Ventas[[#This Row],[total_venta]]</f>
        <v>0</v>
      </c>
    </row>
    <row r="1985" spans="1:18" x14ac:dyDescent="0.25">
      <c r="A1985" t="s">
        <v>2078</v>
      </c>
      <c r="B1985" s="1">
        <v>45236</v>
      </c>
      <c r="C1985" t="s">
        <v>78</v>
      </c>
      <c r="D1985" t="s">
        <v>18</v>
      </c>
      <c r="E1985">
        <v>3</v>
      </c>
      <c r="F1985" s="2">
        <v>349.99</v>
      </c>
      <c r="G1985">
        <v>5</v>
      </c>
      <c r="H1985" s="2">
        <v>332.49</v>
      </c>
      <c r="I1985" s="2">
        <v>997.47</v>
      </c>
      <c r="J1985" t="s">
        <v>90</v>
      </c>
      <c r="K1985" t="s">
        <v>57</v>
      </c>
      <c r="L1985" t="s">
        <v>152</v>
      </c>
      <c r="M1985" t="s">
        <v>53</v>
      </c>
      <c r="N1985" t="s">
        <v>54</v>
      </c>
      <c r="O1985" t="s">
        <v>35</v>
      </c>
      <c r="Q1985" s="2">
        <f>Ventas[[#This Row],[precio_base]]*Ventas[[#This Row],[cantidad]]</f>
        <v>1049.97</v>
      </c>
      <c r="R1985" s="2">
        <f>Ventas[[#This Row],[Total bruto (antes de descuento)]]-Ventas[[#This Row],[total_venta]]</f>
        <v>52.5</v>
      </c>
    </row>
    <row r="1986" spans="1:18" x14ac:dyDescent="0.25">
      <c r="A1986" t="s">
        <v>2079</v>
      </c>
      <c r="B1986" s="1">
        <v>45050</v>
      </c>
      <c r="C1986" t="s">
        <v>122</v>
      </c>
      <c r="D1986" t="s">
        <v>43</v>
      </c>
      <c r="E1986">
        <v>1</v>
      </c>
      <c r="F1986" s="2">
        <v>44.99</v>
      </c>
      <c r="G1986">
        <v>5</v>
      </c>
      <c r="H1986" s="2">
        <v>42.74</v>
      </c>
      <c r="I1986" s="2">
        <v>42.74</v>
      </c>
      <c r="J1986" t="s">
        <v>19</v>
      </c>
      <c r="K1986" t="s">
        <v>20</v>
      </c>
      <c r="L1986" t="s">
        <v>21</v>
      </c>
      <c r="M1986" t="s">
        <v>95</v>
      </c>
      <c r="N1986" t="s">
        <v>96</v>
      </c>
      <c r="O1986" t="s">
        <v>48</v>
      </c>
      <c r="P1986">
        <v>5</v>
      </c>
      <c r="Q1986" s="2">
        <f>Ventas[[#This Row],[precio_base]]*Ventas[[#This Row],[cantidad]]</f>
        <v>44.99</v>
      </c>
      <c r="R1986" s="2">
        <f>Ventas[[#This Row],[Total bruto (antes de descuento)]]-Ventas[[#This Row],[total_venta]]</f>
        <v>2.25</v>
      </c>
    </row>
    <row r="1987" spans="1:18" x14ac:dyDescent="0.25">
      <c r="A1987" t="s">
        <v>2080</v>
      </c>
      <c r="B1987" s="1">
        <v>45638</v>
      </c>
      <c r="C1987" t="s">
        <v>50</v>
      </c>
      <c r="D1987" t="s">
        <v>27</v>
      </c>
      <c r="E1987">
        <v>3</v>
      </c>
      <c r="F1987" s="2">
        <v>149.99</v>
      </c>
      <c r="G1987">
        <v>0</v>
      </c>
      <c r="H1987" s="2">
        <v>149.99</v>
      </c>
      <c r="I1987" s="2">
        <v>449.97</v>
      </c>
      <c r="J1987" t="s">
        <v>19</v>
      </c>
      <c r="K1987" t="s">
        <v>44</v>
      </c>
      <c r="L1987" t="s">
        <v>28</v>
      </c>
      <c r="M1987" t="s">
        <v>33</v>
      </c>
      <c r="N1987" t="s">
        <v>34</v>
      </c>
      <c r="O1987" t="s">
        <v>35</v>
      </c>
      <c r="P1987">
        <v>2</v>
      </c>
      <c r="Q1987" s="2">
        <f>Ventas[[#This Row],[precio_base]]*Ventas[[#This Row],[cantidad]]</f>
        <v>449.97</v>
      </c>
      <c r="R1987" s="2">
        <f>Ventas[[#This Row],[Total bruto (antes de descuento)]]-Ventas[[#This Row],[total_venta]]</f>
        <v>0</v>
      </c>
    </row>
    <row r="1988" spans="1:18" x14ac:dyDescent="0.25">
      <c r="A1988" t="s">
        <v>2081</v>
      </c>
      <c r="B1988" s="1">
        <v>45147</v>
      </c>
      <c r="C1988" t="s">
        <v>56</v>
      </c>
      <c r="D1988" t="s">
        <v>18</v>
      </c>
      <c r="E1988">
        <v>4</v>
      </c>
      <c r="F1988" s="2">
        <v>89.99</v>
      </c>
      <c r="G1988">
        <v>15</v>
      </c>
      <c r="H1988" s="2">
        <v>76.489999999999995</v>
      </c>
      <c r="I1988" s="2">
        <v>305.95999999999998</v>
      </c>
      <c r="J1988" t="s">
        <v>19</v>
      </c>
      <c r="K1988" t="s">
        <v>44</v>
      </c>
      <c r="L1988" t="s">
        <v>32</v>
      </c>
      <c r="M1988" t="s">
        <v>46</v>
      </c>
      <c r="N1988" t="s">
        <v>47</v>
      </c>
      <c r="O1988" t="s">
        <v>48</v>
      </c>
      <c r="P1988">
        <v>4</v>
      </c>
      <c r="Q1988" s="2">
        <f>Ventas[[#This Row],[precio_base]]*Ventas[[#This Row],[cantidad]]</f>
        <v>359.96</v>
      </c>
      <c r="R1988" s="2">
        <f>Ventas[[#This Row],[Total bruto (antes de descuento)]]-Ventas[[#This Row],[total_venta]]</f>
        <v>54</v>
      </c>
    </row>
    <row r="1989" spans="1:18" x14ac:dyDescent="0.25">
      <c r="A1989" t="s">
        <v>2082</v>
      </c>
      <c r="B1989" s="1">
        <v>45106</v>
      </c>
      <c r="C1989" t="s">
        <v>104</v>
      </c>
      <c r="D1989" t="s">
        <v>18</v>
      </c>
      <c r="E1989">
        <v>5</v>
      </c>
      <c r="F1989" s="2">
        <v>1199.99</v>
      </c>
      <c r="G1989">
        <v>0</v>
      </c>
      <c r="H1989" s="2">
        <v>1199.99</v>
      </c>
      <c r="I1989" s="2">
        <v>5999.95</v>
      </c>
      <c r="J1989" t="s">
        <v>51</v>
      </c>
      <c r="K1989" t="s">
        <v>52</v>
      </c>
      <c r="L1989" t="s">
        <v>28</v>
      </c>
      <c r="M1989" t="s">
        <v>39</v>
      </c>
      <c r="N1989" t="s">
        <v>40</v>
      </c>
      <c r="O1989" t="s">
        <v>35</v>
      </c>
      <c r="Q1989" s="2">
        <f>Ventas[[#This Row],[precio_base]]*Ventas[[#This Row],[cantidad]]</f>
        <v>5999.95</v>
      </c>
      <c r="R1989" s="2">
        <f>Ventas[[#This Row],[Total bruto (antes de descuento)]]-Ventas[[#This Row],[total_venta]]</f>
        <v>0</v>
      </c>
    </row>
    <row r="1990" spans="1:18" x14ac:dyDescent="0.25">
      <c r="A1990" t="s">
        <v>2083</v>
      </c>
      <c r="B1990" s="1">
        <v>45417</v>
      </c>
      <c r="C1990" t="s">
        <v>115</v>
      </c>
      <c r="D1990" t="s">
        <v>18</v>
      </c>
      <c r="E1990">
        <v>3</v>
      </c>
      <c r="F1990" s="2">
        <v>799.99</v>
      </c>
      <c r="G1990">
        <v>0</v>
      </c>
      <c r="H1990" s="2">
        <v>799.99</v>
      </c>
      <c r="I1990" s="2">
        <v>2399.9699999999998</v>
      </c>
      <c r="J1990" t="s">
        <v>51</v>
      </c>
      <c r="K1990" t="s">
        <v>20</v>
      </c>
      <c r="L1990" t="s">
        <v>28</v>
      </c>
      <c r="M1990" t="s">
        <v>67</v>
      </c>
      <c r="N1990" t="s">
        <v>68</v>
      </c>
      <c r="O1990" t="s">
        <v>35</v>
      </c>
      <c r="Q1990" s="2">
        <f>Ventas[[#This Row],[precio_base]]*Ventas[[#This Row],[cantidad]]</f>
        <v>2399.9700000000003</v>
      </c>
      <c r="R1990" s="2">
        <f>Ventas[[#This Row],[Total bruto (antes de descuento)]]-Ventas[[#This Row],[total_venta]]</f>
        <v>0</v>
      </c>
    </row>
    <row r="1991" spans="1:18" x14ac:dyDescent="0.25">
      <c r="A1991" t="s">
        <v>2084</v>
      </c>
      <c r="B1991" s="1">
        <v>44928</v>
      </c>
      <c r="C1991" t="s">
        <v>72</v>
      </c>
      <c r="D1991" t="s">
        <v>31</v>
      </c>
      <c r="E1991">
        <v>1</v>
      </c>
      <c r="F1991" s="2">
        <v>29.99</v>
      </c>
      <c r="G1991">
        <v>20</v>
      </c>
      <c r="H1991" s="2">
        <v>23.99</v>
      </c>
      <c r="I1991" s="2">
        <v>23.99</v>
      </c>
      <c r="J1991" t="s">
        <v>19</v>
      </c>
      <c r="K1991" t="s">
        <v>20</v>
      </c>
      <c r="L1991" t="s">
        <v>152</v>
      </c>
      <c r="M1991" t="s">
        <v>67</v>
      </c>
      <c r="N1991" t="s">
        <v>68</v>
      </c>
      <c r="O1991" t="s">
        <v>35</v>
      </c>
      <c r="P1991">
        <v>4</v>
      </c>
      <c r="Q1991" s="2">
        <f>Ventas[[#This Row],[precio_base]]*Ventas[[#This Row],[cantidad]]</f>
        <v>29.99</v>
      </c>
      <c r="R1991" s="2">
        <f>Ventas[[#This Row],[Total bruto (antes de descuento)]]-Ventas[[#This Row],[total_venta]]</f>
        <v>6</v>
      </c>
    </row>
    <row r="1992" spans="1:18" x14ac:dyDescent="0.25">
      <c r="A1992" t="s">
        <v>2085</v>
      </c>
      <c r="B1992" s="1">
        <v>45164</v>
      </c>
      <c r="C1992" t="s">
        <v>30</v>
      </c>
      <c r="D1992" t="s">
        <v>31</v>
      </c>
      <c r="E1992">
        <v>1</v>
      </c>
      <c r="F1992" s="2">
        <v>299.99</v>
      </c>
      <c r="G1992">
        <v>0</v>
      </c>
      <c r="H1992" s="2">
        <v>299.99</v>
      </c>
      <c r="I1992" s="2">
        <v>299.99</v>
      </c>
      <c r="J1992" t="s">
        <v>19</v>
      </c>
      <c r="K1992" t="s">
        <v>20</v>
      </c>
      <c r="L1992" t="s">
        <v>32</v>
      </c>
      <c r="M1992" t="s">
        <v>33</v>
      </c>
      <c r="N1992" t="s">
        <v>34</v>
      </c>
      <c r="O1992" t="s">
        <v>35</v>
      </c>
      <c r="P1992">
        <v>5</v>
      </c>
      <c r="Q1992" s="2">
        <f>Ventas[[#This Row],[precio_base]]*Ventas[[#This Row],[cantidad]]</f>
        <v>299.99</v>
      </c>
      <c r="R1992" s="2">
        <f>Ventas[[#This Row],[Total bruto (antes de descuento)]]-Ventas[[#This Row],[total_venta]]</f>
        <v>0</v>
      </c>
    </row>
    <row r="1993" spans="1:18" x14ac:dyDescent="0.25">
      <c r="A1993" t="s">
        <v>2086</v>
      </c>
      <c r="B1993" s="1">
        <v>45094</v>
      </c>
      <c r="C1993" t="s">
        <v>89</v>
      </c>
      <c r="D1993" t="s">
        <v>38</v>
      </c>
      <c r="E1993">
        <v>3</v>
      </c>
      <c r="F1993" s="2">
        <v>69.989999999999995</v>
      </c>
      <c r="G1993">
        <v>15</v>
      </c>
      <c r="H1993" s="2">
        <v>59.49</v>
      </c>
      <c r="I1993" s="2">
        <v>178.47</v>
      </c>
      <c r="J1993" t="s">
        <v>19</v>
      </c>
      <c r="K1993" t="s">
        <v>20</v>
      </c>
      <c r="L1993" t="s">
        <v>28</v>
      </c>
      <c r="M1993" t="s">
        <v>63</v>
      </c>
      <c r="N1993" t="s">
        <v>34</v>
      </c>
      <c r="O1993" t="s">
        <v>24</v>
      </c>
      <c r="P1993">
        <v>4</v>
      </c>
      <c r="Q1993" s="2">
        <f>Ventas[[#This Row],[precio_base]]*Ventas[[#This Row],[cantidad]]</f>
        <v>209.96999999999997</v>
      </c>
      <c r="R1993" s="2">
        <f>Ventas[[#This Row],[Total bruto (antes de descuento)]]-Ventas[[#This Row],[total_venta]]</f>
        <v>31.499999999999972</v>
      </c>
    </row>
    <row r="1994" spans="1:18" x14ac:dyDescent="0.25">
      <c r="A1994" t="s">
        <v>2087</v>
      </c>
      <c r="B1994" s="1">
        <v>45105</v>
      </c>
      <c r="C1994" t="s">
        <v>26</v>
      </c>
      <c r="D1994" t="s">
        <v>27</v>
      </c>
      <c r="E1994">
        <v>4</v>
      </c>
      <c r="F1994" s="2">
        <v>399.99</v>
      </c>
      <c r="G1994">
        <v>0</v>
      </c>
      <c r="H1994" s="2">
        <v>399.99</v>
      </c>
      <c r="I1994" s="2">
        <v>1599.96</v>
      </c>
      <c r="J1994" t="s">
        <v>19</v>
      </c>
      <c r="K1994" t="s">
        <v>52</v>
      </c>
      <c r="L1994" t="s">
        <v>21</v>
      </c>
      <c r="M1994" t="s">
        <v>123</v>
      </c>
      <c r="N1994" t="s">
        <v>124</v>
      </c>
      <c r="O1994" t="s">
        <v>24</v>
      </c>
      <c r="P1994">
        <v>4</v>
      </c>
      <c r="Q1994" s="2">
        <f>Ventas[[#This Row],[precio_base]]*Ventas[[#This Row],[cantidad]]</f>
        <v>1599.96</v>
      </c>
      <c r="R1994" s="2">
        <f>Ventas[[#This Row],[Total bruto (antes de descuento)]]-Ventas[[#This Row],[total_venta]]</f>
        <v>0</v>
      </c>
    </row>
    <row r="1995" spans="1:18" x14ac:dyDescent="0.25">
      <c r="A1995" t="s">
        <v>2088</v>
      </c>
      <c r="B1995" s="1">
        <v>45618</v>
      </c>
      <c r="C1995" t="s">
        <v>50</v>
      </c>
      <c r="D1995" t="s">
        <v>27</v>
      </c>
      <c r="E1995">
        <v>4</v>
      </c>
      <c r="F1995" s="2">
        <v>149.99</v>
      </c>
      <c r="G1995">
        <v>0</v>
      </c>
      <c r="H1995" s="2">
        <v>149.99</v>
      </c>
      <c r="I1995" s="2">
        <v>599.96</v>
      </c>
      <c r="J1995" t="s">
        <v>116</v>
      </c>
      <c r="K1995" t="s">
        <v>44</v>
      </c>
      <c r="L1995" t="s">
        <v>32</v>
      </c>
      <c r="M1995" t="s">
        <v>95</v>
      </c>
      <c r="N1995" t="s">
        <v>96</v>
      </c>
      <c r="O1995" t="s">
        <v>48</v>
      </c>
      <c r="Q1995" s="2">
        <f>Ventas[[#This Row],[precio_base]]*Ventas[[#This Row],[cantidad]]</f>
        <v>599.96</v>
      </c>
      <c r="R1995" s="2">
        <f>Ventas[[#This Row],[Total bruto (antes de descuento)]]-Ventas[[#This Row],[total_venta]]</f>
        <v>0</v>
      </c>
    </row>
    <row r="1996" spans="1:18" x14ac:dyDescent="0.25">
      <c r="A1996" t="s">
        <v>2089</v>
      </c>
      <c r="B1996" s="1">
        <v>45267</v>
      </c>
      <c r="C1996" t="s">
        <v>122</v>
      </c>
      <c r="D1996" t="s">
        <v>43</v>
      </c>
      <c r="E1996">
        <v>3</v>
      </c>
      <c r="F1996" s="2">
        <v>44.99</v>
      </c>
      <c r="G1996">
        <v>15</v>
      </c>
      <c r="H1996" s="2">
        <v>38.24</v>
      </c>
      <c r="I1996" s="2">
        <v>114.72</v>
      </c>
      <c r="J1996" t="s">
        <v>19</v>
      </c>
      <c r="K1996" t="s">
        <v>44</v>
      </c>
      <c r="L1996" t="s">
        <v>28</v>
      </c>
      <c r="M1996" t="s">
        <v>39</v>
      </c>
      <c r="N1996" t="s">
        <v>40</v>
      </c>
      <c r="O1996" t="s">
        <v>35</v>
      </c>
      <c r="P1996">
        <v>1</v>
      </c>
      <c r="Q1996" s="2">
        <f>Ventas[[#This Row],[precio_base]]*Ventas[[#This Row],[cantidad]]</f>
        <v>134.97</v>
      </c>
      <c r="R1996" s="2">
        <f>Ventas[[#This Row],[Total bruto (antes de descuento)]]-Ventas[[#This Row],[total_venta]]</f>
        <v>20.25</v>
      </c>
    </row>
    <row r="1997" spans="1:18" x14ac:dyDescent="0.25">
      <c r="A1997" t="s">
        <v>2090</v>
      </c>
      <c r="B1997" s="1">
        <v>45278</v>
      </c>
      <c r="C1997" t="s">
        <v>87</v>
      </c>
      <c r="D1997" t="s">
        <v>27</v>
      </c>
      <c r="E1997">
        <v>2</v>
      </c>
      <c r="F1997" s="2">
        <v>249.99</v>
      </c>
      <c r="G1997">
        <v>10</v>
      </c>
      <c r="H1997" s="2">
        <v>224.99</v>
      </c>
      <c r="I1997" s="2">
        <v>449.98</v>
      </c>
      <c r="J1997" t="s">
        <v>19</v>
      </c>
      <c r="K1997" t="s">
        <v>52</v>
      </c>
      <c r="L1997" t="s">
        <v>21</v>
      </c>
      <c r="M1997" t="s">
        <v>73</v>
      </c>
      <c r="N1997" t="s">
        <v>74</v>
      </c>
      <c r="O1997" t="s">
        <v>35</v>
      </c>
      <c r="P1997">
        <v>5</v>
      </c>
      <c r="Q1997" s="2">
        <f>Ventas[[#This Row],[precio_base]]*Ventas[[#This Row],[cantidad]]</f>
        <v>499.98</v>
      </c>
      <c r="R1997" s="2">
        <f>Ventas[[#This Row],[Total bruto (antes de descuento)]]-Ventas[[#This Row],[total_venta]]</f>
        <v>50</v>
      </c>
    </row>
    <row r="1998" spans="1:18" x14ac:dyDescent="0.25">
      <c r="A1998" t="s">
        <v>2091</v>
      </c>
      <c r="B1998" s="1">
        <v>45069</v>
      </c>
      <c r="C1998" t="s">
        <v>143</v>
      </c>
      <c r="D1998" t="s">
        <v>43</v>
      </c>
      <c r="E1998">
        <v>2</v>
      </c>
      <c r="F1998" s="2">
        <v>34.99</v>
      </c>
      <c r="G1998">
        <v>20</v>
      </c>
      <c r="H1998" s="2">
        <v>27.99</v>
      </c>
      <c r="I1998" s="2">
        <v>55.98</v>
      </c>
      <c r="J1998" t="s">
        <v>51</v>
      </c>
      <c r="K1998" t="s">
        <v>52</v>
      </c>
      <c r="L1998" t="s">
        <v>32</v>
      </c>
      <c r="M1998" t="s">
        <v>95</v>
      </c>
      <c r="N1998" t="s">
        <v>96</v>
      </c>
      <c r="O1998" t="s">
        <v>48</v>
      </c>
      <c r="Q1998" s="2">
        <f>Ventas[[#This Row],[precio_base]]*Ventas[[#This Row],[cantidad]]</f>
        <v>69.98</v>
      </c>
      <c r="R1998" s="2">
        <f>Ventas[[#This Row],[Total bruto (antes de descuento)]]-Ventas[[#This Row],[total_venta]]</f>
        <v>14.000000000000007</v>
      </c>
    </row>
    <row r="1999" spans="1:18" x14ac:dyDescent="0.25">
      <c r="A1999" t="s">
        <v>2092</v>
      </c>
      <c r="B1999" s="1">
        <v>45440</v>
      </c>
      <c r="C1999" t="s">
        <v>50</v>
      </c>
      <c r="D1999" t="s">
        <v>27</v>
      </c>
      <c r="E1999">
        <v>1</v>
      </c>
      <c r="F1999" s="2">
        <v>149.99</v>
      </c>
      <c r="G1999">
        <v>10</v>
      </c>
      <c r="H1999" s="2">
        <v>134.99</v>
      </c>
      <c r="I1999" s="2">
        <v>134.99</v>
      </c>
      <c r="J1999" t="s">
        <v>19</v>
      </c>
      <c r="K1999" t="s">
        <v>20</v>
      </c>
      <c r="L1999" t="s">
        <v>45</v>
      </c>
      <c r="M1999" t="s">
        <v>46</v>
      </c>
      <c r="N1999" t="s">
        <v>47</v>
      </c>
      <c r="O1999" t="s">
        <v>48</v>
      </c>
      <c r="P1999">
        <v>2</v>
      </c>
      <c r="Q1999" s="2">
        <f>Ventas[[#This Row],[precio_base]]*Ventas[[#This Row],[cantidad]]</f>
        <v>149.99</v>
      </c>
      <c r="R1999" s="2">
        <f>Ventas[[#This Row],[Total bruto (antes de descuento)]]-Ventas[[#This Row],[total_venta]]</f>
        <v>15</v>
      </c>
    </row>
    <row r="2000" spans="1:18" x14ac:dyDescent="0.25">
      <c r="A2000" t="s">
        <v>2093</v>
      </c>
      <c r="B2000" s="1">
        <v>45159</v>
      </c>
      <c r="C2000" t="s">
        <v>81</v>
      </c>
      <c r="D2000" t="s">
        <v>31</v>
      </c>
      <c r="E2000">
        <v>3</v>
      </c>
      <c r="F2000" s="2">
        <v>189.99</v>
      </c>
      <c r="G2000">
        <v>5</v>
      </c>
      <c r="H2000" s="2">
        <v>180.49</v>
      </c>
      <c r="I2000" s="2">
        <v>541.47</v>
      </c>
      <c r="J2000" t="s">
        <v>19</v>
      </c>
      <c r="K2000" t="s">
        <v>52</v>
      </c>
      <c r="L2000" t="s">
        <v>45</v>
      </c>
      <c r="M2000" t="s">
        <v>84</v>
      </c>
      <c r="N2000" t="s">
        <v>85</v>
      </c>
      <c r="O2000" t="s">
        <v>35</v>
      </c>
      <c r="P2000">
        <v>4</v>
      </c>
      <c r="Q2000" s="2">
        <f>Ventas[[#This Row],[precio_base]]*Ventas[[#This Row],[cantidad]]</f>
        <v>569.97</v>
      </c>
      <c r="R2000" s="2">
        <f>Ventas[[#This Row],[Total bruto (antes de descuento)]]-Ventas[[#This Row],[total_venta]]</f>
        <v>28.5</v>
      </c>
    </row>
    <row r="2001" spans="1:18" x14ac:dyDescent="0.25">
      <c r="A2001" t="s">
        <v>2094</v>
      </c>
      <c r="B2001" s="1">
        <v>45462</v>
      </c>
      <c r="C2001" t="s">
        <v>81</v>
      </c>
      <c r="D2001" t="s">
        <v>31</v>
      </c>
      <c r="E2001">
        <v>4</v>
      </c>
      <c r="F2001" s="2">
        <v>189.99</v>
      </c>
      <c r="G2001">
        <v>0</v>
      </c>
      <c r="H2001" s="2">
        <v>189.99</v>
      </c>
      <c r="I2001" s="2">
        <v>759.96</v>
      </c>
      <c r="J2001" t="s">
        <v>19</v>
      </c>
      <c r="K2001" t="s">
        <v>20</v>
      </c>
      <c r="L2001" t="s">
        <v>28</v>
      </c>
      <c r="M2001" t="s">
        <v>84</v>
      </c>
      <c r="N2001" t="s">
        <v>85</v>
      </c>
      <c r="O2001" t="s">
        <v>35</v>
      </c>
      <c r="P2001">
        <v>1</v>
      </c>
      <c r="Q2001" s="2">
        <f>Ventas[[#This Row],[precio_base]]*Ventas[[#This Row],[cantidad]]</f>
        <v>759.96</v>
      </c>
      <c r="R2001" s="2">
        <f>Ventas[[#This Row],[Total bruto (antes de descuento)]]-Ventas[[#This Row],[total_venta]]</f>
        <v>0</v>
      </c>
    </row>
    <row r="2002" spans="1:18" x14ac:dyDescent="0.25">
      <c r="A2002" t="s">
        <v>2095</v>
      </c>
      <c r="B2002" s="1">
        <v>45158</v>
      </c>
      <c r="C2002" t="s">
        <v>72</v>
      </c>
      <c r="D2002" t="s">
        <v>31</v>
      </c>
      <c r="E2002">
        <v>4</v>
      </c>
      <c r="F2002" s="2">
        <v>29.99</v>
      </c>
      <c r="G2002">
        <v>0</v>
      </c>
      <c r="H2002" s="2">
        <v>29.99</v>
      </c>
      <c r="I2002" s="2">
        <v>119.96</v>
      </c>
      <c r="J2002" t="s">
        <v>62</v>
      </c>
      <c r="K2002" t="s">
        <v>52</v>
      </c>
      <c r="L2002" t="s">
        <v>28</v>
      </c>
      <c r="M2002" t="s">
        <v>53</v>
      </c>
      <c r="N2002" t="s">
        <v>54</v>
      </c>
      <c r="O2002" t="s">
        <v>35</v>
      </c>
      <c r="Q2002" s="2">
        <f>Ventas[[#This Row],[precio_base]]*Ventas[[#This Row],[cantidad]]</f>
        <v>119.96</v>
      </c>
      <c r="R2002" s="2">
        <f>Ventas[[#This Row],[Total bruto (antes de descuento)]]-Ventas[[#This Row],[total_venta]]</f>
        <v>0</v>
      </c>
    </row>
    <row r="2003" spans="1:18" x14ac:dyDescent="0.25">
      <c r="A2003" t="s">
        <v>2096</v>
      </c>
      <c r="B2003" s="1">
        <v>45443</v>
      </c>
      <c r="C2003" t="s">
        <v>70</v>
      </c>
      <c r="D2003" t="s">
        <v>31</v>
      </c>
      <c r="E2003">
        <v>1</v>
      </c>
      <c r="F2003" s="2">
        <v>59.99</v>
      </c>
      <c r="G2003">
        <v>5</v>
      </c>
      <c r="H2003" s="2">
        <v>56.99</v>
      </c>
      <c r="I2003" s="2">
        <v>56.99</v>
      </c>
      <c r="J2003" t="s">
        <v>19</v>
      </c>
      <c r="K2003" t="s">
        <v>44</v>
      </c>
      <c r="L2003" t="s">
        <v>21</v>
      </c>
      <c r="M2003" t="s">
        <v>95</v>
      </c>
      <c r="N2003" t="s">
        <v>96</v>
      </c>
      <c r="O2003" t="s">
        <v>48</v>
      </c>
      <c r="P2003">
        <v>4</v>
      </c>
      <c r="Q2003" s="2">
        <f>Ventas[[#This Row],[precio_base]]*Ventas[[#This Row],[cantidad]]</f>
        <v>59.99</v>
      </c>
      <c r="R2003" s="2">
        <f>Ventas[[#This Row],[Total bruto (antes de descuento)]]-Ventas[[#This Row],[total_venta]]</f>
        <v>3</v>
      </c>
    </row>
    <row r="2004" spans="1:18" x14ac:dyDescent="0.25">
      <c r="A2004" t="s">
        <v>2097</v>
      </c>
      <c r="B2004" s="1">
        <v>45237</v>
      </c>
      <c r="C2004" t="s">
        <v>143</v>
      </c>
      <c r="D2004" t="s">
        <v>43</v>
      </c>
      <c r="E2004">
        <v>2</v>
      </c>
      <c r="F2004" s="2">
        <v>34.99</v>
      </c>
      <c r="G2004">
        <v>10</v>
      </c>
      <c r="H2004" s="2">
        <v>31.49</v>
      </c>
      <c r="I2004" s="2">
        <v>62.98</v>
      </c>
      <c r="J2004" t="s">
        <v>51</v>
      </c>
      <c r="K2004" t="s">
        <v>20</v>
      </c>
      <c r="L2004" t="s">
        <v>21</v>
      </c>
      <c r="M2004" t="s">
        <v>67</v>
      </c>
      <c r="N2004" t="s">
        <v>68</v>
      </c>
      <c r="O2004" t="s">
        <v>35</v>
      </c>
      <c r="Q2004" s="2">
        <f>Ventas[[#This Row],[precio_base]]*Ventas[[#This Row],[cantidad]]</f>
        <v>69.98</v>
      </c>
      <c r="R2004" s="2">
        <f>Ventas[[#This Row],[Total bruto (antes de descuento)]]-Ventas[[#This Row],[total_venta]]</f>
        <v>7.0000000000000071</v>
      </c>
    </row>
    <row r="2005" spans="1:18" x14ac:dyDescent="0.25">
      <c r="A2005" t="s">
        <v>2098</v>
      </c>
      <c r="B2005" s="1">
        <v>45229</v>
      </c>
      <c r="C2005" t="s">
        <v>17</v>
      </c>
      <c r="D2005" t="s">
        <v>18</v>
      </c>
      <c r="E2005">
        <v>2</v>
      </c>
      <c r="F2005" s="2">
        <v>45.99</v>
      </c>
      <c r="G2005">
        <v>0</v>
      </c>
      <c r="H2005" s="2">
        <v>45.99</v>
      </c>
      <c r="I2005" s="2">
        <v>91.98</v>
      </c>
      <c r="J2005" t="s">
        <v>62</v>
      </c>
      <c r="K2005" t="s">
        <v>20</v>
      </c>
      <c r="L2005" t="s">
        <v>21</v>
      </c>
      <c r="M2005" t="s">
        <v>73</v>
      </c>
      <c r="N2005" t="s">
        <v>74</v>
      </c>
      <c r="O2005" t="s">
        <v>35</v>
      </c>
      <c r="Q2005" s="2">
        <f>Ventas[[#This Row],[precio_base]]*Ventas[[#This Row],[cantidad]]</f>
        <v>91.98</v>
      </c>
      <c r="R2005" s="2">
        <f>Ventas[[#This Row],[Total bruto (antes de descuento)]]-Ventas[[#This Row],[total_venta]]</f>
        <v>0</v>
      </c>
    </row>
    <row r="2006" spans="1:18" x14ac:dyDescent="0.25">
      <c r="A2006" t="s">
        <v>2099</v>
      </c>
      <c r="B2006" s="1">
        <v>45048</v>
      </c>
      <c r="C2006" t="s">
        <v>37</v>
      </c>
      <c r="D2006" t="s">
        <v>38</v>
      </c>
      <c r="E2006">
        <v>3</v>
      </c>
      <c r="F2006" s="2">
        <v>34.99</v>
      </c>
      <c r="G2006">
        <v>15</v>
      </c>
      <c r="H2006" s="2">
        <v>29.74</v>
      </c>
      <c r="I2006" s="2">
        <v>89.22</v>
      </c>
      <c r="J2006" t="s">
        <v>19</v>
      </c>
      <c r="K2006" t="s">
        <v>44</v>
      </c>
      <c r="L2006" t="s">
        <v>21</v>
      </c>
      <c r="M2006" t="s">
        <v>84</v>
      </c>
      <c r="N2006" t="s">
        <v>85</v>
      </c>
      <c r="O2006" t="s">
        <v>35</v>
      </c>
      <c r="P2006">
        <v>3</v>
      </c>
      <c r="Q2006" s="2">
        <f>Ventas[[#This Row],[precio_base]]*Ventas[[#This Row],[cantidad]]</f>
        <v>104.97</v>
      </c>
      <c r="R2006" s="2">
        <f>Ventas[[#This Row],[Total bruto (antes de descuento)]]-Ventas[[#This Row],[total_venta]]</f>
        <v>15.75</v>
      </c>
    </row>
    <row r="2007" spans="1:18" x14ac:dyDescent="0.25">
      <c r="A2007" t="s">
        <v>2100</v>
      </c>
      <c r="B2007" s="1">
        <v>45140</v>
      </c>
      <c r="C2007" t="s">
        <v>83</v>
      </c>
      <c r="D2007" t="s">
        <v>38</v>
      </c>
      <c r="E2007">
        <v>4</v>
      </c>
      <c r="F2007" s="2">
        <v>49.99</v>
      </c>
      <c r="G2007">
        <v>10</v>
      </c>
      <c r="H2007" s="2">
        <v>44.99</v>
      </c>
      <c r="I2007" s="2">
        <v>179.96</v>
      </c>
      <c r="J2007" t="s">
        <v>19</v>
      </c>
      <c r="K2007" t="s">
        <v>44</v>
      </c>
      <c r="L2007" t="s">
        <v>45</v>
      </c>
      <c r="M2007" t="s">
        <v>101</v>
      </c>
      <c r="N2007" t="s">
        <v>102</v>
      </c>
      <c r="O2007" t="s">
        <v>35</v>
      </c>
      <c r="P2007">
        <v>4</v>
      </c>
      <c r="Q2007" s="2">
        <f>Ventas[[#This Row],[precio_base]]*Ventas[[#This Row],[cantidad]]</f>
        <v>199.96</v>
      </c>
      <c r="R2007" s="2">
        <f>Ventas[[#This Row],[Total bruto (antes de descuento)]]-Ventas[[#This Row],[total_venta]]</f>
        <v>20</v>
      </c>
    </row>
    <row r="2008" spans="1:18" x14ac:dyDescent="0.25">
      <c r="A2008" t="s">
        <v>2101</v>
      </c>
      <c r="B2008" s="1">
        <v>44959</v>
      </c>
      <c r="C2008" t="s">
        <v>92</v>
      </c>
      <c r="D2008" t="s">
        <v>27</v>
      </c>
      <c r="E2008">
        <v>3</v>
      </c>
      <c r="F2008" s="2">
        <v>79.989999999999995</v>
      </c>
      <c r="G2008">
        <v>0</v>
      </c>
      <c r="H2008" s="2">
        <v>79.989999999999995</v>
      </c>
      <c r="I2008" s="2">
        <v>239.97</v>
      </c>
      <c r="J2008" t="s">
        <v>19</v>
      </c>
      <c r="K2008" t="s">
        <v>44</v>
      </c>
      <c r="L2008" t="s">
        <v>28</v>
      </c>
      <c r="M2008" t="s">
        <v>84</v>
      </c>
      <c r="N2008" t="s">
        <v>85</v>
      </c>
      <c r="O2008" t="s">
        <v>35</v>
      </c>
      <c r="P2008">
        <v>5</v>
      </c>
      <c r="Q2008" s="2">
        <f>Ventas[[#This Row],[precio_base]]*Ventas[[#This Row],[cantidad]]</f>
        <v>239.96999999999997</v>
      </c>
      <c r="R2008" s="2">
        <f>Ventas[[#This Row],[Total bruto (antes de descuento)]]-Ventas[[#This Row],[total_venta]]</f>
        <v>0</v>
      </c>
    </row>
    <row r="2009" spans="1:18" x14ac:dyDescent="0.25">
      <c r="A2009" t="s">
        <v>2102</v>
      </c>
      <c r="B2009" s="1">
        <v>45027</v>
      </c>
      <c r="C2009" t="s">
        <v>37</v>
      </c>
      <c r="D2009" t="s">
        <v>38</v>
      </c>
      <c r="E2009">
        <v>5</v>
      </c>
      <c r="F2009" s="2">
        <v>34.99</v>
      </c>
      <c r="G2009">
        <v>10</v>
      </c>
      <c r="H2009" s="2">
        <v>31.49</v>
      </c>
      <c r="I2009" s="2">
        <v>157.44999999999999</v>
      </c>
      <c r="J2009" t="s">
        <v>62</v>
      </c>
      <c r="K2009" t="s">
        <v>44</v>
      </c>
      <c r="L2009" t="s">
        <v>21</v>
      </c>
      <c r="M2009" t="s">
        <v>73</v>
      </c>
      <c r="N2009" t="s">
        <v>74</v>
      </c>
      <c r="O2009" t="s">
        <v>35</v>
      </c>
      <c r="Q2009" s="2">
        <f>Ventas[[#This Row],[precio_base]]*Ventas[[#This Row],[cantidad]]</f>
        <v>174.95000000000002</v>
      </c>
      <c r="R2009" s="2">
        <f>Ventas[[#This Row],[Total bruto (antes de descuento)]]-Ventas[[#This Row],[total_venta]]</f>
        <v>17.500000000000028</v>
      </c>
    </row>
    <row r="2010" spans="1:18" x14ac:dyDescent="0.25">
      <c r="A2010" t="s">
        <v>2103</v>
      </c>
      <c r="B2010" s="1">
        <v>44966</v>
      </c>
      <c r="C2010" t="s">
        <v>92</v>
      </c>
      <c r="D2010" t="s">
        <v>27</v>
      </c>
      <c r="E2010">
        <v>1</v>
      </c>
      <c r="F2010" s="2">
        <v>79.989999999999995</v>
      </c>
      <c r="G2010">
        <v>5</v>
      </c>
      <c r="H2010" s="2">
        <v>75.989999999999995</v>
      </c>
      <c r="I2010" s="2">
        <v>75.989999999999995</v>
      </c>
      <c r="J2010" t="s">
        <v>19</v>
      </c>
      <c r="K2010" t="s">
        <v>20</v>
      </c>
      <c r="L2010" t="s">
        <v>28</v>
      </c>
      <c r="M2010" t="s">
        <v>95</v>
      </c>
      <c r="N2010" t="s">
        <v>96</v>
      </c>
      <c r="O2010" t="s">
        <v>48</v>
      </c>
      <c r="P2010">
        <v>1</v>
      </c>
      <c r="Q2010" s="2">
        <f>Ventas[[#This Row],[precio_base]]*Ventas[[#This Row],[cantidad]]</f>
        <v>79.989999999999995</v>
      </c>
      <c r="R2010" s="2">
        <f>Ventas[[#This Row],[Total bruto (antes de descuento)]]-Ventas[[#This Row],[total_venta]]</f>
        <v>4</v>
      </c>
    </row>
    <row r="2011" spans="1:18" x14ac:dyDescent="0.25">
      <c r="A2011" t="s">
        <v>2104</v>
      </c>
      <c r="B2011" s="1">
        <v>45392</v>
      </c>
      <c r="C2011" t="s">
        <v>109</v>
      </c>
      <c r="D2011" t="s">
        <v>38</v>
      </c>
      <c r="E2011">
        <v>3</v>
      </c>
      <c r="F2011" s="2">
        <v>39.99</v>
      </c>
      <c r="G2011">
        <v>0</v>
      </c>
      <c r="H2011" s="2">
        <v>39.99</v>
      </c>
      <c r="I2011" s="2">
        <v>119.97</v>
      </c>
      <c r="J2011" t="s">
        <v>51</v>
      </c>
      <c r="K2011" t="s">
        <v>20</v>
      </c>
      <c r="L2011" t="s">
        <v>21</v>
      </c>
      <c r="M2011" t="s">
        <v>101</v>
      </c>
      <c r="N2011" t="s">
        <v>102</v>
      </c>
      <c r="O2011" t="s">
        <v>35</v>
      </c>
      <c r="Q2011" s="2">
        <f>Ventas[[#This Row],[precio_base]]*Ventas[[#This Row],[cantidad]]</f>
        <v>119.97</v>
      </c>
      <c r="R2011" s="2">
        <f>Ventas[[#This Row],[Total bruto (antes de descuento)]]-Ventas[[#This Row],[total_venta]]</f>
        <v>0</v>
      </c>
    </row>
    <row r="2012" spans="1:18" x14ac:dyDescent="0.25">
      <c r="A2012" t="s">
        <v>2105</v>
      </c>
      <c r="B2012" s="1">
        <v>45647</v>
      </c>
      <c r="C2012" t="s">
        <v>42</v>
      </c>
      <c r="D2012" t="s">
        <v>43</v>
      </c>
      <c r="E2012">
        <v>4</v>
      </c>
      <c r="F2012" s="2">
        <v>349.99</v>
      </c>
      <c r="G2012">
        <v>0</v>
      </c>
      <c r="H2012" s="2">
        <v>349.99</v>
      </c>
      <c r="I2012" s="2">
        <v>1399.96</v>
      </c>
      <c r="J2012" t="s">
        <v>51</v>
      </c>
      <c r="K2012" t="s">
        <v>20</v>
      </c>
      <c r="L2012" t="s">
        <v>21</v>
      </c>
      <c r="M2012" t="s">
        <v>95</v>
      </c>
      <c r="N2012" t="s">
        <v>96</v>
      </c>
      <c r="O2012" t="s">
        <v>48</v>
      </c>
      <c r="Q2012" s="2">
        <f>Ventas[[#This Row],[precio_base]]*Ventas[[#This Row],[cantidad]]</f>
        <v>1399.96</v>
      </c>
      <c r="R2012" s="2">
        <f>Ventas[[#This Row],[Total bruto (antes de descuento)]]-Ventas[[#This Row],[total_venta]]</f>
        <v>0</v>
      </c>
    </row>
    <row r="2013" spans="1:18" x14ac:dyDescent="0.25">
      <c r="A2013" t="s">
        <v>2106</v>
      </c>
      <c r="B2013" s="1">
        <v>45618</v>
      </c>
      <c r="C2013" t="s">
        <v>98</v>
      </c>
      <c r="D2013" t="s">
        <v>31</v>
      </c>
      <c r="E2013">
        <v>1</v>
      </c>
      <c r="F2013" s="2">
        <v>99.99</v>
      </c>
      <c r="G2013">
        <v>10</v>
      </c>
      <c r="H2013" s="2">
        <v>89.99</v>
      </c>
      <c r="I2013" s="2">
        <v>89.99</v>
      </c>
      <c r="J2013" t="s">
        <v>19</v>
      </c>
      <c r="K2013" t="s">
        <v>20</v>
      </c>
      <c r="L2013" t="s">
        <v>21</v>
      </c>
      <c r="M2013" t="s">
        <v>65</v>
      </c>
      <c r="N2013" t="s">
        <v>54</v>
      </c>
      <c r="O2013" t="s">
        <v>35</v>
      </c>
      <c r="P2013">
        <v>5</v>
      </c>
      <c r="Q2013" s="2">
        <f>Ventas[[#This Row],[precio_base]]*Ventas[[#This Row],[cantidad]]</f>
        <v>99.99</v>
      </c>
      <c r="R2013" s="2">
        <f>Ventas[[#This Row],[Total bruto (antes de descuento)]]-Ventas[[#This Row],[total_venta]]</f>
        <v>10</v>
      </c>
    </row>
    <row r="2014" spans="1:18" x14ac:dyDescent="0.25">
      <c r="A2014" t="s">
        <v>2107</v>
      </c>
      <c r="B2014" s="1">
        <v>45324</v>
      </c>
      <c r="C2014" t="s">
        <v>70</v>
      </c>
      <c r="D2014" t="s">
        <v>31</v>
      </c>
      <c r="E2014">
        <v>5</v>
      </c>
      <c r="F2014" s="2">
        <v>59.99</v>
      </c>
      <c r="G2014">
        <v>15</v>
      </c>
      <c r="H2014" s="2">
        <v>50.99</v>
      </c>
      <c r="I2014" s="2">
        <v>254.95</v>
      </c>
      <c r="J2014" t="s">
        <v>51</v>
      </c>
      <c r="K2014" t="s">
        <v>44</v>
      </c>
      <c r="L2014" t="s">
        <v>28</v>
      </c>
      <c r="M2014" t="s">
        <v>58</v>
      </c>
      <c r="N2014" t="s">
        <v>59</v>
      </c>
      <c r="O2014" t="s">
        <v>24</v>
      </c>
      <c r="Q2014" s="2">
        <f>Ventas[[#This Row],[precio_base]]*Ventas[[#This Row],[cantidad]]</f>
        <v>299.95</v>
      </c>
      <c r="R2014" s="2">
        <f>Ventas[[#This Row],[Total bruto (antes de descuento)]]-Ventas[[#This Row],[total_venta]]</f>
        <v>45</v>
      </c>
    </row>
    <row r="2015" spans="1:18" x14ac:dyDescent="0.25">
      <c r="A2015" t="s">
        <v>2108</v>
      </c>
      <c r="B2015" s="1">
        <v>45429</v>
      </c>
      <c r="C2015" t="s">
        <v>205</v>
      </c>
      <c r="D2015" t="s">
        <v>18</v>
      </c>
      <c r="E2015">
        <v>4</v>
      </c>
      <c r="F2015" s="2">
        <v>129.99</v>
      </c>
      <c r="G2015">
        <v>0</v>
      </c>
      <c r="H2015" s="2">
        <v>129.99</v>
      </c>
      <c r="I2015" s="2">
        <v>519.96</v>
      </c>
      <c r="J2015" t="s">
        <v>62</v>
      </c>
      <c r="K2015" t="s">
        <v>20</v>
      </c>
      <c r="L2015" t="s">
        <v>21</v>
      </c>
      <c r="M2015" t="s">
        <v>46</v>
      </c>
      <c r="N2015" t="s">
        <v>47</v>
      </c>
      <c r="O2015" t="s">
        <v>48</v>
      </c>
      <c r="Q2015" s="2">
        <f>Ventas[[#This Row],[precio_base]]*Ventas[[#This Row],[cantidad]]</f>
        <v>519.96</v>
      </c>
      <c r="R2015" s="2">
        <f>Ventas[[#This Row],[Total bruto (antes de descuento)]]-Ventas[[#This Row],[total_venta]]</f>
        <v>0</v>
      </c>
    </row>
    <row r="2016" spans="1:18" x14ac:dyDescent="0.25">
      <c r="A2016" t="s">
        <v>2109</v>
      </c>
      <c r="B2016" s="1">
        <v>45039</v>
      </c>
      <c r="C2016" t="s">
        <v>81</v>
      </c>
      <c r="D2016" t="s">
        <v>31</v>
      </c>
      <c r="E2016">
        <v>2</v>
      </c>
      <c r="F2016" s="2">
        <v>189.99</v>
      </c>
      <c r="G2016">
        <v>20</v>
      </c>
      <c r="H2016" s="2">
        <v>151.99</v>
      </c>
      <c r="I2016" s="2">
        <v>303.98</v>
      </c>
      <c r="J2016" t="s">
        <v>19</v>
      </c>
      <c r="K2016" t="s">
        <v>44</v>
      </c>
      <c r="L2016" t="s">
        <v>21</v>
      </c>
      <c r="M2016" t="s">
        <v>101</v>
      </c>
      <c r="N2016" t="s">
        <v>102</v>
      </c>
      <c r="O2016" t="s">
        <v>35</v>
      </c>
      <c r="P2016">
        <v>2</v>
      </c>
      <c r="Q2016" s="2">
        <f>Ventas[[#This Row],[precio_base]]*Ventas[[#This Row],[cantidad]]</f>
        <v>379.98</v>
      </c>
      <c r="R2016" s="2">
        <f>Ventas[[#This Row],[Total bruto (antes de descuento)]]-Ventas[[#This Row],[total_venta]]</f>
        <v>76</v>
      </c>
    </row>
    <row r="2017" spans="1:18" x14ac:dyDescent="0.25">
      <c r="A2017" t="s">
        <v>2110</v>
      </c>
      <c r="B2017" s="1">
        <v>45312</v>
      </c>
      <c r="C2017" t="s">
        <v>94</v>
      </c>
      <c r="D2017" t="s">
        <v>18</v>
      </c>
      <c r="E2017">
        <v>3</v>
      </c>
      <c r="F2017" s="2">
        <v>899.99</v>
      </c>
      <c r="G2017">
        <v>0</v>
      </c>
      <c r="H2017" s="2">
        <v>899.99</v>
      </c>
      <c r="I2017" s="2">
        <v>2699.97</v>
      </c>
      <c r="J2017" t="s">
        <v>19</v>
      </c>
      <c r="K2017" t="s">
        <v>44</v>
      </c>
      <c r="L2017" t="s">
        <v>32</v>
      </c>
      <c r="M2017" t="s">
        <v>67</v>
      </c>
      <c r="N2017" t="s">
        <v>68</v>
      </c>
      <c r="O2017" t="s">
        <v>35</v>
      </c>
      <c r="P2017">
        <v>2</v>
      </c>
      <c r="Q2017" s="2">
        <f>Ventas[[#This Row],[precio_base]]*Ventas[[#This Row],[cantidad]]</f>
        <v>2699.9700000000003</v>
      </c>
      <c r="R2017" s="2">
        <f>Ventas[[#This Row],[Total bruto (antes de descuento)]]-Ventas[[#This Row],[total_venta]]</f>
        <v>0</v>
      </c>
    </row>
    <row r="2018" spans="1:18" x14ac:dyDescent="0.25">
      <c r="A2018" t="s">
        <v>2111</v>
      </c>
      <c r="B2018" s="1">
        <v>45657</v>
      </c>
      <c r="C2018" t="s">
        <v>151</v>
      </c>
      <c r="D2018" t="s">
        <v>27</v>
      </c>
      <c r="E2018">
        <v>1</v>
      </c>
      <c r="F2018" s="2">
        <v>599.99</v>
      </c>
      <c r="G2018">
        <v>0</v>
      </c>
      <c r="H2018" s="2">
        <v>599.99</v>
      </c>
      <c r="I2018" s="2">
        <v>599.99</v>
      </c>
      <c r="J2018" t="s">
        <v>19</v>
      </c>
      <c r="K2018" t="s">
        <v>44</v>
      </c>
      <c r="L2018" t="s">
        <v>152</v>
      </c>
      <c r="M2018" t="s">
        <v>63</v>
      </c>
      <c r="N2018" t="s">
        <v>34</v>
      </c>
      <c r="O2018" t="s">
        <v>24</v>
      </c>
      <c r="P2018">
        <v>5</v>
      </c>
      <c r="Q2018" s="2">
        <f>Ventas[[#This Row],[precio_base]]*Ventas[[#This Row],[cantidad]]</f>
        <v>599.99</v>
      </c>
      <c r="R2018" s="2">
        <f>Ventas[[#This Row],[Total bruto (antes de descuento)]]-Ventas[[#This Row],[total_venta]]</f>
        <v>0</v>
      </c>
    </row>
    <row r="2019" spans="1:18" x14ac:dyDescent="0.25">
      <c r="A2019" t="s">
        <v>2112</v>
      </c>
      <c r="B2019" s="1">
        <v>44951</v>
      </c>
      <c r="C2019" t="s">
        <v>151</v>
      </c>
      <c r="D2019" t="s">
        <v>27</v>
      </c>
      <c r="E2019">
        <v>4</v>
      </c>
      <c r="F2019" s="2">
        <v>599.99</v>
      </c>
      <c r="G2019">
        <v>0</v>
      </c>
      <c r="H2019" s="2">
        <v>599.99</v>
      </c>
      <c r="I2019" s="2">
        <v>2399.96</v>
      </c>
      <c r="J2019" t="s">
        <v>51</v>
      </c>
      <c r="K2019" t="s">
        <v>20</v>
      </c>
      <c r="L2019" t="s">
        <v>45</v>
      </c>
      <c r="M2019" t="s">
        <v>120</v>
      </c>
      <c r="N2019" t="s">
        <v>23</v>
      </c>
      <c r="O2019" t="s">
        <v>24</v>
      </c>
      <c r="Q2019" s="2">
        <f>Ventas[[#This Row],[precio_base]]*Ventas[[#This Row],[cantidad]]</f>
        <v>2399.96</v>
      </c>
      <c r="R2019" s="2">
        <f>Ventas[[#This Row],[Total bruto (antes de descuento)]]-Ventas[[#This Row],[total_venta]]</f>
        <v>0</v>
      </c>
    </row>
    <row r="2020" spans="1:18" x14ac:dyDescent="0.25">
      <c r="A2020" t="s">
        <v>2113</v>
      </c>
      <c r="B2020" s="1">
        <v>45637</v>
      </c>
      <c r="C2020" t="s">
        <v>89</v>
      </c>
      <c r="D2020" t="s">
        <v>38</v>
      </c>
      <c r="E2020">
        <v>5</v>
      </c>
      <c r="F2020" s="2">
        <v>69.989999999999995</v>
      </c>
      <c r="G2020">
        <v>0</v>
      </c>
      <c r="H2020" s="2">
        <v>69.989999999999995</v>
      </c>
      <c r="I2020" s="2">
        <v>349.95</v>
      </c>
      <c r="J2020" t="s">
        <v>19</v>
      </c>
      <c r="K2020" t="s">
        <v>20</v>
      </c>
      <c r="L2020" t="s">
        <v>45</v>
      </c>
      <c r="M2020" t="s">
        <v>46</v>
      </c>
      <c r="N2020" t="s">
        <v>47</v>
      </c>
      <c r="O2020" t="s">
        <v>48</v>
      </c>
      <c r="P2020">
        <v>4</v>
      </c>
      <c r="Q2020" s="2">
        <f>Ventas[[#This Row],[precio_base]]*Ventas[[#This Row],[cantidad]]</f>
        <v>349.95</v>
      </c>
      <c r="R2020" s="2">
        <f>Ventas[[#This Row],[Total bruto (antes de descuento)]]-Ventas[[#This Row],[total_venta]]</f>
        <v>0</v>
      </c>
    </row>
    <row r="2021" spans="1:18" x14ac:dyDescent="0.25">
      <c r="A2021" t="s">
        <v>2114</v>
      </c>
      <c r="B2021" s="1">
        <v>44995</v>
      </c>
      <c r="C2021" t="s">
        <v>56</v>
      </c>
      <c r="D2021" t="s">
        <v>18</v>
      </c>
      <c r="E2021">
        <v>1</v>
      </c>
      <c r="F2021" s="2">
        <v>89.99</v>
      </c>
      <c r="G2021">
        <v>0</v>
      </c>
      <c r="H2021" s="2">
        <v>89.99</v>
      </c>
      <c r="I2021" s="2">
        <v>89.99</v>
      </c>
      <c r="J2021" t="s">
        <v>62</v>
      </c>
      <c r="K2021" t="s">
        <v>20</v>
      </c>
      <c r="L2021" t="s">
        <v>45</v>
      </c>
      <c r="M2021" t="s">
        <v>73</v>
      </c>
      <c r="N2021" t="s">
        <v>74</v>
      </c>
      <c r="O2021" t="s">
        <v>35</v>
      </c>
      <c r="Q2021" s="2">
        <f>Ventas[[#This Row],[precio_base]]*Ventas[[#This Row],[cantidad]]</f>
        <v>89.99</v>
      </c>
      <c r="R2021" s="2">
        <f>Ventas[[#This Row],[Total bruto (antes de descuento)]]-Ventas[[#This Row],[total_venta]]</f>
        <v>0</v>
      </c>
    </row>
    <row r="2022" spans="1:18" x14ac:dyDescent="0.25">
      <c r="A2022" t="s">
        <v>2115</v>
      </c>
      <c r="B2022" s="1">
        <v>45176</v>
      </c>
      <c r="C2022" t="s">
        <v>122</v>
      </c>
      <c r="D2022" t="s">
        <v>43</v>
      </c>
      <c r="E2022">
        <v>2</v>
      </c>
      <c r="F2022" s="2">
        <v>44.99</v>
      </c>
      <c r="G2022">
        <v>0</v>
      </c>
      <c r="H2022" s="2">
        <v>44.99</v>
      </c>
      <c r="I2022" s="2">
        <v>89.98</v>
      </c>
      <c r="J2022" t="s">
        <v>19</v>
      </c>
      <c r="K2022" t="s">
        <v>44</v>
      </c>
      <c r="L2022" t="s">
        <v>28</v>
      </c>
      <c r="M2022" t="s">
        <v>95</v>
      </c>
      <c r="N2022" t="s">
        <v>96</v>
      </c>
      <c r="O2022" t="s">
        <v>48</v>
      </c>
      <c r="P2022">
        <v>4</v>
      </c>
      <c r="Q2022" s="2">
        <f>Ventas[[#This Row],[precio_base]]*Ventas[[#This Row],[cantidad]]</f>
        <v>89.98</v>
      </c>
      <c r="R2022" s="2">
        <f>Ventas[[#This Row],[Total bruto (antes de descuento)]]-Ventas[[#This Row],[total_venta]]</f>
        <v>0</v>
      </c>
    </row>
    <row r="2023" spans="1:18" x14ac:dyDescent="0.25">
      <c r="A2023" t="s">
        <v>2116</v>
      </c>
      <c r="B2023" s="1">
        <v>45602</v>
      </c>
      <c r="C2023" t="s">
        <v>50</v>
      </c>
      <c r="D2023" t="s">
        <v>27</v>
      </c>
      <c r="E2023">
        <v>3</v>
      </c>
      <c r="F2023" s="2">
        <v>149.99</v>
      </c>
      <c r="G2023">
        <v>10</v>
      </c>
      <c r="H2023" s="2">
        <v>134.99</v>
      </c>
      <c r="I2023" s="2">
        <v>404.97</v>
      </c>
      <c r="J2023" t="s">
        <v>19</v>
      </c>
      <c r="K2023" t="s">
        <v>57</v>
      </c>
      <c r="L2023" t="s">
        <v>28</v>
      </c>
      <c r="M2023" t="s">
        <v>95</v>
      </c>
      <c r="N2023" t="s">
        <v>96</v>
      </c>
      <c r="O2023" t="s">
        <v>48</v>
      </c>
      <c r="P2023">
        <v>5</v>
      </c>
      <c r="Q2023" s="2">
        <f>Ventas[[#This Row],[precio_base]]*Ventas[[#This Row],[cantidad]]</f>
        <v>449.97</v>
      </c>
      <c r="R2023" s="2">
        <f>Ventas[[#This Row],[Total bruto (antes de descuento)]]-Ventas[[#This Row],[total_venta]]</f>
        <v>45</v>
      </c>
    </row>
    <row r="2024" spans="1:18" x14ac:dyDescent="0.25">
      <c r="A2024" t="s">
        <v>2117</v>
      </c>
      <c r="B2024" s="1">
        <v>45350</v>
      </c>
      <c r="C2024" t="s">
        <v>17</v>
      </c>
      <c r="D2024" t="s">
        <v>18</v>
      </c>
      <c r="E2024">
        <v>5</v>
      </c>
      <c r="F2024" s="2">
        <v>45.99</v>
      </c>
      <c r="G2024">
        <v>0</v>
      </c>
      <c r="H2024" s="2">
        <v>45.99</v>
      </c>
      <c r="I2024" s="2">
        <v>229.95</v>
      </c>
      <c r="J2024" t="s">
        <v>19</v>
      </c>
      <c r="K2024" t="s">
        <v>20</v>
      </c>
      <c r="L2024" t="s">
        <v>28</v>
      </c>
      <c r="M2024" t="s">
        <v>63</v>
      </c>
      <c r="N2024" t="s">
        <v>34</v>
      </c>
      <c r="O2024" t="s">
        <v>24</v>
      </c>
      <c r="P2024">
        <v>4</v>
      </c>
      <c r="Q2024" s="2">
        <f>Ventas[[#This Row],[precio_base]]*Ventas[[#This Row],[cantidad]]</f>
        <v>229.95000000000002</v>
      </c>
      <c r="R2024" s="2">
        <f>Ventas[[#This Row],[Total bruto (antes de descuento)]]-Ventas[[#This Row],[total_venta]]</f>
        <v>0</v>
      </c>
    </row>
    <row r="2025" spans="1:18" x14ac:dyDescent="0.25">
      <c r="A2025" t="s">
        <v>2118</v>
      </c>
      <c r="B2025" s="1">
        <v>44938</v>
      </c>
      <c r="C2025" t="s">
        <v>89</v>
      </c>
      <c r="D2025" t="s">
        <v>38</v>
      </c>
      <c r="E2025">
        <v>1</v>
      </c>
      <c r="F2025" s="2">
        <v>69.989999999999995</v>
      </c>
      <c r="G2025">
        <v>10</v>
      </c>
      <c r="H2025" s="2">
        <v>62.99</v>
      </c>
      <c r="I2025" s="2">
        <v>62.99</v>
      </c>
      <c r="J2025" t="s">
        <v>51</v>
      </c>
      <c r="K2025" t="s">
        <v>44</v>
      </c>
      <c r="L2025" t="s">
        <v>21</v>
      </c>
      <c r="M2025" t="s">
        <v>95</v>
      </c>
      <c r="N2025" t="s">
        <v>96</v>
      </c>
      <c r="O2025" t="s">
        <v>48</v>
      </c>
      <c r="Q2025" s="2">
        <f>Ventas[[#This Row],[precio_base]]*Ventas[[#This Row],[cantidad]]</f>
        <v>69.989999999999995</v>
      </c>
      <c r="R2025" s="2">
        <f>Ventas[[#This Row],[Total bruto (antes de descuento)]]-Ventas[[#This Row],[total_venta]]</f>
        <v>6.9999999999999929</v>
      </c>
    </row>
    <row r="2026" spans="1:18" x14ac:dyDescent="0.25">
      <c r="A2026" t="s">
        <v>2119</v>
      </c>
      <c r="B2026" s="1">
        <v>45470</v>
      </c>
      <c r="C2026" t="s">
        <v>104</v>
      </c>
      <c r="D2026" t="s">
        <v>18</v>
      </c>
      <c r="E2026">
        <v>3</v>
      </c>
      <c r="F2026" s="2">
        <v>1199.99</v>
      </c>
      <c r="G2026">
        <v>20</v>
      </c>
      <c r="H2026" s="2">
        <v>959.99</v>
      </c>
      <c r="I2026" s="2">
        <v>2879.97</v>
      </c>
      <c r="J2026" t="s">
        <v>19</v>
      </c>
      <c r="K2026" t="s">
        <v>20</v>
      </c>
      <c r="L2026" t="s">
        <v>45</v>
      </c>
      <c r="M2026" t="s">
        <v>53</v>
      </c>
      <c r="N2026" t="s">
        <v>54</v>
      </c>
      <c r="O2026" t="s">
        <v>35</v>
      </c>
      <c r="P2026">
        <v>2</v>
      </c>
      <c r="Q2026" s="2">
        <f>Ventas[[#This Row],[precio_base]]*Ventas[[#This Row],[cantidad]]</f>
        <v>3599.9700000000003</v>
      </c>
      <c r="R2026" s="2">
        <f>Ventas[[#This Row],[Total bruto (antes de descuento)]]-Ventas[[#This Row],[total_venta]]</f>
        <v>720.00000000000045</v>
      </c>
    </row>
    <row r="2027" spans="1:18" x14ac:dyDescent="0.25">
      <c r="A2027" t="s">
        <v>2120</v>
      </c>
      <c r="B2027" s="1">
        <v>45120</v>
      </c>
      <c r="C2027" t="s">
        <v>81</v>
      </c>
      <c r="D2027" t="s">
        <v>31</v>
      </c>
      <c r="E2027">
        <v>4</v>
      </c>
      <c r="F2027" s="2">
        <v>189.99</v>
      </c>
      <c r="G2027">
        <v>5</v>
      </c>
      <c r="H2027" s="2">
        <v>180.49</v>
      </c>
      <c r="I2027" s="2">
        <v>721.96</v>
      </c>
      <c r="J2027" t="s">
        <v>19</v>
      </c>
      <c r="K2027" t="s">
        <v>20</v>
      </c>
      <c r="L2027" t="s">
        <v>45</v>
      </c>
      <c r="M2027" t="s">
        <v>95</v>
      </c>
      <c r="N2027" t="s">
        <v>96</v>
      </c>
      <c r="O2027" t="s">
        <v>48</v>
      </c>
      <c r="P2027">
        <v>5</v>
      </c>
      <c r="Q2027" s="2">
        <f>Ventas[[#This Row],[precio_base]]*Ventas[[#This Row],[cantidad]]</f>
        <v>759.96</v>
      </c>
      <c r="R2027" s="2">
        <f>Ventas[[#This Row],[Total bruto (antes de descuento)]]-Ventas[[#This Row],[total_venta]]</f>
        <v>38</v>
      </c>
    </row>
    <row r="2028" spans="1:18" x14ac:dyDescent="0.25">
      <c r="A2028" t="s">
        <v>2121</v>
      </c>
      <c r="B2028" s="1">
        <v>44999</v>
      </c>
      <c r="C2028" t="s">
        <v>78</v>
      </c>
      <c r="D2028" t="s">
        <v>18</v>
      </c>
      <c r="E2028">
        <v>2</v>
      </c>
      <c r="F2028" s="2">
        <v>349.99</v>
      </c>
      <c r="G2028">
        <v>20</v>
      </c>
      <c r="H2028" s="2">
        <v>279.99</v>
      </c>
      <c r="I2028" s="2">
        <v>559.98</v>
      </c>
      <c r="J2028" t="s">
        <v>19</v>
      </c>
      <c r="K2028" t="s">
        <v>52</v>
      </c>
      <c r="L2028" t="s">
        <v>45</v>
      </c>
      <c r="M2028" t="s">
        <v>67</v>
      </c>
      <c r="N2028" t="s">
        <v>68</v>
      </c>
      <c r="O2028" t="s">
        <v>35</v>
      </c>
      <c r="P2028">
        <v>1</v>
      </c>
      <c r="Q2028" s="2">
        <f>Ventas[[#This Row],[precio_base]]*Ventas[[#This Row],[cantidad]]</f>
        <v>699.98</v>
      </c>
      <c r="R2028" s="2">
        <f>Ventas[[#This Row],[Total bruto (antes de descuento)]]-Ventas[[#This Row],[total_venta]]</f>
        <v>140</v>
      </c>
    </row>
    <row r="2029" spans="1:18" x14ac:dyDescent="0.25">
      <c r="A2029" t="s">
        <v>2122</v>
      </c>
      <c r="B2029" s="1">
        <v>45506</v>
      </c>
      <c r="C2029" t="s">
        <v>205</v>
      </c>
      <c r="D2029" t="s">
        <v>18</v>
      </c>
      <c r="E2029">
        <v>2</v>
      </c>
      <c r="F2029" s="2">
        <v>129.99</v>
      </c>
      <c r="G2029">
        <v>15</v>
      </c>
      <c r="H2029" s="2">
        <v>110.49</v>
      </c>
      <c r="I2029" s="2">
        <v>220.98</v>
      </c>
      <c r="J2029" t="s">
        <v>51</v>
      </c>
      <c r="K2029" t="s">
        <v>44</v>
      </c>
      <c r="L2029" t="s">
        <v>152</v>
      </c>
      <c r="M2029" t="s">
        <v>67</v>
      </c>
      <c r="N2029" t="s">
        <v>68</v>
      </c>
      <c r="O2029" t="s">
        <v>35</v>
      </c>
      <c r="Q2029" s="2">
        <f>Ventas[[#This Row],[precio_base]]*Ventas[[#This Row],[cantidad]]</f>
        <v>259.98</v>
      </c>
      <c r="R2029" s="2">
        <f>Ventas[[#This Row],[Total bruto (antes de descuento)]]-Ventas[[#This Row],[total_venta]]</f>
        <v>39.000000000000028</v>
      </c>
    </row>
    <row r="2030" spans="1:18" x14ac:dyDescent="0.25">
      <c r="A2030" t="s">
        <v>2123</v>
      </c>
      <c r="B2030" s="1">
        <v>45195</v>
      </c>
      <c r="C2030" t="s">
        <v>37</v>
      </c>
      <c r="D2030" t="s">
        <v>38</v>
      </c>
      <c r="E2030">
        <v>1</v>
      </c>
      <c r="F2030" s="2">
        <v>34.99</v>
      </c>
      <c r="G2030">
        <v>20</v>
      </c>
      <c r="H2030" s="2">
        <v>27.99</v>
      </c>
      <c r="I2030" s="2">
        <v>27.99</v>
      </c>
      <c r="J2030" t="s">
        <v>19</v>
      </c>
      <c r="K2030" t="s">
        <v>20</v>
      </c>
      <c r="L2030" t="s">
        <v>45</v>
      </c>
      <c r="M2030" t="s">
        <v>67</v>
      </c>
      <c r="N2030" t="s">
        <v>68</v>
      </c>
      <c r="O2030" t="s">
        <v>35</v>
      </c>
      <c r="P2030">
        <v>2</v>
      </c>
      <c r="Q2030" s="2">
        <f>Ventas[[#This Row],[precio_base]]*Ventas[[#This Row],[cantidad]]</f>
        <v>34.99</v>
      </c>
      <c r="R2030" s="2">
        <f>Ventas[[#This Row],[Total bruto (antes de descuento)]]-Ventas[[#This Row],[total_venta]]</f>
        <v>7.0000000000000036</v>
      </c>
    </row>
    <row r="2031" spans="1:18" x14ac:dyDescent="0.25">
      <c r="A2031" t="s">
        <v>2124</v>
      </c>
      <c r="B2031" s="1">
        <v>45614</v>
      </c>
      <c r="C2031" t="s">
        <v>76</v>
      </c>
      <c r="D2031" t="s">
        <v>31</v>
      </c>
      <c r="E2031">
        <v>3</v>
      </c>
      <c r="F2031" s="2">
        <v>69.989999999999995</v>
      </c>
      <c r="G2031">
        <v>5</v>
      </c>
      <c r="H2031" s="2">
        <v>66.489999999999995</v>
      </c>
      <c r="I2031" s="2">
        <v>199.47</v>
      </c>
      <c r="J2031" t="s">
        <v>19</v>
      </c>
      <c r="K2031" t="s">
        <v>52</v>
      </c>
      <c r="L2031" t="s">
        <v>28</v>
      </c>
      <c r="M2031" t="s">
        <v>67</v>
      </c>
      <c r="N2031" t="s">
        <v>68</v>
      </c>
      <c r="O2031" t="s">
        <v>35</v>
      </c>
      <c r="P2031">
        <v>2</v>
      </c>
      <c r="Q2031" s="2">
        <f>Ventas[[#This Row],[precio_base]]*Ventas[[#This Row],[cantidad]]</f>
        <v>209.96999999999997</v>
      </c>
      <c r="R2031" s="2">
        <f>Ventas[[#This Row],[Total bruto (antes de descuento)]]-Ventas[[#This Row],[total_venta]]</f>
        <v>10.499999999999972</v>
      </c>
    </row>
    <row r="2032" spans="1:18" x14ac:dyDescent="0.25">
      <c r="A2032" t="s">
        <v>2125</v>
      </c>
      <c r="B2032" s="1">
        <v>45417</v>
      </c>
      <c r="C2032" t="s">
        <v>156</v>
      </c>
      <c r="D2032" t="s">
        <v>27</v>
      </c>
      <c r="E2032">
        <v>5</v>
      </c>
      <c r="F2032" s="2">
        <v>49.99</v>
      </c>
      <c r="G2032">
        <v>5</v>
      </c>
      <c r="H2032" s="2">
        <v>47.49</v>
      </c>
      <c r="I2032" s="2">
        <v>237.45</v>
      </c>
      <c r="J2032" t="s">
        <v>51</v>
      </c>
      <c r="K2032" t="s">
        <v>44</v>
      </c>
      <c r="L2032" t="s">
        <v>21</v>
      </c>
      <c r="M2032" t="s">
        <v>39</v>
      </c>
      <c r="N2032" t="s">
        <v>40</v>
      </c>
      <c r="O2032" t="s">
        <v>35</v>
      </c>
      <c r="Q2032" s="2">
        <f>Ventas[[#This Row],[precio_base]]*Ventas[[#This Row],[cantidad]]</f>
        <v>249.95000000000002</v>
      </c>
      <c r="R2032" s="2">
        <f>Ventas[[#This Row],[Total bruto (antes de descuento)]]-Ventas[[#This Row],[total_venta]]</f>
        <v>12.500000000000028</v>
      </c>
    </row>
    <row r="2033" spans="1:18" x14ac:dyDescent="0.25">
      <c r="A2033" t="s">
        <v>2126</v>
      </c>
      <c r="B2033" s="1">
        <v>45460</v>
      </c>
      <c r="C2033" t="s">
        <v>83</v>
      </c>
      <c r="D2033" t="s">
        <v>38</v>
      </c>
      <c r="E2033">
        <v>4</v>
      </c>
      <c r="F2033" s="2">
        <v>49.99</v>
      </c>
      <c r="G2033">
        <v>20</v>
      </c>
      <c r="H2033" s="2">
        <v>39.99</v>
      </c>
      <c r="I2033" s="2">
        <v>159.96</v>
      </c>
      <c r="J2033" t="s">
        <v>19</v>
      </c>
      <c r="K2033" t="s">
        <v>20</v>
      </c>
      <c r="L2033" t="s">
        <v>21</v>
      </c>
      <c r="M2033" t="s">
        <v>33</v>
      </c>
      <c r="N2033" t="s">
        <v>34</v>
      </c>
      <c r="O2033" t="s">
        <v>35</v>
      </c>
      <c r="P2033">
        <v>1</v>
      </c>
      <c r="Q2033" s="2">
        <f>Ventas[[#This Row],[precio_base]]*Ventas[[#This Row],[cantidad]]</f>
        <v>199.96</v>
      </c>
      <c r="R2033" s="2">
        <f>Ventas[[#This Row],[Total bruto (antes de descuento)]]-Ventas[[#This Row],[total_venta]]</f>
        <v>40</v>
      </c>
    </row>
    <row r="2034" spans="1:18" x14ac:dyDescent="0.25">
      <c r="A2034" t="s">
        <v>2127</v>
      </c>
      <c r="B2034" s="1">
        <v>45648</v>
      </c>
      <c r="C2034" t="s">
        <v>130</v>
      </c>
      <c r="D2034" t="s">
        <v>43</v>
      </c>
      <c r="E2034">
        <v>2</v>
      </c>
      <c r="F2034" s="2">
        <v>24.99</v>
      </c>
      <c r="G2034">
        <v>20</v>
      </c>
      <c r="H2034" s="2">
        <v>19.989999999999998</v>
      </c>
      <c r="I2034" s="2">
        <v>39.979999999999997</v>
      </c>
      <c r="J2034" t="s">
        <v>51</v>
      </c>
      <c r="K2034" t="s">
        <v>20</v>
      </c>
      <c r="L2034" t="s">
        <v>21</v>
      </c>
      <c r="M2034" t="s">
        <v>123</v>
      </c>
      <c r="N2034" t="s">
        <v>124</v>
      </c>
      <c r="O2034" t="s">
        <v>24</v>
      </c>
      <c r="Q2034" s="2">
        <f>Ventas[[#This Row],[precio_base]]*Ventas[[#This Row],[cantidad]]</f>
        <v>49.98</v>
      </c>
      <c r="R2034" s="2">
        <f>Ventas[[#This Row],[Total bruto (antes de descuento)]]-Ventas[[#This Row],[total_venta]]</f>
        <v>10</v>
      </c>
    </row>
    <row r="2035" spans="1:18" x14ac:dyDescent="0.25">
      <c r="A2035" t="s">
        <v>2128</v>
      </c>
      <c r="B2035" s="1">
        <v>45592</v>
      </c>
      <c r="C2035" t="s">
        <v>70</v>
      </c>
      <c r="D2035" t="s">
        <v>31</v>
      </c>
      <c r="E2035">
        <v>3</v>
      </c>
      <c r="F2035" s="2">
        <v>59.99</v>
      </c>
      <c r="G2035">
        <v>0</v>
      </c>
      <c r="H2035" s="2">
        <v>59.99</v>
      </c>
      <c r="I2035" s="2">
        <v>179.97</v>
      </c>
      <c r="J2035" t="s">
        <v>62</v>
      </c>
      <c r="K2035" t="s">
        <v>20</v>
      </c>
      <c r="L2035" t="s">
        <v>21</v>
      </c>
      <c r="M2035" t="s">
        <v>33</v>
      </c>
      <c r="N2035" t="s">
        <v>34</v>
      </c>
      <c r="O2035" t="s">
        <v>35</v>
      </c>
      <c r="Q2035" s="2">
        <f>Ventas[[#This Row],[precio_base]]*Ventas[[#This Row],[cantidad]]</f>
        <v>179.97</v>
      </c>
      <c r="R2035" s="2">
        <f>Ventas[[#This Row],[Total bruto (antes de descuento)]]-Ventas[[#This Row],[total_venta]]</f>
        <v>0</v>
      </c>
    </row>
    <row r="2036" spans="1:18" x14ac:dyDescent="0.25">
      <c r="A2036" t="s">
        <v>2129</v>
      </c>
      <c r="B2036" s="1">
        <v>45408</v>
      </c>
      <c r="C2036" t="s">
        <v>87</v>
      </c>
      <c r="D2036" t="s">
        <v>27</v>
      </c>
      <c r="E2036">
        <v>4</v>
      </c>
      <c r="F2036" s="2">
        <v>249.99</v>
      </c>
      <c r="G2036">
        <v>5</v>
      </c>
      <c r="H2036" s="2">
        <v>237.49</v>
      </c>
      <c r="I2036" s="2">
        <v>949.96</v>
      </c>
      <c r="J2036" t="s">
        <v>51</v>
      </c>
      <c r="K2036" t="s">
        <v>44</v>
      </c>
      <c r="L2036" t="s">
        <v>28</v>
      </c>
      <c r="M2036" t="s">
        <v>67</v>
      </c>
      <c r="N2036" t="s">
        <v>68</v>
      </c>
      <c r="O2036" t="s">
        <v>35</v>
      </c>
      <c r="Q2036" s="2">
        <f>Ventas[[#This Row],[precio_base]]*Ventas[[#This Row],[cantidad]]</f>
        <v>999.96</v>
      </c>
      <c r="R2036" s="2">
        <f>Ventas[[#This Row],[Total bruto (antes de descuento)]]-Ventas[[#This Row],[total_venta]]</f>
        <v>50</v>
      </c>
    </row>
    <row r="2037" spans="1:18" x14ac:dyDescent="0.25">
      <c r="A2037" t="s">
        <v>2130</v>
      </c>
      <c r="B2037" s="1">
        <v>45625</v>
      </c>
      <c r="C2037" t="s">
        <v>156</v>
      </c>
      <c r="D2037" t="s">
        <v>27</v>
      </c>
      <c r="E2037">
        <v>5</v>
      </c>
      <c r="F2037" s="2">
        <v>49.99</v>
      </c>
      <c r="G2037">
        <v>15</v>
      </c>
      <c r="H2037" s="2">
        <v>42.49</v>
      </c>
      <c r="I2037" s="2">
        <v>212.45</v>
      </c>
      <c r="J2037" t="s">
        <v>51</v>
      </c>
      <c r="K2037" t="s">
        <v>44</v>
      </c>
      <c r="L2037" t="s">
        <v>21</v>
      </c>
      <c r="M2037" t="s">
        <v>63</v>
      </c>
      <c r="N2037" t="s">
        <v>34</v>
      </c>
      <c r="O2037" t="s">
        <v>24</v>
      </c>
      <c r="Q2037" s="2">
        <f>Ventas[[#This Row],[precio_base]]*Ventas[[#This Row],[cantidad]]</f>
        <v>249.95000000000002</v>
      </c>
      <c r="R2037" s="2">
        <f>Ventas[[#This Row],[Total bruto (antes de descuento)]]-Ventas[[#This Row],[total_venta]]</f>
        <v>37.500000000000028</v>
      </c>
    </row>
    <row r="2038" spans="1:18" x14ac:dyDescent="0.25">
      <c r="A2038" t="s">
        <v>2131</v>
      </c>
      <c r="B2038" s="1">
        <v>45428</v>
      </c>
      <c r="C2038" t="s">
        <v>141</v>
      </c>
      <c r="D2038" t="s">
        <v>38</v>
      </c>
      <c r="E2038">
        <v>5</v>
      </c>
      <c r="F2038" s="2">
        <v>89.99</v>
      </c>
      <c r="G2038">
        <v>10</v>
      </c>
      <c r="H2038" s="2">
        <v>80.989999999999995</v>
      </c>
      <c r="I2038" s="2">
        <v>404.95</v>
      </c>
      <c r="J2038" t="s">
        <v>51</v>
      </c>
      <c r="K2038" t="s">
        <v>20</v>
      </c>
      <c r="L2038" t="s">
        <v>21</v>
      </c>
      <c r="M2038" t="s">
        <v>95</v>
      </c>
      <c r="N2038" t="s">
        <v>96</v>
      </c>
      <c r="O2038" t="s">
        <v>48</v>
      </c>
      <c r="Q2038" s="2">
        <f>Ventas[[#This Row],[precio_base]]*Ventas[[#This Row],[cantidad]]</f>
        <v>449.95</v>
      </c>
      <c r="R2038" s="2">
        <f>Ventas[[#This Row],[Total bruto (antes de descuento)]]-Ventas[[#This Row],[total_venta]]</f>
        <v>45</v>
      </c>
    </row>
    <row r="2039" spans="1:18" x14ac:dyDescent="0.25">
      <c r="A2039" t="s">
        <v>2132</v>
      </c>
      <c r="B2039" s="1">
        <v>45204</v>
      </c>
      <c r="C2039" t="s">
        <v>42</v>
      </c>
      <c r="D2039" t="s">
        <v>43</v>
      </c>
      <c r="E2039">
        <v>3</v>
      </c>
      <c r="F2039" s="2">
        <v>349.99</v>
      </c>
      <c r="G2039">
        <v>10</v>
      </c>
      <c r="H2039" s="2">
        <v>314.99</v>
      </c>
      <c r="I2039" s="2">
        <v>944.97</v>
      </c>
      <c r="J2039" t="s">
        <v>19</v>
      </c>
      <c r="K2039" t="s">
        <v>52</v>
      </c>
      <c r="L2039" t="s">
        <v>21</v>
      </c>
      <c r="M2039" t="s">
        <v>123</v>
      </c>
      <c r="N2039" t="s">
        <v>124</v>
      </c>
      <c r="O2039" t="s">
        <v>24</v>
      </c>
      <c r="P2039">
        <v>2</v>
      </c>
      <c r="Q2039" s="2">
        <f>Ventas[[#This Row],[precio_base]]*Ventas[[#This Row],[cantidad]]</f>
        <v>1049.97</v>
      </c>
      <c r="R2039" s="2">
        <f>Ventas[[#This Row],[Total bruto (antes de descuento)]]-Ventas[[#This Row],[total_venta]]</f>
        <v>105</v>
      </c>
    </row>
    <row r="2040" spans="1:18" x14ac:dyDescent="0.25">
      <c r="A2040" t="s">
        <v>2133</v>
      </c>
      <c r="B2040" s="1">
        <v>45506</v>
      </c>
      <c r="C2040" t="s">
        <v>115</v>
      </c>
      <c r="D2040" t="s">
        <v>18</v>
      </c>
      <c r="E2040">
        <v>3</v>
      </c>
      <c r="F2040" s="2">
        <v>799.99</v>
      </c>
      <c r="G2040">
        <v>0</v>
      </c>
      <c r="H2040" s="2">
        <v>799.99</v>
      </c>
      <c r="I2040" s="2">
        <v>2399.9699999999998</v>
      </c>
      <c r="J2040" t="s">
        <v>19</v>
      </c>
      <c r="K2040" t="s">
        <v>44</v>
      </c>
      <c r="L2040" t="s">
        <v>45</v>
      </c>
      <c r="M2040" t="s">
        <v>123</v>
      </c>
      <c r="N2040" t="s">
        <v>124</v>
      </c>
      <c r="O2040" t="s">
        <v>24</v>
      </c>
      <c r="P2040">
        <v>3</v>
      </c>
      <c r="Q2040" s="2">
        <f>Ventas[[#This Row],[precio_base]]*Ventas[[#This Row],[cantidad]]</f>
        <v>2399.9700000000003</v>
      </c>
      <c r="R2040" s="2">
        <f>Ventas[[#This Row],[Total bruto (antes de descuento)]]-Ventas[[#This Row],[total_venta]]</f>
        <v>0</v>
      </c>
    </row>
    <row r="2041" spans="1:18" x14ac:dyDescent="0.25">
      <c r="A2041" t="s">
        <v>2134</v>
      </c>
      <c r="B2041" s="1">
        <v>45539</v>
      </c>
      <c r="C2041" t="s">
        <v>37</v>
      </c>
      <c r="D2041" t="s">
        <v>38</v>
      </c>
      <c r="E2041">
        <v>2</v>
      </c>
      <c r="F2041" s="2">
        <v>34.99</v>
      </c>
      <c r="G2041">
        <v>20</v>
      </c>
      <c r="H2041" s="2">
        <v>27.99</v>
      </c>
      <c r="I2041" s="2">
        <v>55.98</v>
      </c>
      <c r="J2041" t="s">
        <v>51</v>
      </c>
      <c r="K2041" t="s">
        <v>20</v>
      </c>
      <c r="L2041" t="s">
        <v>28</v>
      </c>
      <c r="M2041" t="s">
        <v>39</v>
      </c>
      <c r="N2041" t="s">
        <v>40</v>
      </c>
      <c r="O2041" t="s">
        <v>35</v>
      </c>
      <c r="Q2041" s="2">
        <f>Ventas[[#This Row],[precio_base]]*Ventas[[#This Row],[cantidad]]</f>
        <v>69.98</v>
      </c>
      <c r="R2041" s="2">
        <f>Ventas[[#This Row],[Total bruto (antes de descuento)]]-Ventas[[#This Row],[total_venta]]</f>
        <v>14.000000000000007</v>
      </c>
    </row>
    <row r="2042" spans="1:18" x14ac:dyDescent="0.25">
      <c r="A2042" t="s">
        <v>2135</v>
      </c>
      <c r="B2042" s="1">
        <v>45229</v>
      </c>
      <c r="C2042" t="s">
        <v>115</v>
      </c>
      <c r="D2042" t="s">
        <v>18</v>
      </c>
      <c r="E2042">
        <v>3</v>
      </c>
      <c r="F2042" s="2">
        <v>799.99</v>
      </c>
      <c r="G2042">
        <v>15</v>
      </c>
      <c r="H2042" s="2">
        <v>679.99</v>
      </c>
      <c r="I2042" s="2">
        <v>2039.97</v>
      </c>
      <c r="J2042" t="s">
        <v>19</v>
      </c>
      <c r="K2042" t="s">
        <v>20</v>
      </c>
      <c r="L2042" t="s">
        <v>45</v>
      </c>
      <c r="M2042" t="s">
        <v>123</v>
      </c>
      <c r="N2042" t="s">
        <v>124</v>
      </c>
      <c r="O2042" t="s">
        <v>24</v>
      </c>
      <c r="P2042">
        <v>5</v>
      </c>
      <c r="Q2042" s="2">
        <f>Ventas[[#This Row],[precio_base]]*Ventas[[#This Row],[cantidad]]</f>
        <v>2399.9700000000003</v>
      </c>
      <c r="R2042" s="2">
        <f>Ventas[[#This Row],[Total bruto (antes de descuento)]]-Ventas[[#This Row],[total_venta]]</f>
        <v>360.00000000000023</v>
      </c>
    </row>
    <row r="2043" spans="1:18" x14ac:dyDescent="0.25">
      <c r="A2043" t="s">
        <v>2136</v>
      </c>
      <c r="B2043" s="1">
        <v>45104</v>
      </c>
      <c r="C2043" t="s">
        <v>17</v>
      </c>
      <c r="D2043" t="s">
        <v>18</v>
      </c>
      <c r="E2043">
        <v>3</v>
      </c>
      <c r="F2043" s="2">
        <v>45.99</v>
      </c>
      <c r="G2043">
        <v>15</v>
      </c>
      <c r="H2043" s="2">
        <v>39.090000000000003</v>
      </c>
      <c r="I2043" s="2">
        <v>117.27</v>
      </c>
      <c r="J2043" t="s">
        <v>19</v>
      </c>
      <c r="K2043" t="s">
        <v>52</v>
      </c>
      <c r="L2043" t="s">
        <v>32</v>
      </c>
      <c r="M2043" t="s">
        <v>33</v>
      </c>
      <c r="N2043" t="s">
        <v>34</v>
      </c>
      <c r="O2043" t="s">
        <v>35</v>
      </c>
      <c r="P2043">
        <v>2</v>
      </c>
      <c r="Q2043" s="2">
        <f>Ventas[[#This Row],[precio_base]]*Ventas[[#This Row],[cantidad]]</f>
        <v>137.97</v>
      </c>
      <c r="R2043" s="2">
        <f>Ventas[[#This Row],[Total bruto (antes de descuento)]]-Ventas[[#This Row],[total_venta]]</f>
        <v>20.700000000000003</v>
      </c>
    </row>
    <row r="2044" spans="1:18" x14ac:dyDescent="0.25">
      <c r="A2044" t="s">
        <v>2137</v>
      </c>
      <c r="B2044" s="1">
        <v>45590</v>
      </c>
      <c r="C2044" t="s">
        <v>70</v>
      </c>
      <c r="D2044" t="s">
        <v>31</v>
      </c>
      <c r="E2044">
        <v>4</v>
      </c>
      <c r="F2044" s="2">
        <v>59.99</v>
      </c>
      <c r="G2044">
        <v>0</v>
      </c>
      <c r="H2044" s="2">
        <v>59.99</v>
      </c>
      <c r="I2044" s="2">
        <v>239.96</v>
      </c>
      <c r="J2044" t="s">
        <v>19</v>
      </c>
      <c r="K2044" t="s">
        <v>44</v>
      </c>
      <c r="L2044" t="s">
        <v>152</v>
      </c>
      <c r="M2044" t="s">
        <v>101</v>
      </c>
      <c r="N2044" t="s">
        <v>102</v>
      </c>
      <c r="O2044" t="s">
        <v>35</v>
      </c>
      <c r="P2044">
        <v>4</v>
      </c>
      <c r="Q2044" s="2">
        <f>Ventas[[#This Row],[precio_base]]*Ventas[[#This Row],[cantidad]]</f>
        <v>239.96</v>
      </c>
      <c r="R2044" s="2">
        <f>Ventas[[#This Row],[Total bruto (antes de descuento)]]-Ventas[[#This Row],[total_venta]]</f>
        <v>0</v>
      </c>
    </row>
    <row r="2045" spans="1:18" x14ac:dyDescent="0.25">
      <c r="A2045" t="s">
        <v>2138</v>
      </c>
      <c r="B2045" s="1">
        <v>45477</v>
      </c>
      <c r="C2045" t="s">
        <v>141</v>
      </c>
      <c r="D2045" t="s">
        <v>38</v>
      </c>
      <c r="E2045">
        <v>2</v>
      </c>
      <c r="F2045" s="2">
        <v>89.99</v>
      </c>
      <c r="G2045">
        <v>0</v>
      </c>
      <c r="H2045" s="2">
        <v>89.99</v>
      </c>
      <c r="I2045" s="2">
        <v>179.98</v>
      </c>
      <c r="J2045" t="s">
        <v>51</v>
      </c>
      <c r="K2045" t="s">
        <v>20</v>
      </c>
      <c r="L2045" t="s">
        <v>45</v>
      </c>
      <c r="M2045" t="s">
        <v>58</v>
      </c>
      <c r="N2045" t="s">
        <v>59</v>
      </c>
      <c r="O2045" t="s">
        <v>24</v>
      </c>
      <c r="Q2045" s="2">
        <f>Ventas[[#This Row],[precio_base]]*Ventas[[#This Row],[cantidad]]</f>
        <v>179.98</v>
      </c>
      <c r="R2045" s="2">
        <f>Ventas[[#This Row],[Total bruto (antes de descuento)]]-Ventas[[#This Row],[total_venta]]</f>
        <v>0</v>
      </c>
    </row>
    <row r="2046" spans="1:18" x14ac:dyDescent="0.25">
      <c r="A2046" t="s">
        <v>2139</v>
      </c>
      <c r="B2046" s="1">
        <v>45490</v>
      </c>
      <c r="C2046" t="s">
        <v>109</v>
      </c>
      <c r="D2046" t="s">
        <v>38</v>
      </c>
      <c r="E2046">
        <v>1</v>
      </c>
      <c r="F2046" s="2">
        <v>39.99</v>
      </c>
      <c r="G2046">
        <v>0</v>
      </c>
      <c r="H2046" s="2">
        <v>39.99</v>
      </c>
      <c r="I2046" s="2">
        <v>39.99</v>
      </c>
      <c r="J2046" t="s">
        <v>19</v>
      </c>
      <c r="K2046" t="s">
        <v>20</v>
      </c>
      <c r="L2046" t="s">
        <v>45</v>
      </c>
      <c r="M2046" t="s">
        <v>53</v>
      </c>
      <c r="N2046" t="s">
        <v>54</v>
      </c>
      <c r="O2046" t="s">
        <v>35</v>
      </c>
      <c r="P2046">
        <v>5</v>
      </c>
      <c r="Q2046" s="2">
        <f>Ventas[[#This Row],[precio_base]]*Ventas[[#This Row],[cantidad]]</f>
        <v>39.99</v>
      </c>
      <c r="R2046" s="2">
        <f>Ventas[[#This Row],[Total bruto (antes de descuento)]]-Ventas[[#This Row],[total_venta]]</f>
        <v>0</v>
      </c>
    </row>
    <row r="2047" spans="1:18" x14ac:dyDescent="0.25">
      <c r="A2047" t="s">
        <v>2140</v>
      </c>
      <c r="B2047" s="1">
        <v>45524</v>
      </c>
      <c r="C2047" t="s">
        <v>143</v>
      </c>
      <c r="D2047" t="s">
        <v>43</v>
      </c>
      <c r="E2047">
        <v>3</v>
      </c>
      <c r="F2047" s="2">
        <v>34.99</v>
      </c>
      <c r="G2047">
        <v>10</v>
      </c>
      <c r="H2047" s="2">
        <v>31.49</v>
      </c>
      <c r="I2047" s="2">
        <v>94.47</v>
      </c>
      <c r="J2047" t="s">
        <v>19</v>
      </c>
      <c r="K2047" t="s">
        <v>20</v>
      </c>
      <c r="L2047" t="s">
        <v>152</v>
      </c>
      <c r="M2047" t="s">
        <v>22</v>
      </c>
      <c r="N2047" t="s">
        <v>23</v>
      </c>
      <c r="O2047" t="s">
        <v>24</v>
      </c>
      <c r="P2047">
        <v>4</v>
      </c>
      <c r="Q2047" s="2">
        <f>Ventas[[#This Row],[precio_base]]*Ventas[[#This Row],[cantidad]]</f>
        <v>104.97</v>
      </c>
      <c r="R2047" s="2">
        <f>Ventas[[#This Row],[Total bruto (antes de descuento)]]-Ventas[[#This Row],[total_venta]]</f>
        <v>10.5</v>
      </c>
    </row>
    <row r="2048" spans="1:18" x14ac:dyDescent="0.25">
      <c r="A2048" t="s">
        <v>2141</v>
      </c>
      <c r="B2048" s="1">
        <v>45536</v>
      </c>
      <c r="C2048" t="s">
        <v>17</v>
      </c>
      <c r="D2048" t="s">
        <v>18</v>
      </c>
      <c r="E2048">
        <v>4</v>
      </c>
      <c r="F2048" s="2">
        <v>45.99</v>
      </c>
      <c r="G2048">
        <v>5</v>
      </c>
      <c r="H2048" s="2">
        <v>43.69</v>
      </c>
      <c r="I2048" s="2">
        <v>174.76</v>
      </c>
      <c r="J2048" t="s">
        <v>19</v>
      </c>
      <c r="K2048" t="s">
        <v>20</v>
      </c>
      <c r="L2048" t="s">
        <v>21</v>
      </c>
      <c r="M2048" t="s">
        <v>95</v>
      </c>
      <c r="N2048" t="s">
        <v>96</v>
      </c>
      <c r="O2048" t="s">
        <v>48</v>
      </c>
      <c r="P2048">
        <v>1</v>
      </c>
      <c r="Q2048" s="2">
        <f>Ventas[[#This Row],[precio_base]]*Ventas[[#This Row],[cantidad]]</f>
        <v>183.96</v>
      </c>
      <c r="R2048" s="2">
        <f>Ventas[[#This Row],[Total bruto (antes de descuento)]]-Ventas[[#This Row],[total_venta]]</f>
        <v>9.2000000000000171</v>
      </c>
    </row>
    <row r="2049" spans="1:18" x14ac:dyDescent="0.25">
      <c r="A2049" t="s">
        <v>2142</v>
      </c>
      <c r="B2049" s="1">
        <v>44969</v>
      </c>
      <c r="C2049" t="s">
        <v>42</v>
      </c>
      <c r="D2049" t="s">
        <v>43</v>
      </c>
      <c r="E2049">
        <v>1</v>
      </c>
      <c r="F2049" s="2">
        <v>349.99</v>
      </c>
      <c r="G2049">
        <v>0</v>
      </c>
      <c r="H2049" s="2">
        <v>349.99</v>
      </c>
      <c r="I2049" s="2">
        <v>349.99</v>
      </c>
      <c r="J2049" t="s">
        <v>19</v>
      </c>
      <c r="K2049" t="s">
        <v>20</v>
      </c>
      <c r="L2049" t="s">
        <v>28</v>
      </c>
      <c r="M2049" t="s">
        <v>65</v>
      </c>
      <c r="N2049" t="s">
        <v>54</v>
      </c>
      <c r="O2049" t="s">
        <v>35</v>
      </c>
      <c r="P2049">
        <v>4</v>
      </c>
      <c r="Q2049" s="2">
        <f>Ventas[[#This Row],[precio_base]]*Ventas[[#This Row],[cantidad]]</f>
        <v>349.99</v>
      </c>
      <c r="R2049" s="2">
        <f>Ventas[[#This Row],[Total bruto (antes de descuento)]]-Ventas[[#This Row],[total_venta]]</f>
        <v>0</v>
      </c>
    </row>
    <row r="2050" spans="1:18" x14ac:dyDescent="0.25">
      <c r="A2050" t="s">
        <v>2143</v>
      </c>
      <c r="B2050" s="1">
        <v>45136</v>
      </c>
      <c r="C2050" t="s">
        <v>94</v>
      </c>
      <c r="D2050" t="s">
        <v>18</v>
      </c>
      <c r="E2050">
        <v>5</v>
      </c>
      <c r="F2050" s="2">
        <v>899.99</v>
      </c>
      <c r="G2050">
        <v>0</v>
      </c>
      <c r="H2050" s="2">
        <v>899.99</v>
      </c>
      <c r="I2050" s="2">
        <v>4499.95</v>
      </c>
      <c r="J2050" t="s">
        <v>19</v>
      </c>
      <c r="K2050" t="s">
        <v>57</v>
      </c>
      <c r="L2050" t="s">
        <v>28</v>
      </c>
      <c r="M2050" t="s">
        <v>123</v>
      </c>
      <c r="N2050" t="s">
        <v>124</v>
      </c>
      <c r="O2050" t="s">
        <v>24</v>
      </c>
      <c r="P2050">
        <v>3</v>
      </c>
      <c r="Q2050" s="2">
        <f>Ventas[[#This Row],[precio_base]]*Ventas[[#This Row],[cantidad]]</f>
        <v>4499.95</v>
      </c>
      <c r="R2050" s="2">
        <f>Ventas[[#This Row],[Total bruto (antes de descuento)]]-Ventas[[#This Row],[total_venta]]</f>
        <v>0</v>
      </c>
    </row>
    <row r="2051" spans="1:18" x14ac:dyDescent="0.25">
      <c r="A2051" t="s">
        <v>2144</v>
      </c>
      <c r="B2051" s="1">
        <v>45367</v>
      </c>
      <c r="C2051" t="s">
        <v>163</v>
      </c>
      <c r="D2051" t="s">
        <v>18</v>
      </c>
      <c r="E2051">
        <v>2</v>
      </c>
      <c r="F2051" s="2">
        <v>499.99</v>
      </c>
      <c r="G2051">
        <v>0</v>
      </c>
      <c r="H2051" s="2">
        <v>499.99</v>
      </c>
      <c r="I2051" s="2">
        <v>999.98</v>
      </c>
      <c r="J2051" t="s">
        <v>51</v>
      </c>
      <c r="K2051" t="s">
        <v>52</v>
      </c>
      <c r="L2051" t="s">
        <v>152</v>
      </c>
      <c r="M2051" t="s">
        <v>33</v>
      </c>
      <c r="N2051" t="s">
        <v>34</v>
      </c>
      <c r="O2051" t="s">
        <v>35</v>
      </c>
      <c r="Q2051" s="2">
        <f>Ventas[[#This Row],[precio_base]]*Ventas[[#This Row],[cantidad]]</f>
        <v>999.98</v>
      </c>
      <c r="R2051" s="2">
        <f>Ventas[[#This Row],[Total bruto (antes de descuento)]]-Ventas[[#This Row],[total_venta]]</f>
        <v>0</v>
      </c>
    </row>
    <row r="2052" spans="1:18" x14ac:dyDescent="0.25">
      <c r="A2052" t="s">
        <v>2145</v>
      </c>
      <c r="B2052" s="1">
        <v>45289</v>
      </c>
      <c r="C2052" t="s">
        <v>143</v>
      </c>
      <c r="D2052" t="s">
        <v>43</v>
      </c>
      <c r="E2052">
        <v>2</v>
      </c>
      <c r="F2052" s="2">
        <v>34.99</v>
      </c>
      <c r="G2052">
        <v>0</v>
      </c>
      <c r="H2052" s="2">
        <v>34.99</v>
      </c>
      <c r="I2052" s="2">
        <v>69.98</v>
      </c>
      <c r="J2052" t="s">
        <v>19</v>
      </c>
      <c r="K2052" t="s">
        <v>20</v>
      </c>
      <c r="L2052" t="s">
        <v>21</v>
      </c>
      <c r="M2052" t="s">
        <v>33</v>
      </c>
      <c r="N2052" t="s">
        <v>34</v>
      </c>
      <c r="O2052" t="s">
        <v>35</v>
      </c>
      <c r="P2052">
        <v>4</v>
      </c>
      <c r="Q2052" s="2">
        <f>Ventas[[#This Row],[precio_base]]*Ventas[[#This Row],[cantidad]]</f>
        <v>69.98</v>
      </c>
      <c r="R2052" s="2">
        <f>Ventas[[#This Row],[Total bruto (antes de descuento)]]-Ventas[[#This Row],[total_venta]]</f>
        <v>0</v>
      </c>
    </row>
    <row r="2053" spans="1:18" x14ac:dyDescent="0.25">
      <c r="A2053" t="s">
        <v>2146</v>
      </c>
      <c r="B2053" s="1">
        <v>45135</v>
      </c>
      <c r="C2053" t="s">
        <v>50</v>
      </c>
      <c r="D2053" t="s">
        <v>27</v>
      </c>
      <c r="E2053">
        <v>5</v>
      </c>
      <c r="F2053" s="2">
        <v>149.99</v>
      </c>
      <c r="G2053">
        <v>0</v>
      </c>
      <c r="H2053" s="2">
        <v>149.99</v>
      </c>
      <c r="I2053" s="2">
        <v>749.95</v>
      </c>
      <c r="J2053" t="s">
        <v>90</v>
      </c>
      <c r="K2053" t="s">
        <v>44</v>
      </c>
      <c r="L2053" t="s">
        <v>28</v>
      </c>
      <c r="M2053" t="s">
        <v>95</v>
      </c>
      <c r="N2053" t="s">
        <v>96</v>
      </c>
      <c r="O2053" t="s">
        <v>48</v>
      </c>
      <c r="Q2053" s="2">
        <f>Ventas[[#This Row],[precio_base]]*Ventas[[#This Row],[cantidad]]</f>
        <v>749.95</v>
      </c>
      <c r="R2053" s="2">
        <f>Ventas[[#This Row],[Total bruto (antes de descuento)]]-Ventas[[#This Row],[total_venta]]</f>
        <v>0</v>
      </c>
    </row>
    <row r="2054" spans="1:18" x14ac:dyDescent="0.25">
      <c r="A2054" t="s">
        <v>2147</v>
      </c>
      <c r="B2054" s="1">
        <v>45203</v>
      </c>
      <c r="C2054" t="s">
        <v>70</v>
      </c>
      <c r="D2054" t="s">
        <v>31</v>
      </c>
      <c r="E2054">
        <v>4</v>
      </c>
      <c r="F2054" s="2">
        <v>59.99</v>
      </c>
      <c r="G2054">
        <v>0</v>
      </c>
      <c r="H2054" s="2">
        <v>59.99</v>
      </c>
      <c r="I2054" s="2">
        <v>239.96</v>
      </c>
      <c r="J2054" t="s">
        <v>19</v>
      </c>
      <c r="K2054" t="s">
        <v>20</v>
      </c>
      <c r="L2054" t="s">
        <v>21</v>
      </c>
      <c r="M2054" t="s">
        <v>67</v>
      </c>
      <c r="N2054" t="s">
        <v>68</v>
      </c>
      <c r="O2054" t="s">
        <v>35</v>
      </c>
      <c r="P2054">
        <v>5</v>
      </c>
      <c r="Q2054" s="2">
        <f>Ventas[[#This Row],[precio_base]]*Ventas[[#This Row],[cantidad]]</f>
        <v>239.96</v>
      </c>
      <c r="R2054" s="2">
        <f>Ventas[[#This Row],[Total bruto (antes de descuento)]]-Ventas[[#This Row],[total_venta]]</f>
        <v>0</v>
      </c>
    </row>
    <row r="2055" spans="1:18" x14ac:dyDescent="0.25">
      <c r="A2055" t="s">
        <v>2148</v>
      </c>
      <c r="B2055" s="1">
        <v>45096</v>
      </c>
      <c r="C2055" t="s">
        <v>130</v>
      </c>
      <c r="D2055" t="s">
        <v>43</v>
      </c>
      <c r="E2055">
        <v>2</v>
      </c>
      <c r="F2055" s="2">
        <v>24.99</v>
      </c>
      <c r="G2055">
        <v>0</v>
      </c>
      <c r="H2055" s="2">
        <v>24.99</v>
      </c>
      <c r="I2055" s="2">
        <v>49.98</v>
      </c>
      <c r="J2055" t="s">
        <v>19</v>
      </c>
      <c r="K2055" t="s">
        <v>20</v>
      </c>
      <c r="L2055" t="s">
        <v>21</v>
      </c>
      <c r="M2055" t="s">
        <v>46</v>
      </c>
      <c r="N2055" t="s">
        <v>47</v>
      </c>
      <c r="O2055" t="s">
        <v>48</v>
      </c>
      <c r="P2055">
        <v>5</v>
      </c>
      <c r="Q2055" s="2">
        <f>Ventas[[#This Row],[precio_base]]*Ventas[[#This Row],[cantidad]]</f>
        <v>49.98</v>
      </c>
      <c r="R2055" s="2">
        <f>Ventas[[#This Row],[Total bruto (antes de descuento)]]-Ventas[[#This Row],[total_venta]]</f>
        <v>0</v>
      </c>
    </row>
    <row r="2056" spans="1:18" x14ac:dyDescent="0.25">
      <c r="A2056" t="s">
        <v>2149</v>
      </c>
      <c r="B2056" s="1">
        <v>45541</v>
      </c>
      <c r="C2056" t="s">
        <v>42</v>
      </c>
      <c r="D2056" t="s">
        <v>43</v>
      </c>
      <c r="E2056">
        <v>4</v>
      </c>
      <c r="F2056" s="2">
        <v>349.99</v>
      </c>
      <c r="G2056">
        <v>5</v>
      </c>
      <c r="H2056" s="2">
        <v>332.49</v>
      </c>
      <c r="I2056" s="2">
        <v>1329.96</v>
      </c>
      <c r="J2056" t="s">
        <v>19</v>
      </c>
      <c r="K2056" t="s">
        <v>52</v>
      </c>
      <c r="L2056" t="s">
        <v>45</v>
      </c>
      <c r="M2056" t="s">
        <v>95</v>
      </c>
      <c r="N2056" t="s">
        <v>96</v>
      </c>
      <c r="O2056" t="s">
        <v>48</v>
      </c>
      <c r="P2056">
        <v>4</v>
      </c>
      <c r="Q2056" s="2">
        <f>Ventas[[#This Row],[precio_base]]*Ventas[[#This Row],[cantidad]]</f>
        <v>1399.96</v>
      </c>
      <c r="R2056" s="2">
        <f>Ventas[[#This Row],[Total bruto (antes de descuento)]]-Ventas[[#This Row],[total_venta]]</f>
        <v>70</v>
      </c>
    </row>
    <row r="2057" spans="1:18" x14ac:dyDescent="0.25">
      <c r="A2057" t="s">
        <v>2150</v>
      </c>
      <c r="B2057" s="1">
        <v>45380</v>
      </c>
      <c r="C2057" t="s">
        <v>78</v>
      </c>
      <c r="D2057" t="s">
        <v>18</v>
      </c>
      <c r="E2057">
        <v>4</v>
      </c>
      <c r="F2057" s="2">
        <v>349.99</v>
      </c>
      <c r="G2057">
        <v>20</v>
      </c>
      <c r="H2057" s="2">
        <v>279.99</v>
      </c>
      <c r="I2057" s="2">
        <v>1119.96</v>
      </c>
      <c r="J2057" t="s">
        <v>51</v>
      </c>
      <c r="K2057" t="s">
        <v>20</v>
      </c>
      <c r="L2057" t="s">
        <v>28</v>
      </c>
      <c r="M2057" t="s">
        <v>120</v>
      </c>
      <c r="N2057" t="s">
        <v>23</v>
      </c>
      <c r="O2057" t="s">
        <v>24</v>
      </c>
      <c r="Q2057" s="2">
        <f>Ventas[[#This Row],[precio_base]]*Ventas[[#This Row],[cantidad]]</f>
        <v>1399.96</v>
      </c>
      <c r="R2057" s="2">
        <f>Ventas[[#This Row],[Total bruto (antes de descuento)]]-Ventas[[#This Row],[total_venta]]</f>
        <v>280</v>
      </c>
    </row>
    <row r="2058" spans="1:18" x14ac:dyDescent="0.25">
      <c r="A2058" t="s">
        <v>2151</v>
      </c>
      <c r="B2058" s="1">
        <v>45137</v>
      </c>
      <c r="C2058" t="s">
        <v>130</v>
      </c>
      <c r="D2058" t="s">
        <v>43</v>
      </c>
      <c r="E2058">
        <v>4</v>
      </c>
      <c r="F2058" s="2">
        <v>24.99</v>
      </c>
      <c r="G2058">
        <v>5</v>
      </c>
      <c r="H2058" s="2">
        <v>23.74</v>
      </c>
      <c r="I2058" s="2">
        <v>94.96</v>
      </c>
      <c r="J2058" t="s">
        <v>51</v>
      </c>
      <c r="K2058" t="s">
        <v>20</v>
      </c>
      <c r="L2058" t="s">
        <v>21</v>
      </c>
      <c r="M2058" t="s">
        <v>65</v>
      </c>
      <c r="N2058" t="s">
        <v>54</v>
      </c>
      <c r="O2058" t="s">
        <v>35</v>
      </c>
      <c r="Q2058" s="2">
        <f>Ventas[[#This Row],[precio_base]]*Ventas[[#This Row],[cantidad]]</f>
        <v>99.96</v>
      </c>
      <c r="R2058" s="2">
        <f>Ventas[[#This Row],[Total bruto (antes de descuento)]]-Ventas[[#This Row],[total_venta]]</f>
        <v>5</v>
      </c>
    </row>
    <row r="2059" spans="1:18" x14ac:dyDescent="0.25">
      <c r="A2059" t="s">
        <v>2152</v>
      </c>
      <c r="B2059" s="1">
        <v>45446</v>
      </c>
      <c r="C2059" t="s">
        <v>156</v>
      </c>
      <c r="D2059" t="s">
        <v>27</v>
      </c>
      <c r="E2059">
        <v>4</v>
      </c>
      <c r="F2059" s="2">
        <v>49.99</v>
      </c>
      <c r="G2059">
        <v>20</v>
      </c>
      <c r="H2059" s="2">
        <v>39.99</v>
      </c>
      <c r="I2059" s="2">
        <v>159.96</v>
      </c>
      <c r="J2059" t="s">
        <v>19</v>
      </c>
      <c r="K2059" t="s">
        <v>20</v>
      </c>
      <c r="L2059" t="s">
        <v>28</v>
      </c>
      <c r="M2059" t="s">
        <v>22</v>
      </c>
      <c r="N2059" t="s">
        <v>23</v>
      </c>
      <c r="O2059" t="s">
        <v>24</v>
      </c>
      <c r="P2059">
        <v>5</v>
      </c>
      <c r="Q2059" s="2">
        <f>Ventas[[#This Row],[precio_base]]*Ventas[[#This Row],[cantidad]]</f>
        <v>199.96</v>
      </c>
      <c r="R2059" s="2">
        <f>Ventas[[#This Row],[Total bruto (antes de descuento)]]-Ventas[[#This Row],[total_venta]]</f>
        <v>40</v>
      </c>
    </row>
    <row r="2060" spans="1:18" x14ac:dyDescent="0.25">
      <c r="A2060" t="s">
        <v>2153</v>
      </c>
      <c r="B2060" s="1">
        <v>45642</v>
      </c>
      <c r="C2060" t="s">
        <v>81</v>
      </c>
      <c r="D2060" t="s">
        <v>31</v>
      </c>
      <c r="E2060">
        <v>4</v>
      </c>
      <c r="F2060" s="2">
        <v>189.99</v>
      </c>
      <c r="G2060">
        <v>0</v>
      </c>
      <c r="H2060" s="2">
        <v>189.99</v>
      </c>
      <c r="I2060" s="2">
        <v>759.96</v>
      </c>
      <c r="J2060" t="s">
        <v>51</v>
      </c>
      <c r="K2060" t="s">
        <v>20</v>
      </c>
      <c r="L2060" t="s">
        <v>45</v>
      </c>
      <c r="M2060" t="s">
        <v>22</v>
      </c>
      <c r="N2060" t="s">
        <v>23</v>
      </c>
      <c r="O2060" t="s">
        <v>24</v>
      </c>
      <c r="Q2060" s="2">
        <f>Ventas[[#This Row],[precio_base]]*Ventas[[#This Row],[cantidad]]</f>
        <v>759.96</v>
      </c>
      <c r="R2060" s="2">
        <f>Ventas[[#This Row],[Total bruto (antes de descuento)]]-Ventas[[#This Row],[total_venta]]</f>
        <v>0</v>
      </c>
    </row>
    <row r="2061" spans="1:18" x14ac:dyDescent="0.25">
      <c r="A2061" t="s">
        <v>2154</v>
      </c>
      <c r="B2061" s="1">
        <v>45207</v>
      </c>
      <c r="C2061" t="s">
        <v>163</v>
      </c>
      <c r="D2061" t="s">
        <v>18</v>
      </c>
      <c r="E2061">
        <v>3</v>
      </c>
      <c r="F2061" s="2">
        <v>499.99</v>
      </c>
      <c r="G2061">
        <v>0</v>
      </c>
      <c r="H2061" s="2">
        <v>499.99</v>
      </c>
      <c r="I2061" s="2">
        <v>1499.97</v>
      </c>
      <c r="J2061" t="s">
        <v>19</v>
      </c>
      <c r="K2061" t="s">
        <v>44</v>
      </c>
      <c r="L2061" t="s">
        <v>21</v>
      </c>
      <c r="M2061" t="s">
        <v>53</v>
      </c>
      <c r="N2061" t="s">
        <v>54</v>
      </c>
      <c r="O2061" t="s">
        <v>35</v>
      </c>
      <c r="P2061">
        <v>5</v>
      </c>
      <c r="Q2061" s="2">
        <f>Ventas[[#This Row],[precio_base]]*Ventas[[#This Row],[cantidad]]</f>
        <v>1499.97</v>
      </c>
      <c r="R2061" s="2">
        <f>Ventas[[#This Row],[Total bruto (antes de descuento)]]-Ventas[[#This Row],[total_venta]]</f>
        <v>0</v>
      </c>
    </row>
    <row r="2062" spans="1:18" x14ac:dyDescent="0.25">
      <c r="A2062" t="s">
        <v>2155</v>
      </c>
      <c r="B2062" s="1">
        <v>45176</v>
      </c>
      <c r="C2062" t="s">
        <v>72</v>
      </c>
      <c r="D2062" t="s">
        <v>31</v>
      </c>
      <c r="E2062">
        <v>1</v>
      </c>
      <c r="F2062" s="2">
        <v>29.99</v>
      </c>
      <c r="G2062">
        <v>5</v>
      </c>
      <c r="H2062" s="2">
        <v>28.49</v>
      </c>
      <c r="I2062" s="2">
        <v>28.49</v>
      </c>
      <c r="J2062" t="s">
        <v>51</v>
      </c>
      <c r="K2062" t="s">
        <v>20</v>
      </c>
      <c r="L2062" t="s">
        <v>21</v>
      </c>
      <c r="M2062" t="s">
        <v>46</v>
      </c>
      <c r="N2062" t="s">
        <v>47</v>
      </c>
      <c r="O2062" t="s">
        <v>48</v>
      </c>
      <c r="Q2062" s="2">
        <f>Ventas[[#This Row],[precio_base]]*Ventas[[#This Row],[cantidad]]</f>
        <v>29.99</v>
      </c>
      <c r="R2062" s="2">
        <f>Ventas[[#This Row],[Total bruto (antes de descuento)]]-Ventas[[#This Row],[total_venta]]</f>
        <v>1.5</v>
      </c>
    </row>
    <row r="2063" spans="1:18" x14ac:dyDescent="0.25">
      <c r="A2063" t="s">
        <v>2156</v>
      </c>
      <c r="B2063" s="1">
        <v>45317</v>
      </c>
      <c r="C2063" t="s">
        <v>104</v>
      </c>
      <c r="D2063" t="s">
        <v>18</v>
      </c>
      <c r="E2063">
        <v>4</v>
      </c>
      <c r="F2063" s="2">
        <v>1199.99</v>
      </c>
      <c r="G2063">
        <v>5</v>
      </c>
      <c r="H2063" s="2">
        <v>1139.99</v>
      </c>
      <c r="I2063" s="2">
        <v>4559.96</v>
      </c>
      <c r="J2063" t="s">
        <v>51</v>
      </c>
      <c r="K2063" t="s">
        <v>20</v>
      </c>
      <c r="L2063" t="s">
        <v>45</v>
      </c>
      <c r="M2063" t="s">
        <v>53</v>
      </c>
      <c r="N2063" t="s">
        <v>54</v>
      </c>
      <c r="O2063" t="s">
        <v>35</v>
      </c>
      <c r="Q2063" s="2">
        <f>Ventas[[#This Row],[precio_base]]*Ventas[[#This Row],[cantidad]]</f>
        <v>4799.96</v>
      </c>
      <c r="R2063" s="2">
        <f>Ventas[[#This Row],[Total bruto (antes de descuento)]]-Ventas[[#This Row],[total_venta]]</f>
        <v>240</v>
      </c>
    </row>
    <row r="2064" spans="1:18" x14ac:dyDescent="0.25">
      <c r="A2064" t="s">
        <v>2157</v>
      </c>
      <c r="B2064" s="1">
        <v>45283</v>
      </c>
      <c r="C2064" t="s">
        <v>163</v>
      </c>
      <c r="D2064" t="s">
        <v>18</v>
      </c>
      <c r="E2064">
        <v>3</v>
      </c>
      <c r="F2064" s="2">
        <v>499.99</v>
      </c>
      <c r="G2064">
        <v>0</v>
      </c>
      <c r="H2064" s="2">
        <v>499.99</v>
      </c>
      <c r="I2064" s="2">
        <v>1499.97</v>
      </c>
      <c r="J2064" t="s">
        <v>90</v>
      </c>
      <c r="K2064" t="s">
        <v>44</v>
      </c>
      <c r="L2064" t="s">
        <v>21</v>
      </c>
      <c r="M2064" t="s">
        <v>58</v>
      </c>
      <c r="N2064" t="s">
        <v>59</v>
      </c>
      <c r="O2064" t="s">
        <v>24</v>
      </c>
      <c r="Q2064" s="2">
        <f>Ventas[[#This Row],[precio_base]]*Ventas[[#This Row],[cantidad]]</f>
        <v>1499.97</v>
      </c>
      <c r="R2064" s="2">
        <f>Ventas[[#This Row],[Total bruto (antes de descuento)]]-Ventas[[#This Row],[total_venta]]</f>
        <v>0</v>
      </c>
    </row>
    <row r="2065" spans="1:18" x14ac:dyDescent="0.25">
      <c r="A2065" t="s">
        <v>2158</v>
      </c>
      <c r="B2065" s="1">
        <v>45526</v>
      </c>
      <c r="C2065" t="s">
        <v>72</v>
      </c>
      <c r="D2065" t="s">
        <v>31</v>
      </c>
      <c r="E2065">
        <v>5</v>
      </c>
      <c r="F2065" s="2">
        <v>29.99</v>
      </c>
      <c r="G2065">
        <v>10</v>
      </c>
      <c r="H2065" s="2">
        <v>26.99</v>
      </c>
      <c r="I2065" s="2">
        <v>134.94999999999999</v>
      </c>
      <c r="J2065" t="s">
        <v>19</v>
      </c>
      <c r="K2065" t="s">
        <v>52</v>
      </c>
      <c r="L2065" t="s">
        <v>152</v>
      </c>
      <c r="M2065" t="s">
        <v>22</v>
      </c>
      <c r="N2065" t="s">
        <v>23</v>
      </c>
      <c r="O2065" t="s">
        <v>24</v>
      </c>
      <c r="P2065">
        <v>3</v>
      </c>
      <c r="Q2065" s="2">
        <f>Ventas[[#This Row],[precio_base]]*Ventas[[#This Row],[cantidad]]</f>
        <v>149.94999999999999</v>
      </c>
      <c r="R2065" s="2">
        <f>Ventas[[#This Row],[Total bruto (antes de descuento)]]-Ventas[[#This Row],[total_venta]]</f>
        <v>15</v>
      </c>
    </row>
    <row r="2066" spans="1:18" x14ac:dyDescent="0.25">
      <c r="A2066" t="s">
        <v>2159</v>
      </c>
      <c r="B2066" s="1">
        <v>44976</v>
      </c>
      <c r="C2066" t="s">
        <v>98</v>
      </c>
      <c r="D2066" t="s">
        <v>31</v>
      </c>
      <c r="E2066">
        <v>2</v>
      </c>
      <c r="F2066" s="2">
        <v>99.99</v>
      </c>
      <c r="G2066">
        <v>0</v>
      </c>
      <c r="H2066" s="2">
        <v>99.99</v>
      </c>
      <c r="I2066" s="2">
        <v>199.98</v>
      </c>
      <c r="J2066" t="s">
        <v>51</v>
      </c>
      <c r="K2066" t="s">
        <v>20</v>
      </c>
      <c r="L2066" t="s">
        <v>28</v>
      </c>
      <c r="M2066" t="s">
        <v>63</v>
      </c>
      <c r="N2066" t="s">
        <v>34</v>
      </c>
      <c r="O2066" t="s">
        <v>24</v>
      </c>
      <c r="Q2066" s="2">
        <f>Ventas[[#This Row],[precio_base]]*Ventas[[#This Row],[cantidad]]</f>
        <v>199.98</v>
      </c>
      <c r="R2066" s="2">
        <f>Ventas[[#This Row],[Total bruto (antes de descuento)]]-Ventas[[#This Row],[total_venta]]</f>
        <v>0</v>
      </c>
    </row>
    <row r="2067" spans="1:18" x14ac:dyDescent="0.25">
      <c r="A2067" t="s">
        <v>2160</v>
      </c>
      <c r="B2067" s="1">
        <v>44978</v>
      </c>
      <c r="C2067" t="s">
        <v>61</v>
      </c>
      <c r="D2067" t="s">
        <v>38</v>
      </c>
      <c r="E2067">
        <v>1</v>
      </c>
      <c r="F2067" s="2">
        <v>19.989999999999998</v>
      </c>
      <c r="G2067">
        <v>10</v>
      </c>
      <c r="H2067" s="2">
        <v>17.989999999999998</v>
      </c>
      <c r="I2067" s="2">
        <v>17.989999999999998</v>
      </c>
      <c r="J2067" t="s">
        <v>90</v>
      </c>
      <c r="K2067" t="s">
        <v>20</v>
      </c>
      <c r="L2067" t="s">
        <v>21</v>
      </c>
      <c r="M2067" t="s">
        <v>101</v>
      </c>
      <c r="N2067" t="s">
        <v>102</v>
      </c>
      <c r="O2067" t="s">
        <v>35</v>
      </c>
      <c r="Q2067" s="2">
        <f>Ventas[[#This Row],[precio_base]]*Ventas[[#This Row],[cantidad]]</f>
        <v>19.989999999999998</v>
      </c>
      <c r="R2067" s="2">
        <f>Ventas[[#This Row],[Total bruto (antes de descuento)]]-Ventas[[#This Row],[total_venta]]</f>
        <v>2</v>
      </c>
    </row>
    <row r="2068" spans="1:18" x14ac:dyDescent="0.25">
      <c r="A2068" t="s">
        <v>2161</v>
      </c>
      <c r="B2068" s="1">
        <v>45373</v>
      </c>
      <c r="C2068" t="s">
        <v>61</v>
      </c>
      <c r="D2068" t="s">
        <v>38</v>
      </c>
      <c r="E2068">
        <v>2</v>
      </c>
      <c r="F2068" s="2">
        <v>19.989999999999998</v>
      </c>
      <c r="G2068">
        <v>0</v>
      </c>
      <c r="H2068" s="2">
        <v>19.989999999999998</v>
      </c>
      <c r="I2068" s="2">
        <v>39.979999999999997</v>
      </c>
      <c r="J2068" t="s">
        <v>19</v>
      </c>
      <c r="K2068" t="s">
        <v>44</v>
      </c>
      <c r="L2068" t="s">
        <v>21</v>
      </c>
      <c r="M2068" t="s">
        <v>63</v>
      </c>
      <c r="N2068" t="s">
        <v>34</v>
      </c>
      <c r="O2068" t="s">
        <v>24</v>
      </c>
      <c r="P2068">
        <v>1</v>
      </c>
      <c r="Q2068" s="2">
        <f>Ventas[[#This Row],[precio_base]]*Ventas[[#This Row],[cantidad]]</f>
        <v>39.979999999999997</v>
      </c>
      <c r="R2068" s="2">
        <f>Ventas[[#This Row],[Total bruto (antes de descuento)]]-Ventas[[#This Row],[total_venta]]</f>
        <v>0</v>
      </c>
    </row>
    <row r="2069" spans="1:18" x14ac:dyDescent="0.25">
      <c r="A2069" t="s">
        <v>2162</v>
      </c>
      <c r="B2069" s="1">
        <v>45562</v>
      </c>
      <c r="C2069" t="s">
        <v>94</v>
      </c>
      <c r="D2069" t="s">
        <v>18</v>
      </c>
      <c r="E2069">
        <v>5</v>
      </c>
      <c r="F2069" s="2">
        <v>899.99</v>
      </c>
      <c r="G2069">
        <v>15</v>
      </c>
      <c r="H2069" s="2">
        <v>764.99</v>
      </c>
      <c r="I2069" s="2">
        <v>3824.95</v>
      </c>
      <c r="J2069" t="s">
        <v>51</v>
      </c>
      <c r="K2069" t="s">
        <v>57</v>
      </c>
      <c r="L2069" t="s">
        <v>152</v>
      </c>
      <c r="M2069" t="s">
        <v>67</v>
      </c>
      <c r="N2069" t="s">
        <v>68</v>
      </c>
      <c r="O2069" t="s">
        <v>35</v>
      </c>
      <c r="Q2069" s="2">
        <f>Ventas[[#This Row],[precio_base]]*Ventas[[#This Row],[cantidad]]</f>
        <v>4499.95</v>
      </c>
      <c r="R2069" s="2">
        <f>Ventas[[#This Row],[Total bruto (antes de descuento)]]-Ventas[[#This Row],[total_venta]]</f>
        <v>675</v>
      </c>
    </row>
    <row r="2070" spans="1:18" x14ac:dyDescent="0.25">
      <c r="A2070" t="s">
        <v>2163</v>
      </c>
      <c r="B2070" s="1">
        <v>45107</v>
      </c>
      <c r="C2070" t="s">
        <v>83</v>
      </c>
      <c r="D2070" t="s">
        <v>38</v>
      </c>
      <c r="E2070">
        <v>5</v>
      </c>
      <c r="F2070" s="2">
        <v>49.99</v>
      </c>
      <c r="G2070">
        <v>5</v>
      </c>
      <c r="H2070" s="2">
        <v>47.49</v>
      </c>
      <c r="I2070" s="2">
        <v>237.45</v>
      </c>
      <c r="J2070" t="s">
        <v>90</v>
      </c>
      <c r="K2070" t="s">
        <v>20</v>
      </c>
      <c r="L2070" t="s">
        <v>21</v>
      </c>
      <c r="M2070" t="s">
        <v>53</v>
      </c>
      <c r="N2070" t="s">
        <v>54</v>
      </c>
      <c r="O2070" t="s">
        <v>35</v>
      </c>
      <c r="Q2070" s="2">
        <f>Ventas[[#This Row],[precio_base]]*Ventas[[#This Row],[cantidad]]</f>
        <v>249.95000000000002</v>
      </c>
      <c r="R2070" s="2">
        <f>Ventas[[#This Row],[Total bruto (antes de descuento)]]-Ventas[[#This Row],[total_venta]]</f>
        <v>12.500000000000028</v>
      </c>
    </row>
    <row r="2071" spans="1:18" x14ac:dyDescent="0.25">
      <c r="A2071" t="s">
        <v>2164</v>
      </c>
      <c r="B2071" s="1">
        <v>45127</v>
      </c>
      <c r="C2071" t="s">
        <v>156</v>
      </c>
      <c r="D2071" t="s">
        <v>27</v>
      </c>
      <c r="E2071">
        <v>1</v>
      </c>
      <c r="F2071" s="2">
        <v>49.99</v>
      </c>
      <c r="G2071">
        <v>0</v>
      </c>
      <c r="H2071" s="2">
        <v>49.99</v>
      </c>
      <c r="I2071" s="2">
        <v>49.99</v>
      </c>
      <c r="J2071" t="s">
        <v>51</v>
      </c>
      <c r="K2071" t="s">
        <v>52</v>
      </c>
      <c r="L2071" t="s">
        <v>21</v>
      </c>
      <c r="M2071" t="s">
        <v>58</v>
      </c>
      <c r="N2071" t="s">
        <v>59</v>
      </c>
      <c r="O2071" t="s">
        <v>24</v>
      </c>
      <c r="Q2071" s="2">
        <f>Ventas[[#This Row],[precio_base]]*Ventas[[#This Row],[cantidad]]</f>
        <v>49.99</v>
      </c>
      <c r="R2071" s="2">
        <f>Ventas[[#This Row],[Total bruto (antes de descuento)]]-Ventas[[#This Row],[total_venta]]</f>
        <v>0</v>
      </c>
    </row>
    <row r="2072" spans="1:18" x14ac:dyDescent="0.25">
      <c r="A2072" t="s">
        <v>2165</v>
      </c>
      <c r="B2072" s="1">
        <v>45054</v>
      </c>
      <c r="C2072" t="s">
        <v>98</v>
      </c>
      <c r="D2072" t="s">
        <v>31</v>
      </c>
      <c r="E2072">
        <v>4</v>
      </c>
      <c r="F2072" s="2">
        <v>99.99</v>
      </c>
      <c r="G2072">
        <v>10</v>
      </c>
      <c r="H2072" s="2">
        <v>89.99</v>
      </c>
      <c r="I2072" s="2">
        <v>359.96</v>
      </c>
      <c r="J2072" t="s">
        <v>51</v>
      </c>
      <c r="K2072" t="s">
        <v>20</v>
      </c>
      <c r="L2072" t="s">
        <v>45</v>
      </c>
      <c r="M2072" t="s">
        <v>84</v>
      </c>
      <c r="N2072" t="s">
        <v>85</v>
      </c>
      <c r="O2072" t="s">
        <v>35</v>
      </c>
      <c r="Q2072" s="2">
        <f>Ventas[[#This Row],[precio_base]]*Ventas[[#This Row],[cantidad]]</f>
        <v>399.96</v>
      </c>
      <c r="R2072" s="2">
        <f>Ventas[[#This Row],[Total bruto (antes de descuento)]]-Ventas[[#This Row],[total_venta]]</f>
        <v>40</v>
      </c>
    </row>
    <row r="2073" spans="1:18" x14ac:dyDescent="0.25">
      <c r="A2073" t="s">
        <v>2166</v>
      </c>
      <c r="B2073" s="1">
        <v>45118</v>
      </c>
      <c r="C2073" t="s">
        <v>163</v>
      </c>
      <c r="D2073" t="s">
        <v>18</v>
      </c>
      <c r="E2073">
        <v>1</v>
      </c>
      <c r="F2073" s="2">
        <v>499.99</v>
      </c>
      <c r="G2073">
        <v>0</v>
      </c>
      <c r="H2073" s="2">
        <v>499.99</v>
      </c>
      <c r="I2073" s="2">
        <v>499.99</v>
      </c>
      <c r="J2073" t="s">
        <v>62</v>
      </c>
      <c r="K2073" t="s">
        <v>20</v>
      </c>
      <c r="L2073" t="s">
        <v>32</v>
      </c>
      <c r="M2073" t="s">
        <v>39</v>
      </c>
      <c r="N2073" t="s">
        <v>40</v>
      </c>
      <c r="O2073" t="s">
        <v>35</v>
      </c>
      <c r="Q2073" s="2">
        <f>Ventas[[#This Row],[precio_base]]*Ventas[[#This Row],[cantidad]]</f>
        <v>499.99</v>
      </c>
      <c r="R2073" s="2">
        <f>Ventas[[#This Row],[Total bruto (antes de descuento)]]-Ventas[[#This Row],[total_venta]]</f>
        <v>0</v>
      </c>
    </row>
    <row r="2074" spans="1:18" x14ac:dyDescent="0.25">
      <c r="A2074" t="s">
        <v>2167</v>
      </c>
      <c r="B2074" s="1">
        <v>45439</v>
      </c>
      <c r="C2074" t="s">
        <v>87</v>
      </c>
      <c r="D2074" t="s">
        <v>27</v>
      </c>
      <c r="E2074">
        <v>1</v>
      </c>
      <c r="F2074" s="2">
        <v>249.99</v>
      </c>
      <c r="G2074">
        <v>5</v>
      </c>
      <c r="H2074" s="2">
        <v>237.49</v>
      </c>
      <c r="I2074" s="2">
        <v>237.49</v>
      </c>
      <c r="J2074" t="s">
        <v>19</v>
      </c>
      <c r="K2074" t="s">
        <v>44</v>
      </c>
      <c r="L2074" t="s">
        <v>32</v>
      </c>
      <c r="M2074" t="s">
        <v>46</v>
      </c>
      <c r="N2074" t="s">
        <v>47</v>
      </c>
      <c r="O2074" t="s">
        <v>48</v>
      </c>
      <c r="P2074">
        <v>2</v>
      </c>
      <c r="Q2074" s="2">
        <f>Ventas[[#This Row],[precio_base]]*Ventas[[#This Row],[cantidad]]</f>
        <v>249.99</v>
      </c>
      <c r="R2074" s="2">
        <f>Ventas[[#This Row],[Total bruto (antes de descuento)]]-Ventas[[#This Row],[total_venta]]</f>
        <v>12.5</v>
      </c>
    </row>
    <row r="2075" spans="1:18" x14ac:dyDescent="0.25">
      <c r="A2075" t="s">
        <v>2168</v>
      </c>
      <c r="B2075" s="1">
        <v>45550</v>
      </c>
      <c r="C2075" t="s">
        <v>143</v>
      </c>
      <c r="D2075" t="s">
        <v>43</v>
      </c>
      <c r="E2075">
        <v>3</v>
      </c>
      <c r="F2075" s="2">
        <v>34.99</v>
      </c>
      <c r="G2075">
        <v>10</v>
      </c>
      <c r="H2075" s="2">
        <v>31.49</v>
      </c>
      <c r="I2075" s="2">
        <v>94.47</v>
      </c>
      <c r="J2075" t="s">
        <v>51</v>
      </c>
      <c r="K2075" t="s">
        <v>20</v>
      </c>
      <c r="L2075" t="s">
        <v>21</v>
      </c>
      <c r="M2075" t="s">
        <v>101</v>
      </c>
      <c r="N2075" t="s">
        <v>102</v>
      </c>
      <c r="O2075" t="s">
        <v>35</v>
      </c>
      <c r="Q2075" s="2">
        <f>Ventas[[#This Row],[precio_base]]*Ventas[[#This Row],[cantidad]]</f>
        <v>104.97</v>
      </c>
      <c r="R2075" s="2">
        <f>Ventas[[#This Row],[Total bruto (antes de descuento)]]-Ventas[[#This Row],[total_venta]]</f>
        <v>10.5</v>
      </c>
    </row>
    <row r="2076" spans="1:18" x14ac:dyDescent="0.25">
      <c r="A2076" t="s">
        <v>2169</v>
      </c>
      <c r="B2076" s="1">
        <v>45039</v>
      </c>
      <c r="C2076" t="s">
        <v>30</v>
      </c>
      <c r="D2076" t="s">
        <v>31</v>
      </c>
      <c r="E2076">
        <v>2</v>
      </c>
      <c r="F2076" s="2">
        <v>299.99</v>
      </c>
      <c r="G2076">
        <v>0</v>
      </c>
      <c r="H2076" s="2">
        <v>299.99</v>
      </c>
      <c r="I2076" s="2">
        <v>599.98</v>
      </c>
      <c r="J2076" t="s">
        <v>51</v>
      </c>
      <c r="K2076" t="s">
        <v>20</v>
      </c>
      <c r="L2076" t="s">
        <v>152</v>
      </c>
      <c r="M2076" t="s">
        <v>39</v>
      </c>
      <c r="N2076" t="s">
        <v>40</v>
      </c>
      <c r="O2076" t="s">
        <v>35</v>
      </c>
      <c r="Q2076" s="2">
        <f>Ventas[[#This Row],[precio_base]]*Ventas[[#This Row],[cantidad]]</f>
        <v>599.98</v>
      </c>
      <c r="R2076" s="2">
        <f>Ventas[[#This Row],[Total bruto (antes de descuento)]]-Ventas[[#This Row],[total_venta]]</f>
        <v>0</v>
      </c>
    </row>
    <row r="2077" spans="1:18" x14ac:dyDescent="0.25">
      <c r="A2077" t="s">
        <v>2170</v>
      </c>
      <c r="B2077" s="1">
        <v>45066</v>
      </c>
      <c r="C2077" t="s">
        <v>104</v>
      </c>
      <c r="D2077" t="s">
        <v>18</v>
      </c>
      <c r="E2077">
        <v>3</v>
      </c>
      <c r="F2077" s="2">
        <v>1199.99</v>
      </c>
      <c r="G2077">
        <v>5</v>
      </c>
      <c r="H2077" s="2">
        <v>1139.99</v>
      </c>
      <c r="I2077" s="2">
        <v>3419.97</v>
      </c>
      <c r="J2077" t="s">
        <v>19</v>
      </c>
      <c r="K2077" t="s">
        <v>44</v>
      </c>
      <c r="L2077" t="s">
        <v>45</v>
      </c>
      <c r="M2077" t="s">
        <v>101</v>
      </c>
      <c r="N2077" t="s">
        <v>102</v>
      </c>
      <c r="O2077" t="s">
        <v>35</v>
      </c>
      <c r="P2077">
        <v>5</v>
      </c>
      <c r="Q2077" s="2">
        <f>Ventas[[#This Row],[precio_base]]*Ventas[[#This Row],[cantidad]]</f>
        <v>3599.9700000000003</v>
      </c>
      <c r="R2077" s="2">
        <f>Ventas[[#This Row],[Total bruto (antes de descuento)]]-Ventas[[#This Row],[total_venta]]</f>
        <v>180.00000000000045</v>
      </c>
    </row>
    <row r="2078" spans="1:18" x14ac:dyDescent="0.25">
      <c r="A2078" t="s">
        <v>2171</v>
      </c>
      <c r="B2078" s="1">
        <v>45340</v>
      </c>
      <c r="C2078" t="s">
        <v>130</v>
      </c>
      <c r="D2078" t="s">
        <v>43</v>
      </c>
      <c r="E2078">
        <v>5</v>
      </c>
      <c r="F2078" s="2">
        <v>24.99</v>
      </c>
      <c r="G2078">
        <v>5</v>
      </c>
      <c r="H2078" s="2">
        <v>23.74</v>
      </c>
      <c r="I2078" s="2">
        <v>118.7</v>
      </c>
      <c r="J2078" t="s">
        <v>116</v>
      </c>
      <c r="K2078" t="s">
        <v>20</v>
      </c>
      <c r="L2078" t="s">
        <v>28</v>
      </c>
      <c r="M2078" t="s">
        <v>65</v>
      </c>
      <c r="N2078" t="s">
        <v>54</v>
      </c>
      <c r="O2078" t="s">
        <v>35</v>
      </c>
      <c r="Q2078" s="2">
        <f>Ventas[[#This Row],[precio_base]]*Ventas[[#This Row],[cantidad]]</f>
        <v>124.94999999999999</v>
      </c>
      <c r="R2078" s="2">
        <f>Ventas[[#This Row],[Total bruto (antes de descuento)]]-Ventas[[#This Row],[total_venta]]</f>
        <v>6.2499999999999858</v>
      </c>
    </row>
    <row r="2079" spans="1:18" x14ac:dyDescent="0.25">
      <c r="A2079" t="s">
        <v>2172</v>
      </c>
      <c r="B2079" s="1">
        <v>45341</v>
      </c>
      <c r="C2079" t="s">
        <v>98</v>
      </c>
      <c r="D2079" t="s">
        <v>31</v>
      </c>
      <c r="E2079">
        <v>3</v>
      </c>
      <c r="F2079" s="2">
        <v>99.99</v>
      </c>
      <c r="G2079">
        <v>10</v>
      </c>
      <c r="H2079" s="2">
        <v>89.99</v>
      </c>
      <c r="I2079" s="2">
        <v>269.97000000000003</v>
      </c>
      <c r="J2079" t="s">
        <v>90</v>
      </c>
      <c r="K2079" t="s">
        <v>44</v>
      </c>
      <c r="L2079" t="s">
        <v>45</v>
      </c>
      <c r="M2079" t="s">
        <v>63</v>
      </c>
      <c r="N2079" t="s">
        <v>34</v>
      </c>
      <c r="O2079" t="s">
        <v>24</v>
      </c>
      <c r="Q2079" s="2">
        <f>Ventas[[#This Row],[precio_base]]*Ventas[[#This Row],[cantidad]]</f>
        <v>299.96999999999997</v>
      </c>
      <c r="R2079" s="2">
        <f>Ventas[[#This Row],[Total bruto (antes de descuento)]]-Ventas[[#This Row],[total_venta]]</f>
        <v>29.999999999999943</v>
      </c>
    </row>
    <row r="2080" spans="1:18" x14ac:dyDescent="0.25">
      <c r="A2080" t="s">
        <v>2173</v>
      </c>
      <c r="B2080" s="1">
        <v>44964</v>
      </c>
      <c r="C2080" t="s">
        <v>115</v>
      </c>
      <c r="D2080" t="s">
        <v>18</v>
      </c>
      <c r="E2080">
        <v>1</v>
      </c>
      <c r="F2080" s="2">
        <v>799.99</v>
      </c>
      <c r="G2080">
        <v>10</v>
      </c>
      <c r="H2080" s="2">
        <v>719.99</v>
      </c>
      <c r="I2080" s="2">
        <v>719.99</v>
      </c>
      <c r="J2080" t="s">
        <v>116</v>
      </c>
      <c r="K2080" t="s">
        <v>20</v>
      </c>
      <c r="L2080" t="s">
        <v>28</v>
      </c>
      <c r="M2080" t="s">
        <v>67</v>
      </c>
      <c r="N2080" t="s">
        <v>68</v>
      </c>
      <c r="O2080" t="s">
        <v>35</v>
      </c>
      <c r="Q2080" s="2">
        <f>Ventas[[#This Row],[precio_base]]*Ventas[[#This Row],[cantidad]]</f>
        <v>799.99</v>
      </c>
      <c r="R2080" s="2">
        <f>Ventas[[#This Row],[Total bruto (antes de descuento)]]-Ventas[[#This Row],[total_venta]]</f>
        <v>80</v>
      </c>
    </row>
    <row r="2081" spans="1:18" x14ac:dyDescent="0.25">
      <c r="A2081" t="s">
        <v>2174</v>
      </c>
      <c r="B2081" s="1">
        <v>45349</v>
      </c>
      <c r="C2081" t="s">
        <v>109</v>
      </c>
      <c r="D2081" t="s">
        <v>38</v>
      </c>
      <c r="E2081">
        <v>4</v>
      </c>
      <c r="F2081" s="2">
        <v>39.99</v>
      </c>
      <c r="G2081">
        <v>0</v>
      </c>
      <c r="H2081" s="2">
        <v>39.99</v>
      </c>
      <c r="I2081" s="2">
        <v>159.96</v>
      </c>
      <c r="J2081" t="s">
        <v>19</v>
      </c>
      <c r="K2081" t="s">
        <v>44</v>
      </c>
      <c r="L2081" t="s">
        <v>28</v>
      </c>
      <c r="M2081" t="s">
        <v>123</v>
      </c>
      <c r="N2081" t="s">
        <v>124</v>
      </c>
      <c r="O2081" t="s">
        <v>24</v>
      </c>
      <c r="P2081">
        <v>2</v>
      </c>
      <c r="Q2081" s="2">
        <f>Ventas[[#This Row],[precio_base]]*Ventas[[#This Row],[cantidad]]</f>
        <v>159.96</v>
      </c>
      <c r="R2081" s="2">
        <f>Ventas[[#This Row],[Total bruto (antes de descuento)]]-Ventas[[#This Row],[total_venta]]</f>
        <v>0</v>
      </c>
    </row>
    <row r="2082" spans="1:18" x14ac:dyDescent="0.25">
      <c r="A2082" t="s">
        <v>2175</v>
      </c>
      <c r="B2082" s="1">
        <v>45372</v>
      </c>
      <c r="C2082" t="s">
        <v>98</v>
      </c>
      <c r="D2082" t="s">
        <v>31</v>
      </c>
      <c r="E2082">
        <v>2</v>
      </c>
      <c r="F2082" s="2">
        <v>99.99</v>
      </c>
      <c r="G2082">
        <v>5</v>
      </c>
      <c r="H2082" s="2">
        <v>94.99</v>
      </c>
      <c r="I2082" s="2">
        <v>189.98</v>
      </c>
      <c r="J2082" t="s">
        <v>62</v>
      </c>
      <c r="K2082" t="s">
        <v>52</v>
      </c>
      <c r="L2082" t="s">
        <v>21</v>
      </c>
      <c r="M2082" t="s">
        <v>39</v>
      </c>
      <c r="N2082" t="s">
        <v>40</v>
      </c>
      <c r="O2082" t="s">
        <v>35</v>
      </c>
      <c r="Q2082" s="2">
        <f>Ventas[[#This Row],[precio_base]]*Ventas[[#This Row],[cantidad]]</f>
        <v>199.98</v>
      </c>
      <c r="R2082" s="2">
        <f>Ventas[[#This Row],[Total bruto (antes de descuento)]]-Ventas[[#This Row],[total_venta]]</f>
        <v>10</v>
      </c>
    </row>
    <row r="2083" spans="1:18" x14ac:dyDescent="0.25">
      <c r="A2083" t="s">
        <v>2176</v>
      </c>
      <c r="B2083" s="1">
        <v>45236</v>
      </c>
      <c r="C2083" t="s">
        <v>109</v>
      </c>
      <c r="D2083" t="s">
        <v>38</v>
      </c>
      <c r="E2083">
        <v>2</v>
      </c>
      <c r="F2083" s="2">
        <v>39.99</v>
      </c>
      <c r="G2083">
        <v>0</v>
      </c>
      <c r="H2083" s="2">
        <v>39.99</v>
      </c>
      <c r="I2083" s="2">
        <v>79.98</v>
      </c>
      <c r="J2083" t="s">
        <v>19</v>
      </c>
      <c r="K2083" t="s">
        <v>52</v>
      </c>
      <c r="L2083" t="s">
        <v>21</v>
      </c>
      <c r="M2083" t="s">
        <v>22</v>
      </c>
      <c r="N2083" t="s">
        <v>23</v>
      </c>
      <c r="O2083" t="s">
        <v>24</v>
      </c>
      <c r="P2083">
        <v>4</v>
      </c>
      <c r="Q2083" s="2">
        <f>Ventas[[#This Row],[precio_base]]*Ventas[[#This Row],[cantidad]]</f>
        <v>79.98</v>
      </c>
      <c r="R2083" s="2">
        <f>Ventas[[#This Row],[Total bruto (antes de descuento)]]-Ventas[[#This Row],[total_venta]]</f>
        <v>0</v>
      </c>
    </row>
    <row r="2084" spans="1:18" x14ac:dyDescent="0.25">
      <c r="A2084" t="s">
        <v>2177</v>
      </c>
      <c r="B2084" s="1">
        <v>45404</v>
      </c>
      <c r="C2084" t="s">
        <v>30</v>
      </c>
      <c r="D2084" t="s">
        <v>31</v>
      </c>
      <c r="E2084">
        <v>4</v>
      </c>
      <c r="F2084" s="2">
        <v>299.99</v>
      </c>
      <c r="G2084">
        <v>0</v>
      </c>
      <c r="H2084" s="2">
        <v>299.99</v>
      </c>
      <c r="I2084" s="2">
        <v>1199.96</v>
      </c>
      <c r="J2084" t="s">
        <v>62</v>
      </c>
      <c r="K2084" t="s">
        <v>20</v>
      </c>
      <c r="L2084" t="s">
        <v>152</v>
      </c>
      <c r="M2084" t="s">
        <v>101</v>
      </c>
      <c r="N2084" t="s">
        <v>102</v>
      </c>
      <c r="O2084" t="s">
        <v>35</v>
      </c>
      <c r="Q2084" s="2">
        <f>Ventas[[#This Row],[precio_base]]*Ventas[[#This Row],[cantidad]]</f>
        <v>1199.96</v>
      </c>
      <c r="R2084" s="2">
        <f>Ventas[[#This Row],[Total bruto (antes de descuento)]]-Ventas[[#This Row],[total_venta]]</f>
        <v>0</v>
      </c>
    </row>
    <row r="2085" spans="1:18" x14ac:dyDescent="0.25">
      <c r="A2085" t="s">
        <v>2178</v>
      </c>
      <c r="B2085" s="1">
        <v>45178</v>
      </c>
      <c r="C2085" t="s">
        <v>78</v>
      </c>
      <c r="D2085" t="s">
        <v>18</v>
      </c>
      <c r="E2085">
        <v>1</v>
      </c>
      <c r="F2085" s="2">
        <v>349.99</v>
      </c>
      <c r="G2085">
        <v>0</v>
      </c>
      <c r="H2085" s="2">
        <v>349.99</v>
      </c>
      <c r="I2085" s="2">
        <v>349.99</v>
      </c>
      <c r="J2085" t="s">
        <v>19</v>
      </c>
      <c r="K2085" t="s">
        <v>44</v>
      </c>
      <c r="L2085" t="s">
        <v>45</v>
      </c>
      <c r="M2085" t="s">
        <v>123</v>
      </c>
      <c r="N2085" t="s">
        <v>124</v>
      </c>
      <c r="O2085" t="s">
        <v>24</v>
      </c>
      <c r="P2085">
        <v>4</v>
      </c>
      <c r="Q2085" s="2">
        <f>Ventas[[#This Row],[precio_base]]*Ventas[[#This Row],[cantidad]]</f>
        <v>349.99</v>
      </c>
      <c r="R2085" s="2">
        <f>Ventas[[#This Row],[Total bruto (antes de descuento)]]-Ventas[[#This Row],[total_venta]]</f>
        <v>0</v>
      </c>
    </row>
    <row r="2086" spans="1:18" x14ac:dyDescent="0.25">
      <c r="A2086" t="s">
        <v>2179</v>
      </c>
      <c r="B2086" s="1">
        <v>45006</v>
      </c>
      <c r="C2086" t="s">
        <v>156</v>
      </c>
      <c r="D2086" t="s">
        <v>27</v>
      </c>
      <c r="E2086">
        <v>3</v>
      </c>
      <c r="F2086" s="2">
        <v>49.99</v>
      </c>
      <c r="G2086">
        <v>0</v>
      </c>
      <c r="H2086" s="2">
        <v>49.99</v>
      </c>
      <c r="I2086" s="2">
        <v>149.97</v>
      </c>
      <c r="J2086" t="s">
        <v>62</v>
      </c>
      <c r="K2086" t="s">
        <v>44</v>
      </c>
      <c r="L2086" t="s">
        <v>152</v>
      </c>
      <c r="M2086" t="s">
        <v>65</v>
      </c>
      <c r="N2086" t="s">
        <v>54</v>
      </c>
      <c r="O2086" t="s">
        <v>35</v>
      </c>
      <c r="Q2086" s="2">
        <f>Ventas[[#This Row],[precio_base]]*Ventas[[#This Row],[cantidad]]</f>
        <v>149.97</v>
      </c>
      <c r="R2086" s="2">
        <f>Ventas[[#This Row],[Total bruto (antes de descuento)]]-Ventas[[#This Row],[total_venta]]</f>
        <v>0</v>
      </c>
    </row>
    <row r="2087" spans="1:18" x14ac:dyDescent="0.25">
      <c r="A2087" t="s">
        <v>2180</v>
      </c>
      <c r="B2087" s="1">
        <v>45417</v>
      </c>
      <c r="C2087" t="s">
        <v>56</v>
      </c>
      <c r="D2087" t="s">
        <v>18</v>
      </c>
      <c r="E2087">
        <v>3</v>
      </c>
      <c r="F2087" s="2">
        <v>89.99</v>
      </c>
      <c r="G2087">
        <v>0</v>
      </c>
      <c r="H2087" s="2">
        <v>89.99</v>
      </c>
      <c r="I2087" s="2">
        <v>269.97000000000003</v>
      </c>
      <c r="J2087" t="s">
        <v>19</v>
      </c>
      <c r="K2087" t="s">
        <v>44</v>
      </c>
      <c r="L2087" t="s">
        <v>21</v>
      </c>
      <c r="M2087" t="s">
        <v>53</v>
      </c>
      <c r="N2087" t="s">
        <v>54</v>
      </c>
      <c r="O2087" t="s">
        <v>35</v>
      </c>
      <c r="P2087">
        <v>1</v>
      </c>
      <c r="Q2087" s="2">
        <f>Ventas[[#This Row],[precio_base]]*Ventas[[#This Row],[cantidad]]</f>
        <v>269.96999999999997</v>
      </c>
      <c r="R2087" s="2">
        <f>Ventas[[#This Row],[Total bruto (antes de descuento)]]-Ventas[[#This Row],[total_venta]]</f>
        <v>0</v>
      </c>
    </row>
    <row r="2088" spans="1:18" x14ac:dyDescent="0.25">
      <c r="A2088" t="s">
        <v>2181</v>
      </c>
      <c r="B2088" s="1">
        <v>45076</v>
      </c>
      <c r="C2088" t="s">
        <v>76</v>
      </c>
      <c r="D2088" t="s">
        <v>31</v>
      </c>
      <c r="E2088">
        <v>5</v>
      </c>
      <c r="F2088" s="2">
        <v>69.989999999999995</v>
      </c>
      <c r="G2088">
        <v>0</v>
      </c>
      <c r="H2088" s="2">
        <v>69.989999999999995</v>
      </c>
      <c r="I2088" s="2">
        <v>349.95</v>
      </c>
      <c r="J2088" t="s">
        <v>19</v>
      </c>
      <c r="K2088" t="s">
        <v>20</v>
      </c>
      <c r="L2088" t="s">
        <v>45</v>
      </c>
      <c r="M2088" t="s">
        <v>65</v>
      </c>
      <c r="N2088" t="s">
        <v>54</v>
      </c>
      <c r="O2088" t="s">
        <v>35</v>
      </c>
      <c r="P2088">
        <v>1</v>
      </c>
      <c r="Q2088" s="2">
        <f>Ventas[[#This Row],[precio_base]]*Ventas[[#This Row],[cantidad]]</f>
        <v>349.95</v>
      </c>
      <c r="R2088" s="2">
        <f>Ventas[[#This Row],[Total bruto (antes de descuento)]]-Ventas[[#This Row],[total_venta]]</f>
        <v>0</v>
      </c>
    </row>
    <row r="2089" spans="1:18" x14ac:dyDescent="0.25">
      <c r="A2089" t="s">
        <v>2182</v>
      </c>
      <c r="B2089" s="1">
        <v>45386</v>
      </c>
      <c r="C2089" t="s">
        <v>109</v>
      </c>
      <c r="D2089" t="s">
        <v>38</v>
      </c>
      <c r="E2089">
        <v>3</v>
      </c>
      <c r="F2089" s="2">
        <v>39.99</v>
      </c>
      <c r="G2089">
        <v>20</v>
      </c>
      <c r="H2089" s="2">
        <v>31.99</v>
      </c>
      <c r="I2089" s="2">
        <v>95.97</v>
      </c>
      <c r="J2089" t="s">
        <v>51</v>
      </c>
      <c r="K2089" t="s">
        <v>44</v>
      </c>
      <c r="L2089" t="s">
        <v>21</v>
      </c>
      <c r="M2089" t="s">
        <v>123</v>
      </c>
      <c r="N2089" t="s">
        <v>124</v>
      </c>
      <c r="O2089" t="s">
        <v>24</v>
      </c>
      <c r="Q2089" s="2">
        <f>Ventas[[#This Row],[precio_base]]*Ventas[[#This Row],[cantidad]]</f>
        <v>119.97</v>
      </c>
      <c r="R2089" s="2">
        <f>Ventas[[#This Row],[Total bruto (antes de descuento)]]-Ventas[[#This Row],[total_venta]]</f>
        <v>24</v>
      </c>
    </row>
    <row r="2090" spans="1:18" x14ac:dyDescent="0.25">
      <c r="A2090" t="s">
        <v>2183</v>
      </c>
      <c r="B2090" s="1">
        <v>44979</v>
      </c>
      <c r="C2090" t="s">
        <v>70</v>
      </c>
      <c r="D2090" t="s">
        <v>31</v>
      </c>
      <c r="E2090">
        <v>5</v>
      </c>
      <c r="F2090" s="2">
        <v>59.99</v>
      </c>
      <c r="G2090">
        <v>10</v>
      </c>
      <c r="H2090" s="2">
        <v>53.99</v>
      </c>
      <c r="I2090" s="2">
        <v>269.95</v>
      </c>
      <c r="J2090" t="s">
        <v>19</v>
      </c>
      <c r="K2090" t="s">
        <v>52</v>
      </c>
      <c r="L2090" t="s">
        <v>45</v>
      </c>
      <c r="M2090" t="s">
        <v>101</v>
      </c>
      <c r="N2090" t="s">
        <v>102</v>
      </c>
      <c r="O2090" t="s">
        <v>35</v>
      </c>
      <c r="P2090">
        <v>5</v>
      </c>
      <c r="Q2090" s="2">
        <f>Ventas[[#This Row],[precio_base]]*Ventas[[#This Row],[cantidad]]</f>
        <v>299.95</v>
      </c>
      <c r="R2090" s="2">
        <f>Ventas[[#This Row],[Total bruto (antes de descuento)]]-Ventas[[#This Row],[total_venta]]</f>
        <v>30</v>
      </c>
    </row>
    <row r="2091" spans="1:18" x14ac:dyDescent="0.25">
      <c r="A2091" t="s">
        <v>2184</v>
      </c>
      <c r="B2091" s="1">
        <v>44964</v>
      </c>
      <c r="C2091" t="s">
        <v>81</v>
      </c>
      <c r="D2091" t="s">
        <v>31</v>
      </c>
      <c r="E2091">
        <v>5</v>
      </c>
      <c r="F2091" s="2">
        <v>189.99</v>
      </c>
      <c r="G2091">
        <v>15</v>
      </c>
      <c r="H2091" s="2">
        <v>161.49</v>
      </c>
      <c r="I2091" s="2">
        <v>807.45</v>
      </c>
      <c r="J2091" t="s">
        <v>51</v>
      </c>
      <c r="K2091" t="s">
        <v>20</v>
      </c>
      <c r="L2091" t="s">
        <v>152</v>
      </c>
      <c r="M2091" t="s">
        <v>65</v>
      </c>
      <c r="N2091" t="s">
        <v>54</v>
      </c>
      <c r="O2091" t="s">
        <v>35</v>
      </c>
      <c r="Q2091" s="2">
        <f>Ventas[[#This Row],[precio_base]]*Ventas[[#This Row],[cantidad]]</f>
        <v>949.95</v>
      </c>
      <c r="R2091" s="2">
        <f>Ventas[[#This Row],[Total bruto (antes de descuento)]]-Ventas[[#This Row],[total_venta]]</f>
        <v>142.5</v>
      </c>
    </row>
    <row r="2092" spans="1:18" x14ac:dyDescent="0.25">
      <c r="A2092" t="s">
        <v>2185</v>
      </c>
      <c r="B2092" s="1">
        <v>45313</v>
      </c>
      <c r="C2092" t="s">
        <v>141</v>
      </c>
      <c r="D2092" t="s">
        <v>38</v>
      </c>
      <c r="E2092">
        <v>4</v>
      </c>
      <c r="F2092" s="2">
        <v>89.99</v>
      </c>
      <c r="G2092">
        <v>15</v>
      </c>
      <c r="H2092" s="2">
        <v>76.489999999999995</v>
      </c>
      <c r="I2092" s="2">
        <v>305.95999999999998</v>
      </c>
      <c r="J2092" t="s">
        <v>51</v>
      </c>
      <c r="K2092" t="s">
        <v>20</v>
      </c>
      <c r="L2092" t="s">
        <v>28</v>
      </c>
      <c r="M2092" t="s">
        <v>58</v>
      </c>
      <c r="N2092" t="s">
        <v>59</v>
      </c>
      <c r="O2092" t="s">
        <v>24</v>
      </c>
      <c r="Q2092" s="2">
        <f>Ventas[[#This Row],[precio_base]]*Ventas[[#This Row],[cantidad]]</f>
        <v>359.96</v>
      </c>
      <c r="R2092" s="2">
        <f>Ventas[[#This Row],[Total bruto (antes de descuento)]]-Ventas[[#This Row],[total_venta]]</f>
        <v>54</v>
      </c>
    </row>
    <row r="2093" spans="1:18" x14ac:dyDescent="0.25">
      <c r="A2093" t="s">
        <v>2186</v>
      </c>
      <c r="B2093" s="1">
        <v>45128</v>
      </c>
      <c r="C2093" t="s">
        <v>56</v>
      </c>
      <c r="D2093" t="s">
        <v>18</v>
      </c>
      <c r="E2093">
        <v>5</v>
      </c>
      <c r="F2093" s="2">
        <v>89.99</v>
      </c>
      <c r="G2093">
        <v>5</v>
      </c>
      <c r="H2093" s="2">
        <v>85.49</v>
      </c>
      <c r="I2093" s="2">
        <v>427.45</v>
      </c>
      <c r="J2093" t="s">
        <v>19</v>
      </c>
      <c r="K2093" t="s">
        <v>20</v>
      </c>
      <c r="L2093" t="s">
        <v>21</v>
      </c>
      <c r="M2093" t="s">
        <v>22</v>
      </c>
      <c r="N2093" t="s">
        <v>23</v>
      </c>
      <c r="O2093" t="s">
        <v>24</v>
      </c>
      <c r="P2093">
        <v>2</v>
      </c>
      <c r="Q2093" s="2">
        <f>Ventas[[#This Row],[precio_base]]*Ventas[[#This Row],[cantidad]]</f>
        <v>449.95</v>
      </c>
      <c r="R2093" s="2">
        <f>Ventas[[#This Row],[Total bruto (antes de descuento)]]-Ventas[[#This Row],[total_venta]]</f>
        <v>22.5</v>
      </c>
    </row>
    <row r="2094" spans="1:18" x14ac:dyDescent="0.25">
      <c r="A2094" t="s">
        <v>2187</v>
      </c>
      <c r="B2094" s="1">
        <v>45126</v>
      </c>
      <c r="C2094" t="s">
        <v>37</v>
      </c>
      <c r="D2094" t="s">
        <v>38</v>
      </c>
      <c r="E2094">
        <v>5</v>
      </c>
      <c r="F2094" s="2">
        <v>34.99</v>
      </c>
      <c r="G2094">
        <v>0</v>
      </c>
      <c r="H2094" s="2">
        <v>34.99</v>
      </c>
      <c r="I2094" s="2">
        <v>174.95</v>
      </c>
      <c r="J2094" t="s">
        <v>19</v>
      </c>
      <c r="K2094" t="s">
        <v>52</v>
      </c>
      <c r="L2094" t="s">
        <v>45</v>
      </c>
      <c r="M2094" t="s">
        <v>67</v>
      </c>
      <c r="N2094" t="s">
        <v>68</v>
      </c>
      <c r="O2094" t="s">
        <v>35</v>
      </c>
      <c r="P2094">
        <v>5</v>
      </c>
      <c r="Q2094" s="2">
        <f>Ventas[[#This Row],[precio_base]]*Ventas[[#This Row],[cantidad]]</f>
        <v>174.95000000000002</v>
      </c>
      <c r="R2094" s="2">
        <f>Ventas[[#This Row],[Total bruto (antes de descuento)]]-Ventas[[#This Row],[total_venta]]</f>
        <v>0</v>
      </c>
    </row>
    <row r="2095" spans="1:18" x14ac:dyDescent="0.25">
      <c r="A2095" t="s">
        <v>2188</v>
      </c>
      <c r="B2095" s="1">
        <v>45188</v>
      </c>
      <c r="C2095" t="s">
        <v>122</v>
      </c>
      <c r="D2095" t="s">
        <v>43</v>
      </c>
      <c r="E2095">
        <v>2</v>
      </c>
      <c r="F2095" s="2">
        <v>44.99</v>
      </c>
      <c r="G2095">
        <v>0</v>
      </c>
      <c r="H2095" s="2">
        <v>44.99</v>
      </c>
      <c r="I2095" s="2">
        <v>89.98</v>
      </c>
      <c r="J2095" t="s">
        <v>116</v>
      </c>
      <c r="K2095" t="s">
        <v>52</v>
      </c>
      <c r="L2095" t="s">
        <v>21</v>
      </c>
      <c r="M2095" t="s">
        <v>63</v>
      </c>
      <c r="N2095" t="s">
        <v>34</v>
      </c>
      <c r="O2095" t="s">
        <v>24</v>
      </c>
      <c r="Q2095" s="2">
        <f>Ventas[[#This Row],[precio_base]]*Ventas[[#This Row],[cantidad]]</f>
        <v>89.98</v>
      </c>
      <c r="R2095" s="2">
        <f>Ventas[[#This Row],[Total bruto (antes de descuento)]]-Ventas[[#This Row],[total_venta]]</f>
        <v>0</v>
      </c>
    </row>
    <row r="2096" spans="1:18" x14ac:dyDescent="0.25">
      <c r="A2096" t="s">
        <v>2189</v>
      </c>
      <c r="B2096" s="1">
        <v>45421</v>
      </c>
      <c r="C2096" t="s">
        <v>70</v>
      </c>
      <c r="D2096" t="s">
        <v>31</v>
      </c>
      <c r="E2096">
        <v>1</v>
      </c>
      <c r="F2096" s="2">
        <v>59.99</v>
      </c>
      <c r="G2096">
        <v>0</v>
      </c>
      <c r="H2096" s="2">
        <v>59.99</v>
      </c>
      <c r="I2096" s="2">
        <v>59.99</v>
      </c>
      <c r="J2096" t="s">
        <v>19</v>
      </c>
      <c r="K2096" t="s">
        <v>52</v>
      </c>
      <c r="L2096" t="s">
        <v>45</v>
      </c>
      <c r="M2096" t="s">
        <v>63</v>
      </c>
      <c r="N2096" t="s">
        <v>34</v>
      </c>
      <c r="O2096" t="s">
        <v>24</v>
      </c>
      <c r="P2096">
        <v>1</v>
      </c>
      <c r="Q2096" s="2">
        <f>Ventas[[#This Row],[precio_base]]*Ventas[[#This Row],[cantidad]]</f>
        <v>59.99</v>
      </c>
      <c r="R2096" s="2">
        <f>Ventas[[#This Row],[Total bruto (antes de descuento)]]-Ventas[[#This Row],[total_venta]]</f>
        <v>0</v>
      </c>
    </row>
    <row r="2097" spans="1:18" x14ac:dyDescent="0.25">
      <c r="A2097" t="s">
        <v>2190</v>
      </c>
      <c r="B2097" s="1">
        <v>45612</v>
      </c>
      <c r="C2097" t="s">
        <v>151</v>
      </c>
      <c r="D2097" t="s">
        <v>27</v>
      </c>
      <c r="E2097">
        <v>3</v>
      </c>
      <c r="F2097" s="2">
        <v>599.99</v>
      </c>
      <c r="G2097">
        <v>10</v>
      </c>
      <c r="H2097" s="2">
        <v>539.99</v>
      </c>
      <c r="I2097" s="2">
        <v>1619.97</v>
      </c>
      <c r="J2097" t="s">
        <v>51</v>
      </c>
      <c r="K2097" t="s">
        <v>52</v>
      </c>
      <c r="L2097" t="s">
        <v>152</v>
      </c>
      <c r="M2097" t="s">
        <v>123</v>
      </c>
      <c r="N2097" t="s">
        <v>124</v>
      </c>
      <c r="O2097" t="s">
        <v>24</v>
      </c>
      <c r="Q2097" s="2">
        <f>Ventas[[#This Row],[precio_base]]*Ventas[[#This Row],[cantidad]]</f>
        <v>1799.97</v>
      </c>
      <c r="R2097" s="2">
        <f>Ventas[[#This Row],[Total bruto (antes de descuento)]]-Ventas[[#This Row],[total_venta]]</f>
        <v>180</v>
      </c>
    </row>
    <row r="2098" spans="1:18" x14ac:dyDescent="0.25">
      <c r="A2098" t="s">
        <v>2191</v>
      </c>
      <c r="B2098" s="1">
        <v>45191</v>
      </c>
      <c r="C2098" t="s">
        <v>26</v>
      </c>
      <c r="D2098" t="s">
        <v>27</v>
      </c>
      <c r="E2098">
        <v>5</v>
      </c>
      <c r="F2098" s="2">
        <v>399.99</v>
      </c>
      <c r="G2098">
        <v>10</v>
      </c>
      <c r="H2098" s="2">
        <v>359.99</v>
      </c>
      <c r="I2098" s="2">
        <v>1799.95</v>
      </c>
      <c r="J2098" t="s">
        <v>62</v>
      </c>
      <c r="K2098" t="s">
        <v>44</v>
      </c>
      <c r="L2098" t="s">
        <v>28</v>
      </c>
      <c r="M2098" t="s">
        <v>67</v>
      </c>
      <c r="N2098" t="s">
        <v>68</v>
      </c>
      <c r="O2098" t="s">
        <v>35</v>
      </c>
      <c r="Q2098" s="2">
        <f>Ventas[[#This Row],[precio_base]]*Ventas[[#This Row],[cantidad]]</f>
        <v>1999.95</v>
      </c>
      <c r="R2098" s="2">
        <f>Ventas[[#This Row],[Total bruto (antes de descuento)]]-Ventas[[#This Row],[total_venta]]</f>
        <v>200</v>
      </c>
    </row>
    <row r="2099" spans="1:18" x14ac:dyDescent="0.25">
      <c r="A2099" t="s">
        <v>2192</v>
      </c>
      <c r="B2099" s="1">
        <v>45261</v>
      </c>
      <c r="C2099" t="s">
        <v>87</v>
      </c>
      <c r="D2099" t="s">
        <v>27</v>
      </c>
      <c r="E2099">
        <v>2</v>
      </c>
      <c r="F2099" s="2">
        <v>249.99</v>
      </c>
      <c r="G2099">
        <v>15</v>
      </c>
      <c r="H2099" s="2">
        <v>212.49</v>
      </c>
      <c r="I2099" s="2">
        <v>424.98</v>
      </c>
      <c r="J2099" t="s">
        <v>51</v>
      </c>
      <c r="K2099" t="s">
        <v>44</v>
      </c>
      <c r="L2099" t="s">
        <v>28</v>
      </c>
      <c r="M2099" t="s">
        <v>84</v>
      </c>
      <c r="N2099" t="s">
        <v>85</v>
      </c>
      <c r="O2099" t="s">
        <v>35</v>
      </c>
      <c r="Q2099" s="2">
        <f>Ventas[[#This Row],[precio_base]]*Ventas[[#This Row],[cantidad]]</f>
        <v>499.98</v>
      </c>
      <c r="R2099" s="2">
        <f>Ventas[[#This Row],[Total bruto (antes de descuento)]]-Ventas[[#This Row],[total_venta]]</f>
        <v>75</v>
      </c>
    </row>
    <row r="2100" spans="1:18" x14ac:dyDescent="0.25">
      <c r="A2100" t="s">
        <v>2193</v>
      </c>
      <c r="B2100" s="1">
        <v>45535</v>
      </c>
      <c r="C2100" t="s">
        <v>98</v>
      </c>
      <c r="D2100" t="s">
        <v>31</v>
      </c>
      <c r="E2100">
        <v>2</v>
      </c>
      <c r="F2100" s="2">
        <v>99.99</v>
      </c>
      <c r="G2100">
        <v>0</v>
      </c>
      <c r="H2100" s="2">
        <v>99.99</v>
      </c>
      <c r="I2100" s="2">
        <v>199.98</v>
      </c>
      <c r="J2100" t="s">
        <v>62</v>
      </c>
      <c r="K2100" t="s">
        <v>44</v>
      </c>
      <c r="L2100" t="s">
        <v>21</v>
      </c>
      <c r="M2100" t="s">
        <v>120</v>
      </c>
      <c r="N2100" t="s">
        <v>23</v>
      </c>
      <c r="O2100" t="s">
        <v>24</v>
      </c>
      <c r="Q2100" s="2">
        <f>Ventas[[#This Row],[precio_base]]*Ventas[[#This Row],[cantidad]]</f>
        <v>199.98</v>
      </c>
      <c r="R2100" s="2">
        <f>Ventas[[#This Row],[Total bruto (antes de descuento)]]-Ventas[[#This Row],[total_venta]]</f>
        <v>0</v>
      </c>
    </row>
    <row r="2101" spans="1:18" x14ac:dyDescent="0.25">
      <c r="A2101" t="s">
        <v>2194</v>
      </c>
      <c r="B2101" s="1">
        <v>45448</v>
      </c>
      <c r="C2101" t="s">
        <v>83</v>
      </c>
      <c r="D2101" t="s">
        <v>38</v>
      </c>
      <c r="E2101">
        <v>4</v>
      </c>
      <c r="F2101" s="2">
        <v>49.99</v>
      </c>
      <c r="G2101">
        <v>15</v>
      </c>
      <c r="H2101" s="2">
        <v>42.49</v>
      </c>
      <c r="I2101" s="2">
        <v>169.96</v>
      </c>
      <c r="J2101" t="s">
        <v>116</v>
      </c>
      <c r="K2101" t="s">
        <v>57</v>
      </c>
      <c r="L2101" t="s">
        <v>21</v>
      </c>
      <c r="M2101" t="s">
        <v>46</v>
      </c>
      <c r="N2101" t="s">
        <v>47</v>
      </c>
      <c r="O2101" t="s">
        <v>48</v>
      </c>
      <c r="Q2101" s="2">
        <f>Ventas[[#This Row],[precio_base]]*Ventas[[#This Row],[cantidad]]</f>
        <v>199.96</v>
      </c>
      <c r="R2101" s="2">
        <f>Ventas[[#This Row],[Total bruto (antes de descuento)]]-Ventas[[#This Row],[total_venta]]</f>
        <v>30</v>
      </c>
    </row>
    <row r="2102" spans="1:18" x14ac:dyDescent="0.25">
      <c r="A2102" t="s">
        <v>2195</v>
      </c>
      <c r="B2102" s="1">
        <v>45190</v>
      </c>
      <c r="C2102" t="s">
        <v>17</v>
      </c>
      <c r="D2102" t="s">
        <v>18</v>
      </c>
      <c r="E2102">
        <v>2</v>
      </c>
      <c r="F2102" s="2">
        <v>45.99</v>
      </c>
      <c r="G2102">
        <v>10</v>
      </c>
      <c r="H2102" s="2">
        <v>41.39</v>
      </c>
      <c r="I2102" s="2">
        <v>82.78</v>
      </c>
      <c r="J2102" t="s">
        <v>19</v>
      </c>
      <c r="K2102" t="s">
        <v>20</v>
      </c>
      <c r="L2102" t="s">
        <v>152</v>
      </c>
      <c r="M2102" t="s">
        <v>39</v>
      </c>
      <c r="N2102" t="s">
        <v>40</v>
      </c>
      <c r="O2102" t="s">
        <v>35</v>
      </c>
      <c r="P2102">
        <v>4</v>
      </c>
      <c r="Q2102" s="2">
        <f>Ventas[[#This Row],[precio_base]]*Ventas[[#This Row],[cantidad]]</f>
        <v>91.98</v>
      </c>
      <c r="R2102" s="2">
        <f>Ventas[[#This Row],[Total bruto (antes de descuento)]]-Ventas[[#This Row],[total_venta]]</f>
        <v>9.2000000000000028</v>
      </c>
    </row>
    <row r="2103" spans="1:18" x14ac:dyDescent="0.25">
      <c r="A2103" t="s">
        <v>2196</v>
      </c>
      <c r="B2103" s="1">
        <v>45083</v>
      </c>
      <c r="C2103" t="s">
        <v>122</v>
      </c>
      <c r="D2103" t="s">
        <v>43</v>
      </c>
      <c r="E2103">
        <v>1</v>
      </c>
      <c r="F2103" s="2">
        <v>44.99</v>
      </c>
      <c r="G2103">
        <v>15</v>
      </c>
      <c r="H2103" s="2">
        <v>38.24</v>
      </c>
      <c r="I2103" s="2">
        <v>38.24</v>
      </c>
      <c r="J2103" t="s">
        <v>19</v>
      </c>
      <c r="K2103" t="s">
        <v>20</v>
      </c>
      <c r="L2103" t="s">
        <v>45</v>
      </c>
      <c r="M2103" t="s">
        <v>123</v>
      </c>
      <c r="N2103" t="s">
        <v>124</v>
      </c>
      <c r="O2103" t="s">
        <v>24</v>
      </c>
      <c r="P2103">
        <v>5</v>
      </c>
      <c r="Q2103" s="2">
        <f>Ventas[[#This Row],[precio_base]]*Ventas[[#This Row],[cantidad]]</f>
        <v>44.99</v>
      </c>
      <c r="R2103" s="2">
        <f>Ventas[[#This Row],[Total bruto (antes de descuento)]]-Ventas[[#This Row],[total_venta]]</f>
        <v>6.75</v>
      </c>
    </row>
    <row r="2104" spans="1:18" x14ac:dyDescent="0.25">
      <c r="A2104" t="s">
        <v>2197</v>
      </c>
      <c r="B2104" s="1">
        <v>45266</v>
      </c>
      <c r="C2104" t="s">
        <v>83</v>
      </c>
      <c r="D2104" t="s">
        <v>38</v>
      </c>
      <c r="E2104">
        <v>1</v>
      </c>
      <c r="F2104" s="2">
        <v>49.99</v>
      </c>
      <c r="G2104">
        <v>0</v>
      </c>
      <c r="H2104" s="2">
        <v>49.99</v>
      </c>
      <c r="I2104" s="2">
        <v>49.99</v>
      </c>
      <c r="J2104" t="s">
        <v>19</v>
      </c>
      <c r="K2104" t="s">
        <v>52</v>
      </c>
      <c r="L2104" t="s">
        <v>28</v>
      </c>
      <c r="M2104" t="s">
        <v>101</v>
      </c>
      <c r="N2104" t="s">
        <v>102</v>
      </c>
      <c r="O2104" t="s">
        <v>35</v>
      </c>
      <c r="P2104">
        <v>3</v>
      </c>
      <c r="Q2104" s="2">
        <f>Ventas[[#This Row],[precio_base]]*Ventas[[#This Row],[cantidad]]</f>
        <v>49.99</v>
      </c>
      <c r="R2104" s="2">
        <f>Ventas[[#This Row],[Total bruto (antes de descuento)]]-Ventas[[#This Row],[total_venta]]</f>
        <v>0</v>
      </c>
    </row>
    <row r="2105" spans="1:18" x14ac:dyDescent="0.25">
      <c r="A2105" t="s">
        <v>2198</v>
      </c>
      <c r="B2105" s="1">
        <v>44985</v>
      </c>
      <c r="C2105" t="s">
        <v>37</v>
      </c>
      <c r="D2105" t="s">
        <v>38</v>
      </c>
      <c r="E2105">
        <v>4</v>
      </c>
      <c r="F2105" s="2">
        <v>34.99</v>
      </c>
      <c r="G2105">
        <v>20</v>
      </c>
      <c r="H2105" s="2">
        <v>27.99</v>
      </c>
      <c r="I2105" s="2">
        <v>111.96</v>
      </c>
      <c r="J2105" t="s">
        <v>19</v>
      </c>
      <c r="K2105" t="s">
        <v>44</v>
      </c>
      <c r="L2105" t="s">
        <v>21</v>
      </c>
      <c r="M2105" t="s">
        <v>120</v>
      </c>
      <c r="N2105" t="s">
        <v>23</v>
      </c>
      <c r="O2105" t="s">
        <v>24</v>
      </c>
      <c r="P2105">
        <v>3</v>
      </c>
      <c r="Q2105" s="2">
        <f>Ventas[[#This Row],[precio_base]]*Ventas[[#This Row],[cantidad]]</f>
        <v>139.96</v>
      </c>
      <c r="R2105" s="2">
        <f>Ventas[[#This Row],[Total bruto (antes de descuento)]]-Ventas[[#This Row],[total_venta]]</f>
        <v>28.000000000000014</v>
      </c>
    </row>
    <row r="2106" spans="1:18" x14ac:dyDescent="0.25">
      <c r="A2106" t="s">
        <v>2199</v>
      </c>
      <c r="B2106" s="1">
        <v>45048</v>
      </c>
      <c r="C2106" t="s">
        <v>83</v>
      </c>
      <c r="D2106" t="s">
        <v>38</v>
      </c>
      <c r="E2106">
        <v>2</v>
      </c>
      <c r="F2106" s="2">
        <v>49.99</v>
      </c>
      <c r="G2106">
        <v>5</v>
      </c>
      <c r="H2106" s="2">
        <v>47.49</v>
      </c>
      <c r="I2106" s="2">
        <v>94.98</v>
      </c>
      <c r="J2106" t="s">
        <v>62</v>
      </c>
      <c r="K2106" t="s">
        <v>52</v>
      </c>
      <c r="L2106" t="s">
        <v>45</v>
      </c>
      <c r="M2106" t="s">
        <v>101</v>
      </c>
      <c r="N2106" t="s">
        <v>102</v>
      </c>
      <c r="O2106" t="s">
        <v>35</v>
      </c>
      <c r="Q2106" s="2">
        <f>Ventas[[#This Row],[precio_base]]*Ventas[[#This Row],[cantidad]]</f>
        <v>99.98</v>
      </c>
      <c r="R2106" s="2">
        <f>Ventas[[#This Row],[Total bruto (antes de descuento)]]-Ventas[[#This Row],[total_venta]]</f>
        <v>5</v>
      </c>
    </row>
    <row r="2107" spans="1:18" x14ac:dyDescent="0.25">
      <c r="A2107" t="s">
        <v>2200</v>
      </c>
      <c r="B2107" s="1">
        <v>45146</v>
      </c>
      <c r="C2107" t="s">
        <v>109</v>
      </c>
      <c r="D2107" t="s">
        <v>38</v>
      </c>
      <c r="E2107">
        <v>4</v>
      </c>
      <c r="F2107" s="2">
        <v>39.99</v>
      </c>
      <c r="G2107">
        <v>20</v>
      </c>
      <c r="H2107" s="2">
        <v>31.99</v>
      </c>
      <c r="I2107" s="2">
        <v>127.96</v>
      </c>
      <c r="J2107" t="s">
        <v>19</v>
      </c>
      <c r="K2107" t="s">
        <v>44</v>
      </c>
      <c r="L2107" t="s">
        <v>21</v>
      </c>
      <c r="M2107" t="s">
        <v>22</v>
      </c>
      <c r="N2107" t="s">
        <v>23</v>
      </c>
      <c r="O2107" t="s">
        <v>24</v>
      </c>
      <c r="P2107">
        <v>2</v>
      </c>
      <c r="Q2107" s="2">
        <f>Ventas[[#This Row],[precio_base]]*Ventas[[#This Row],[cantidad]]</f>
        <v>159.96</v>
      </c>
      <c r="R2107" s="2">
        <f>Ventas[[#This Row],[Total bruto (antes de descuento)]]-Ventas[[#This Row],[total_venta]]</f>
        <v>32.000000000000014</v>
      </c>
    </row>
    <row r="2108" spans="1:18" x14ac:dyDescent="0.25">
      <c r="A2108" t="s">
        <v>2201</v>
      </c>
      <c r="B2108" s="1">
        <v>45539</v>
      </c>
      <c r="C2108" t="s">
        <v>141</v>
      </c>
      <c r="D2108" t="s">
        <v>38</v>
      </c>
      <c r="E2108">
        <v>5</v>
      </c>
      <c r="F2108" s="2">
        <v>89.99</v>
      </c>
      <c r="G2108">
        <v>5</v>
      </c>
      <c r="H2108" s="2">
        <v>85.49</v>
      </c>
      <c r="I2108" s="2">
        <v>427.45</v>
      </c>
      <c r="J2108" t="s">
        <v>62</v>
      </c>
      <c r="K2108" t="s">
        <v>20</v>
      </c>
      <c r="L2108" t="s">
        <v>28</v>
      </c>
      <c r="M2108" t="s">
        <v>95</v>
      </c>
      <c r="N2108" t="s">
        <v>96</v>
      </c>
      <c r="O2108" t="s">
        <v>48</v>
      </c>
      <c r="Q2108" s="2">
        <f>Ventas[[#This Row],[precio_base]]*Ventas[[#This Row],[cantidad]]</f>
        <v>449.95</v>
      </c>
      <c r="R2108" s="2">
        <f>Ventas[[#This Row],[Total bruto (antes de descuento)]]-Ventas[[#This Row],[total_venta]]</f>
        <v>22.5</v>
      </c>
    </row>
    <row r="2109" spans="1:18" x14ac:dyDescent="0.25">
      <c r="A2109" t="s">
        <v>2202</v>
      </c>
      <c r="B2109" s="1">
        <v>44935</v>
      </c>
      <c r="C2109" t="s">
        <v>78</v>
      </c>
      <c r="D2109" t="s">
        <v>18</v>
      </c>
      <c r="E2109">
        <v>5</v>
      </c>
      <c r="F2109" s="2">
        <v>349.99</v>
      </c>
      <c r="G2109">
        <v>5</v>
      </c>
      <c r="H2109" s="2">
        <v>332.49</v>
      </c>
      <c r="I2109" s="2">
        <v>1662.45</v>
      </c>
      <c r="J2109" t="s">
        <v>19</v>
      </c>
      <c r="K2109" t="s">
        <v>52</v>
      </c>
      <c r="L2109" t="s">
        <v>28</v>
      </c>
      <c r="M2109" t="s">
        <v>95</v>
      </c>
      <c r="N2109" t="s">
        <v>96</v>
      </c>
      <c r="O2109" t="s">
        <v>48</v>
      </c>
      <c r="P2109">
        <v>2</v>
      </c>
      <c r="Q2109" s="2">
        <f>Ventas[[#This Row],[precio_base]]*Ventas[[#This Row],[cantidad]]</f>
        <v>1749.95</v>
      </c>
      <c r="R2109" s="2">
        <f>Ventas[[#This Row],[Total bruto (antes de descuento)]]-Ventas[[#This Row],[total_venta]]</f>
        <v>87.5</v>
      </c>
    </row>
    <row r="2110" spans="1:18" x14ac:dyDescent="0.25">
      <c r="A2110" t="s">
        <v>2203</v>
      </c>
      <c r="B2110" s="1">
        <v>44979</v>
      </c>
      <c r="C2110" t="s">
        <v>104</v>
      </c>
      <c r="D2110" t="s">
        <v>18</v>
      </c>
      <c r="E2110">
        <v>4</v>
      </c>
      <c r="F2110" s="2">
        <v>1199.99</v>
      </c>
      <c r="G2110">
        <v>0</v>
      </c>
      <c r="H2110" s="2">
        <v>1199.99</v>
      </c>
      <c r="I2110" s="2">
        <v>4799.96</v>
      </c>
      <c r="J2110" t="s">
        <v>19</v>
      </c>
      <c r="K2110" t="s">
        <v>57</v>
      </c>
      <c r="L2110" t="s">
        <v>45</v>
      </c>
      <c r="M2110" t="s">
        <v>58</v>
      </c>
      <c r="N2110" t="s">
        <v>59</v>
      </c>
      <c r="O2110" t="s">
        <v>24</v>
      </c>
      <c r="P2110">
        <v>3</v>
      </c>
      <c r="Q2110" s="2">
        <f>Ventas[[#This Row],[precio_base]]*Ventas[[#This Row],[cantidad]]</f>
        <v>4799.96</v>
      </c>
      <c r="R2110" s="2">
        <f>Ventas[[#This Row],[Total bruto (antes de descuento)]]-Ventas[[#This Row],[total_venta]]</f>
        <v>0</v>
      </c>
    </row>
    <row r="2111" spans="1:18" x14ac:dyDescent="0.25">
      <c r="A2111" t="s">
        <v>2204</v>
      </c>
      <c r="B2111" s="1">
        <v>45609</v>
      </c>
      <c r="C2111" t="s">
        <v>26</v>
      </c>
      <c r="D2111" t="s">
        <v>27</v>
      </c>
      <c r="E2111">
        <v>1</v>
      </c>
      <c r="F2111" s="2">
        <v>399.99</v>
      </c>
      <c r="G2111">
        <v>0</v>
      </c>
      <c r="H2111" s="2">
        <v>399.99</v>
      </c>
      <c r="I2111" s="2">
        <v>399.99</v>
      </c>
      <c r="J2111" t="s">
        <v>19</v>
      </c>
      <c r="K2111" t="s">
        <v>20</v>
      </c>
      <c r="L2111" t="s">
        <v>21</v>
      </c>
      <c r="M2111" t="s">
        <v>58</v>
      </c>
      <c r="N2111" t="s">
        <v>59</v>
      </c>
      <c r="O2111" t="s">
        <v>24</v>
      </c>
      <c r="P2111">
        <v>5</v>
      </c>
      <c r="Q2111" s="2">
        <f>Ventas[[#This Row],[precio_base]]*Ventas[[#This Row],[cantidad]]</f>
        <v>399.99</v>
      </c>
      <c r="R2111" s="2">
        <f>Ventas[[#This Row],[Total bruto (antes de descuento)]]-Ventas[[#This Row],[total_venta]]</f>
        <v>0</v>
      </c>
    </row>
    <row r="2112" spans="1:18" x14ac:dyDescent="0.25">
      <c r="A2112" t="s">
        <v>2205</v>
      </c>
      <c r="B2112" s="1">
        <v>45011</v>
      </c>
      <c r="C2112" t="s">
        <v>94</v>
      </c>
      <c r="D2112" t="s">
        <v>18</v>
      </c>
      <c r="E2112">
        <v>5</v>
      </c>
      <c r="F2112" s="2">
        <v>899.99</v>
      </c>
      <c r="G2112">
        <v>0</v>
      </c>
      <c r="H2112" s="2">
        <v>899.99</v>
      </c>
      <c r="I2112" s="2">
        <v>4499.95</v>
      </c>
      <c r="J2112" t="s">
        <v>62</v>
      </c>
      <c r="K2112" t="s">
        <v>52</v>
      </c>
      <c r="L2112" t="s">
        <v>32</v>
      </c>
      <c r="M2112" t="s">
        <v>22</v>
      </c>
      <c r="N2112" t="s">
        <v>23</v>
      </c>
      <c r="O2112" t="s">
        <v>24</v>
      </c>
      <c r="Q2112" s="2">
        <f>Ventas[[#This Row],[precio_base]]*Ventas[[#This Row],[cantidad]]</f>
        <v>4499.95</v>
      </c>
      <c r="R2112" s="2">
        <f>Ventas[[#This Row],[Total bruto (antes de descuento)]]-Ventas[[#This Row],[total_venta]]</f>
        <v>0</v>
      </c>
    </row>
    <row r="2113" spans="1:18" x14ac:dyDescent="0.25">
      <c r="A2113" t="s">
        <v>2206</v>
      </c>
      <c r="B2113" s="1">
        <v>45429</v>
      </c>
      <c r="C2113" t="s">
        <v>17</v>
      </c>
      <c r="D2113" t="s">
        <v>18</v>
      </c>
      <c r="E2113">
        <v>3</v>
      </c>
      <c r="F2113" s="2">
        <v>45.99</v>
      </c>
      <c r="G2113">
        <v>10</v>
      </c>
      <c r="H2113" s="2">
        <v>41.39</v>
      </c>
      <c r="I2113" s="2">
        <v>124.17</v>
      </c>
      <c r="J2113" t="s">
        <v>19</v>
      </c>
      <c r="K2113" t="s">
        <v>44</v>
      </c>
      <c r="L2113" t="s">
        <v>32</v>
      </c>
      <c r="M2113" t="s">
        <v>67</v>
      </c>
      <c r="N2113" t="s">
        <v>68</v>
      </c>
      <c r="O2113" t="s">
        <v>35</v>
      </c>
      <c r="P2113">
        <v>3</v>
      </c>
      <c r="Q2113" s="2">
        <f>Ventas[[#This Row],[precio_base]]*Ventas[[#This Row],[cantidad]]</f>
        <v>137.97</v>
      </c>
      <c r="R2113" s="2">
        <f>Ventas[[#This Row],[Total bruto (antes de descuento)]]-Ventas[[#This Row],[total_venta]]</f>
        <v>13.799999999999997</v>
      </c>
    </row>
    <row r="2114" spans="1:18" x14ac:dyDescent="0.25">
      <c r="A2114" t="s">
        <v>2207</v>
      </c>
      <c r="B2114" s="1">
        <v>45068</v>
      </c>
      <c r="C2114" t="s">
        <v>56</v>
      </c>
      <c r="D2114" t="s">
        <v>18</v>
      </c>
      <c r="E2114">
        <v>4</v>
      </c>
      <c r="F2114" s="2">
        <v>89.99</v>
      </c>
      <c r="G2114">
        <v>10</v>
      </c>
      <c r="H2114" s="2">
        <v>80.989999999999995</v>
      </c>
      <c r="I2114" s="2">
        <v>323.95999999999998</v>
      </c>
      <c r="J2114" t="s">
        <v>62</v>
      </c>
      <c r="K2114" t="s">
        <v>44</v>
      </c>
      <c r="L2114" t="s">
        <v>28</v>
      </c>
      <c r="M2114" t="s">
        <v>63</v>
      </c>
      <c r="N2114" t="s">
        <v>34</v>
      </c>
      <c r="O2114" t="s">
        <v>24</v>
      </c>
      <c r="Q2114" s="2">
        <f>Ventas[[#This Row],[precio_base]]*Ventas[[#This Row],[cantidad]]</f>
        <v>359.96</v>
      </c>
      <c r="R2114" s="2">
        <f>Ventas[[#This Row],[Total bruto (antes de descuento)]]-Ventas[[#This Row],[total_venta]]</f>
        <v>36</v>
      </c>
    </row>
    <row r="2115" spans="1:18" x14ac:dyDescent="0.25">
      <c r="A2115" t="s">
        <v>2208</v>
      </c>
      <c r="B2115" s="1">
        <v>45025</v>
      </c>
      <c r="C2115" t="s">
        <v>92</v>
      </c>
      <c r="D2115" t="s">
        <v>27</v>
      </c>
      <c r="E2115">
        <v>5</v>
      </c>
      <c r="F2115" s="2">
        <v>79.989999999999995</v>
      </c>
      <c r="G2115">
        <v>0</v>
      </c>
      <c r="H2115" s="2">
        <v>79.989999999999995</v>
      </c>
      <c r="I2115" s="2">
        <v>399.95</v>
      </c>
      <c r="J2115" t="s">
        <v>51</v>
      </c>
      <c r="K2115" t="s">
        <v>20</v>
      </c>
      <c r="L2115" t="s">
        <v>21</v>
      </c>
      <c r="M2115" t="s">
        <v>46</v>
      </c>
      <c r="N2115" t="s">
        <v>47</v>
      </c>
      <c r="O2115" t="s">
        <v>48</v>
      </c>
      <c r="Q2115" s="2">
        <f>Ventas[[#This Row],[precio_base]]*Ventas[[#This Row],[cantidad]]</f>
        <v>399.95</v>
      </c>
      <c r="R2115" s="2">
        <f>Ventas[[#This Row],[Total bruto (antes de descuento)]]-Ventas[[#This Row],[total_venta]]</f>
        <v>0</v>
      </c>
    </row>
    <row r="2116" spans="1:18" x14ac:dyDescent="0.25">
      <c r="A2116" t="s">
        <v>2209</v>
      </c>
      <c r="B2116" s="1">
        <v>45093</v>
      </c>
      <c r="C2116" t="s">
        <v>30</v>
      </c>
      <c r="D2116" t="s">
        <v>31</v>
      </c>
      <c r="E2116">
        <v>4</v>
      </c>
      <c r="F2116" s="2">
        <v>299.99</v>
      </c>
      <c r="G2116">
        <v>20</v>
      </c>
      <c r="H2116" s="2">
        <v>239.99</v>
      </c>
      <c r="I2116" s="2">
        <v>959.96</v>
      </c>
      <c r="J2116" t="s">
        <v>19</v>
      </c>
      <c r="K2116" t="s">
        <v>20</v>
      </c>
      <c r="L2116" t="s">
        <v>28</v>
      </c>
      <c r="M2116" t="s">
        <v>65</v>
      </c>
      <c r="N2116" t="s">
        <v>54</v>
      </c>
      <c r="O2116" t="s">
        <v>35</v>
      </c>
      <c r="P2116">
        <v>4</v>
      </c>
      <c r="Q2116" s="2">
        <f>Ventas[[#This Row],[precio_base]]*Ventas[[#This Row],[cantidad]]</f>
        <v>1199.96</v>
      </c>
      <c r="R2116" s="2">
        <f>Ventas[[#This Row],[Total bruto (antes de descuento)]]-Ventas[[#This Row],[total_venta]]</f>
        <v>240</v>
      </c>
    </row>
    <row r="2117" spans="1:18" x14ac:dyDescent="0.25">
      <c r="A2117" t="s">
        <v>2210</v>
      </c>
      <c r="B2117" s="1">
        <v>45355</v>
      </c>
      <c r="C2117" t="s">
        <v>70</v>
      </c>
      <c r="D2117" t="s">
        <v>31</v>
      </c>
      <c r="E2117">
        <v>2</v>
      </c>
      <c r="F2117" s="2">
        <v>59.99</v>
      </c>
      <c r="G2117">
        <v>20</v>
      </c>
      <c r="H2117" s="2">
        <v>47.99</v>
      </c>
      <c r="I2117" s="2">
        <v>95.98</v>
      </c>
      <c r="J2117" t="s">
        <v>116</v>
      </c>
      <c r="K2117" t="s">
        <v>44</v>
      </c>
      <c r="L2117" t="s">
        <v>21</v>
      </c>
      <c r="M2117" t="s">
        <v>58</v>
      </c>
      <c r="N2117" t="s">
        <v>59</v>
      </c>
      <c r="O2117" t="s">
        <v>24</v>
      </c>
      <c r="Q2117" s="2">
        <f>Ventas[[#This Row],[precio_base]]*Ventas[[#This Row],[cantidad]]</f>
        <v>119.98</v>
      </c>
      <c r="R2117" s="2">
        <f>Ventas[[#This Row],[Total bruto (antes de descuento)]]-Ventas[[#This Row],[total_venta]]</f>
        <v>24</v>
      </c>
    </row>
    <row r="2118" spans="1:18" x14ac:dyDescent="0.25">
      <c r="A2118" t="s">
        <v>2211</v>
      </c>
      <c r="B2118" s="1">
        <v>45399</v>
      </c>
      <c r="C2118" t="s">
        <v>78</v>
      </c>
      <c r="D2118" t="s">
        <v>18</v>
      </c>
      <c r="E2118">
        <v>2</v>
      </c>
      <c r="F2118" s="2">
        <v>349.99</v>
      </c>
      <c r="G2118">
        <v>0</v>
      </c>
      <c r="H2118" s="2">
        <v>349.99</v>
      </c>
      <c r="I2118" s="2">
        <v>699.98</v>
      </c>
      <c r="J2118" t="s">
        <v>19</v>
      </c>
      <c r="K2118" t="s">
        <v>52</v>
      </c>
      <c r="L2118" t="s">
        <v>21</v>
      </c>
      <c r="M2118" t="s">
        <v>33</v>
      </c>
      <c r="N2118" t="s">
        <v>34</v>
      </c>
      <c r="O2118" t="s">
        <v>35</v>
      </c>
      <c r="P2118">
        <v>4</v>
      </c>
      <c r="Q2118" s="2">
        <f>Ventas[[#This Row],[precio_base]]*Ventas[[#This Row],[cantidad]]</f>
        <v>699.98</v>
      </c>
      <c r="R2118" s="2">
        <f>Ventas[[#This Row],[Total bruto (antes de descuento)]]-Ventas[[#This Row],[total_venta]]</f>
        <v>0</v>
      </c>
    </row>
    <row r="2119" spans="1:18" x14ac:dyDescent="0.25">
      <c r="A2119" t="s">
        <v>2212</v>
      </c>
      <c r="B2119" s="1">
        <v>45056</v>
      </c>
      <c r="C2119" t="s">
        <v>78</v>
      </c>
      <c r="D2119" t="s">
        <v>18</v>
      </c>
      <c r="E2119">
        <v>1</v>
      </c>
      <c r="F2119" s="2">
        <v>349.99</v>
      </c>
      <c r="G2119">
        <v>0</v>
      </c>
      <c r="H2119" s="2">
        <v>349.99</v>
      </c>
      <c r="I2119" s="2">
        <v>349.99</v>
      </c>
      <c r="J2119" t="s">
        <v>51</v>
      </c>
      <c r="K2119" t="s">
        <v>20</v>
      </c>
      <c r="L2119" t="s">
        <v>21</v>
      </c>
      <c r="M2119" t="s">
        <v>84</v>
      </c>
      <c r="N2119" t="s">
        <v>85</v>
      </c>
      <c r="O2119" t="s">
        <v>35</v>
      </c>
      <c r="Q2119" s="2">
        <f>Ventas[[#This Row],[precio_base]]*Ventas[[#This Row],[cantidad]]</f>
        <v>349.99</v>
      </c>
      <c r="R2119" s="2">
        <f>Ventas[[#This Row],[Total bruto (antes de descuento)]]-Ventas[[#This Row],[total_venta]]</f>
        <v>0</v>
      </c>
    </row>
    <row r="2120" spans="1:18" x14ac:dyDescent="0.25">
      <c r="A2120" t="s">
        <v>2213</v>
      </c>
      <c r="B2120" s="1">
        <v>45420</v>
      </c>
      <c r="C2120" t="s">
        <v>37</v>
      </c>
      <c r="D2120" t="s">
        <v>38</v>
      </c>
      <c r="E2120">
        <v>4</v>
      </c>
      <c r="F2120" s="2">
        <v>34.99</v>
      </c>
      <c r="G2120">
        <v>0</v>
      </c>
      <c r="H2120" s="2">
        <v>34.99</v>
      </c>
      <c r="I2120" s="2">
        <v>139.96</v>
      </c>
      <c r="J2120" t="s">
        <v>90</v>
      </c>
      <c r="K2120" t="s">
        <v>52</v>
      </c>
      <c r="L2120" t="s">
        <v>45</v>
      </c>
      <c r="M2120" t="s">
        <v>73</v>
      </c>
      <c r="N2120" t="s">
        <v>74</v>
      </c>
      <c r="O2120" t="s">
        <v>35</v>
      </c>
      <c r="Q2120" s="2">
        <f>Ventas[[#This Row],[precio_base]]*Ventas[[#This Row],[cantidad]]</f>
        <v>139.96</v>
      </c>
      <c r="R2120" s="2">
        <f>Ventas[[#This Row],[Total bruto (antes de descuento)]]-Ventas[[#This Row],[total_venta]]</f>
        <v>0</v>
      </c>
    </row>
    <row r="2121" spans="1:18" x14ac:dyDescent="0.25">
      <c r="A2121" t="s">
        <v>2214</v>
      </c>
      <c r="B2121" s="1">
        <v>45528</v>
      </c>
      <c r="C2121" t="s">
        <v>83</v>
      </c>
      <c r="D2121" t="s">
        <v>38</v>
      </c>
      <c r="E2121">
        <v>2</v>
      </c>
      <c r="F2121" s="2">
        <v>49.99</v>
      </c>
      <c r="G2121">
        <v>5</v>
      </c>
      <c r="H2121" s="2">
        <v>47.49</v>
      </c>
      <c r="I2121" s="2">
        <v>94.98</v>
      </c>
      <c r="J2121" t="s">
        <v>51</v>
      </c>
      <c r="K2121" t="s">
        <v>20</v>
      </c>
      <c r="L2121" t="s">
        <v>21</v>
      </c>
      <c r="M2121" t="s">
        <v>123</v>
      </c>
      <c r="N2121" t="s">
        <v>124</v>
      </c>
      <c r="O2121" t="s">
        <v>24</v>
      </c>
      <c r="Q2121" s="2">
        <f>Ventas[[#This Row],[precio_base]]*Ventas[[#This Row],[cantidad]]</f>
        <v>99.98</v>
      </c>
      <c r="R2121" s="2">
        <f>Ventas[[#This Row],[Total bruto (antes de descuento)]]-Ventas[[#This Row],[total_venta]]</f>
        <v>5</v>
      </c>
    </row>
    <row r="2122" spans="1:18" x14ac:dyDescent="0.25">
      <c r="A2122" t="s">
        <v>2215</v>
      </c>
      <c r="B2122" s="1">
        <v>44994</v>
      </c>
      <c r="C2122" t="s">
        <v>94</v>
      </c>
      <c r="D2122" t="s">
        <v>18</v>
      </c>
      <c r="E2122">
        <v>1</v>
      </c>
      <c r="F2122" s="2">
        <v>899.99</v>
      </c>
      <c r="G2122">
        <v>20</v>
      </c>
      <c r="H2122" s="2">
        <v>719.99</v>
      </c>
      <c r="I2122" s="2">
        <v>719.99</v>
      </c>
      <c r="J2122" t="s">
        <v>62</v>
      </c>
      <c r="K2122" t="s">
        <v>20</v>
      </c>
      <c r="L2122" t="s">
        <v>32</v>
      </c>
      <c r="M2122" t="s">
        <v>58</v>
      </c>
      <c r="N2122" t="s">
        <v>59</v>
      </c>
      <c r="O2122" t="s">
        <v>24</v>
      </c>
      <c r="Q2122" s="2">
        <f>Ventas[[#This Row],[precio_base]]*Ventas[[#This Row],[cantidad]]</f>
        <v>899.99</v>
      </c>
      <c r="R2122" s="2">
        <f>Ventas[[#This Row],[Total bruto (antes de descuento)]]-Ventas[[#This Row],[total_venta]]</f>
        <v>180</v>
      </c>
    </row>
    <row r="2123" spans="1:18" x14ac:dyDescent="0.25">
      <c r="A2123" t="s">
        <v>2216</v>
      </c>
      <c r="B2123" s="1">
        <v>45401</v>
      </c>
      <c r="C2123" t="s">
        <v>81</v>
      </c>
      <c r="D2123" t="s">
        <v>31</v>
      </c>
      <c r="E2123">
        <v>4</v>
      </c>
      <c r="F2123" s="2">
        <v>189.99</v>
      </c>
      <c r="G2123">
        <v>20</v>
      </c>
      <c r="H2123" s="2">
        <v>151.99</v>
      </c>
      <c r="I2123" s="2">
        <v>607.96</v>
      </c>
      <c r="J2123" t="s">
        <v>51</v>
      </c>
      <c r="K2123" t="s">
        <v>20</v>
      </c>
      <c r="L2123" t="s">
        <v>32</v>
      </c>
      <c r="M2123" t="s">
        <v>123</v>
      </c>
      <c r="N2123" t="s">
        <v>124</v>
      </c>
      <c r="O2123" t="s">
        <v>24</v>
      </c>
      <c r="Q2123" s="2">
        <f>Ventas[[#This Row],[precio_base]]*Ventas[[#This Row],[cantidad]]</f>
        <v>759.96</v>
      </c>
      <c r="R2123" s="2">
        <f>Ventas[[#This Row],[Total bruto (antes de descuento)]]-Ventas[[#This Row],[total_venta]]</f>
        <v>152</v>
      </c>
    </row>
    <row r="2124" spans="1:18" x14ac:dyDescent="0.25">
      <c r="A2124" t="s">
        <v>2217</v>
      </c>
      <c r="B2124" s="1">
        <v>45651</v>
      </c>
      <c r="C2124" t="s">
        <v>37</v>
      </c>
      <c r="D2124" t="s">
        <v>38</v>
      </c>
      <c r="E2124">
        <v>3</v>
      </c>
      <c r="F2124" s="2">
        <v>34.99</v>
      </c>
      <c r="G2124">
        <v>20</v>
      </c>
      <c r="H2124" s="2">
        <v>27.99</v>
      </c>
      <c r="I2124" s="2">
        <v>83.97</v>
      </c>
      <c r="J2124" t="s">
        <v>19</v>
      </c>
      <c r="K2124" t="s">
        <v>20</v>
      </c>
      <c r="L2124" t="s">
        <v>32</v>
      </c>
      <c r="M2124" t="s">
        <v>84</v>
      </c>
      <c r="N2124" t="s">
        <v>85</v>
      </c>
      <c r="O2124" t="s">
        <v>35</v>
      </c>
      <c r="P2124">
        <v>2</v>
      </c>
      <c r="Q2124" s="2">
        <f>Ventas[[#This Row],[precio_base]]*Ventas[[#This Row],[cantidad]]</f>
        <v>104.97</v>
      </c>
      <c r="R2124" s="2">
        <f>Ventas[[#This Row],[Total bruto (antes de descuento)]]-Ventas[[#This Row],[total_venta]]</f>
        <v>21</v>
      </c>
    </row>
    <row r="2125" spans="1:18" x14ac:dyDescent="0.25">
      <c r="A2125" t="s">
        <v>2218</v>
      </c>
      <c r="B2125" s="1">
        <v>45183</v>
      </c>
      <c r="C2125" t="s">
        <v>37</v>
      </c>
      <c r="D2125" t="s">
        <v>38</v>
      </c>
      <c r="E2125">
        <v>1</v>
      </c>
      <c r="F2125" s="2">
        <v>34.99</v>
      </c>
      <c r="G2125">
        <v>5</v>
      </c>
      <c r="H2125" s="2">
        <v>33.24</v>
      </c>
      <c r="I2125" s="2">
        <v>33.24</v>
      </c>
      <c r="J2125" t="s">
        <v>62</v>
      </c>
      <c r="K2125" t="s">
        <v>20</v>
      </c>
      <c r="L2125" t="s">
        <v>32</v>
      </c>
      <c r="M2125" t="s">
        <v>123</v>
      </c>
      <c r="N2125" t="s">
        <v>124</v>
      </c>
      <c r="O2125" t="s">
        <v>24</v>
      </c>
      <c r="Q2125" s="2">
        <f>Ventas[[#This Row],[precio_base]]*Ventas[[#This Row],[cantidad]]</f>
        <v>34.99</v>
      </c>
      <c r="R2125" s="2">
        <f>Ventas[[#This Row],[Total bruto (antes de descuento)]]-Ventas[[#This Row],[total_venta]]</f>
        <v>1.75</v>
      </c>
    </row>
    <row r="2126" spans="1:18" x14ac:dyDescent="0.25">
      <c r="A2126" t="s">
        <v>2219</v>
      </c>
      <c r="B2126" s="1">
        <v>45172</v>
      </c>
      <c r="C2126" t="s">
        <v>87</v>
      </c>
      <c r="D2126" t="s">
        <v>27</v>
      </c>
      <c r="E2126">
        <v>5</v>
      </c>
      <c r="F2126" s="2">
        <v>249.99</v>
      </c>
      <c r="G2126">
        <v>5</v>
      </c>
      <c r="H2126" s="2">
        <v>237.49</v>
      </c>
      <c r="I2126" s="2">
        <v>1187.45</v>
      </c>
      <c r="J2126" t="s">
        <v>90</v>
      </c>
      <c r="K2126" t="s">
        <v>20</v>
      </c>
      <c r="L2126" t="s">
        <v>21</v>
      </c>
      <c r="M2126" t="s">
        <v>53</v>
      </c>
      <c r="N2126" t="s">
        <v>54</v>
      </c>
      <c r="O2126" t="s">
        <v>35</v>
      </c>
      <c r="Q2126" s="2">
        <f>Ventas[[#This Row],[precio_base]]*Ventas[[#This Row],[cantidad]]</f>
        <v>1249.95</v>
      </c>
      <c r="R2126" s="2">
        <f>Ventas[[#This Row],[Total bruto (antes de descuento)]]-Ventas[[#This Row],[total_venta]]</f>
        <v>62.5</v>
      </c>
    </row>
    <row r="2127" spans="1:18" x14ac:dyDescent="0.25">
      <c r="A2127" t="s">
        <v>2220</v>
      </c>
      <c r="B2127" s="1">
        <v>44966</v>
      </c>
      <c r="C2127" t="s">
        <v>98</v>
      </c>
      <c r="D2127" t="s">
        <v>31</v>
      </c>
      <c r="E2127">
        <v>1</v>
      </c>
      <c r="F2127" s="2">
        <v>99.99</v>
      </c>
      <c r="G2127">
        <v>15</v>
      </c>
      <c r="H2127" s="2">
        <v>84.99</v>
      </c>
      <c r="I2127" s="2">
        <v>84.99</v>
      </c>
      <c r="J2127" t="s">
        <v>19</v>
      </c>
      <c r="K2127" t="s">
        <v>52</v>
      </c>
      <c r="L2127" t="s">
        <v>45</v>
      </c>
      <c r="M2127" t="s">
        <v>123</v>
      </c>
      <c r="N2127" t="s">
        <v>124</v>
      </c>
      <c r="O2127" t="s">
        <v>24</v>
      </c>
      <c r="P2127">
        <v>1</v>
      </c>
      <c r="Q2127" s="2">
        <f>Ventas[[#This Row],[precio_base]]*Ventas[[#This Row],[cantidad]]</f>
        <v>99.99</v>
      </c>
      <c r="R2127" s="2">
        <f>Ventas[[#This Row],[Total bruto (antes de descuento)]]-Ventas[[#This Row],[total_venta]]</f>
        <v>15</v>
      </c>
    </row>
    <row r="2128" spans="1:18" x14ac:dyDescent="0.25">
      <c r="A2128" t="s">
        <v>2221</v>
      </c>
      <c r="B2128" s="1">
        <v>45034</v>
      </c>
      <c r="C2128" t="s">
        <v>92</v>
      </c>
      <c r="D2128" t="s">
        <v>27</v>
      </c>
      <c r="E2128">
        <v>5</v>
      </c>
      <c r="F2128" s="2">
        <v>79.989999999999995</v>
      </c>
      <c r="G2128">
        <v>0</v>
      </c>
      <c r="H2128" s="2">
        <v>79.989999999999995</v>
      </c>
      <c r="I2128" s="2">
        <v>399.95</v>
      </c>
      <c r="J2128" t="s">
        <v>19</v>
      </c>
      <c r="K2128" t="s">
        <v>44</v>
      </c>
      <c r="L2128" t="s">
        <v>32</v>
      </c>
      <c r="M2128" t="s">
        <v>123</v>
      </c>
      <c r="N2128" t="s">
        <v>124</v>
      </c>
      <c r="O2128" t="s">
        <v>24</v>
      </c>
      <c r="P2128">
        <v>5</v>
      </c>
      <c r="Q2128" s="2">
        <f>Ventas[[#This Row],[precio_base]]*Ventas[[#This Row],[cantidad]]</f>
        <v>399.95</v>
      </c>
      <c r="R2128" s="2">
        <f>Ventas[[#This Row],[Total bruto (antes de descuento)]]-Ventas[[#This Row],[total_venta]]</f>
        <v>0</v>
      </c>
    </row>
    <row r="2129" spans="1:18" x14ac:dyDescent="0.25">
      <c r="A2129" t="s">
        <v>2222</v>
      </c>
      <c r="B2129" s="1">
        <v>45207</v>
      </c>
      <c r="C2129" t="s">
        <v>87</v>
      </c>
      <c r="D2129" t="s">
        <v>27</v>
      </c>
      <c r="E2129">
        <v>4</v>
      </c>
      <c r="F2129" s="2">
        <v>249.99</v>
      </c>
      <c r="G2129">
        <v>10</v>
      </c>
      <c r="H2129" s="2">
        <v>224.99</v>
      </c>
      <c r="I2129" s="2">
        <v>899.96</v>
      </c>
      <c r="J2129" t="s">
        <v>116</v>
      </c>
      <c r="K2129" t="s">
        <v>52</v>
      </c>
      <c r="L2129" t="s">
        <v>21</v>
      </c>
      <c r="M2129" t="s">
        <v>33</v>
      </c>
      <c r="N2129" t="s">
        <v>34</v>
      </c>
      <c r="O2129" t="s">
        <v>35</v>
      </c>
      <c r="Q2129" s="2">
        <f>Ventas[[#This Row],[precio_base]]*Ventas[[#This Row],[cantidad]]</f>
        <v>999.96</v>
      </c>
      <c r="R2129" s="2">
        <f>Ventas[[#This Row],[Total bruto (antes de descuento)]]-Ventas[[#This Row],[total_venta]]</f>
        <v>100</v>
      </c>
    </row>
    <row r="2130" spans="1:18" x14ac:dyDescent="0.25">
      <c r="A2130" t="s">
        <v>2223</v>
      </c>
      <c r="B2130" s="1">
        <v>44967</v>
      </c>
      <c r="C2130" t="s">
        <v>151</v>
      </c>
      <c r="D2130" t="s">
        <v>27</v>
      </c>
      <c r="E2130">
        <v>5</v>
      </c>
      <c r="F2130" s="2">
        <v>599.99</v>
      </c>
      <c r="G2130">
        <v>10</v>
      </c>
      <c r="H2130" s="2">
        <v>539.99</v>
      </c>
      <c r="I2130" s="2">
        <v>2699.95</v>
      </c>
      <c r="J2130" t="s">
        <v>19</v>
      </c>
      <c r="K2130" t="s">
        <v>44</v>
      </c>
      <c r="L2130" t="s">
        <v>21</v>
      </c>
      <c r="M2130" t="s">
        <v>39</v>
      </c>
      <c r="N2130" t="s">
        <v>40</v>
      </c>
      <c r="O2130" t="s">
        <v>35</v>
      </c>
      <c r="P2130">
        <v>1</v>
      </c>
      <c r="Q2130" s="2">
        <f>Ventas[[#This Row],[precio_base]]*Ventas[[#This Row],[cantidad]]</f>
        <v>2999.95</v>
      </c>
      <c r="R2130" s="2">
        <f>Ventas[[#This Row],[Total bruto (antes de descuento)]]-Ventas[[#This Row],[total_venta]]</f>
        <v>300</v>
      </c>
    </row>
    <row r="2131" spans="1:18" x14ac:dyDescent="0.25">
      <c r="A2131" t="s">
        <v>2224</v>
      </c>
      <c r="B2131" s="1">
        <v>45344</v>
      </c>
      <c r="C2131" t="s">
        <v>26</v>
      </c>
      <c r="D2131" t="s">
        <v>27</v>
      </c>
      <c r="E2131">
        <v>1</v>
      </c>
      <c r="F2131" s="2">
        <v>399.99</v>
      </c>
      <c r="G2131">
        <v>5</v>
      </c>
      <c r="H2131" s="2">
        <v>379.99</v>
      </c>
      <c r="I2131" s="2">
        <v>379.99</v>
      </c>
      <c r="J2131" t="s">
        <v>62</v>
      </c>
      <c r="K2131" t="s">
        <v>52</v>
      </c>
      <c r="L2131" t="s">
        <v>152</v>
      </c>
      <c r="M2131" t="s">
        <v>120</v>
      </c>
      <c r="N2131" t="s">
        <v>23</v>
      </c>
      <c r="O2131" t="s">
        <v>24</v>
      </c>
      <c r="Q2131" s="2">
        <f>Ventas[[#This Row],[precio_base]]*Ventas[[#This Row],[cantidad]]</f>
        <v>399.99</v>
      </c>
      <c r="R2131" s="2">
        <f>Ventas[[#This Row],[Total bruto (antes de descuento)]]-Ventas[[#This Row],[total_venta]]</f>
        <v>20</v>
      </c>
    </row>
    <row r="2132" spans="1:18" x14ac:dyDescent="0.25">
      <c r="A2132" t="s">
        <v>2225</v>
      </c>
      <c r="B2132" s="1">
        <v>45550</v>
      </c>
      <c r="C2132" t="s">
        <v>26</v>
      </c>
      <c r="D2132" t="s">
        <v>27</v>
      </c>
      <c r="E2132">
        <v>2</v>
      </c>
      <c r="F2132" s="2">
        <v>399.99</v>
      </c>
      <c r="G2132">
        <v>0</v>
      </c>
      <c r="H2132" s="2">
        <v>399.99</v>
      </c>
      <c r="I2132" s="2">
        <v>799.98</v>
      </c>
      <c r="J2132" t="s">
        <v>62</v>
      </c>
      <c r="K2132" t="s">
        <v>20</v>
      </c>
      <c r="L2132" t="s">
        <v>21</v>
      </c>
      <c r="M2132" t="s">
        <v>22</v>
      </c>
      <c r="N2132" t="s">
        <v>23</v>
      </c>
      <c r="O2132" t="s">
        <v>24</v>
      </c>
      <c r="Q2132" s="2">
        <f>Ventas[[#This Row],[precio_base]]*Ventas[[#This Row],[cantidad]]</f>
        <v>799.98</v>
      </c>
      <c r="R2132" s="2">
        <f>Ventas[[#This Row],[Total bruto (antes de descuento)]]-Ventas[[#This Row],[total_venta]]</f>
        <v>0</v>
      </c>
    </row>
    <row r="2133" spans="1:18" x14ac:dyDescent="0.25">
      <c r="A2133" t="s">
        <v>2226</v>
      </c>
      <c r="B2133" s="1">
        <v>45594</v>
      </c>
      <c r="C2133" t="s">
        <v>42</v>
      </c>
      <c r="D2133" t="s">
        <v>43</v>
      </c>
      <c r="E2133">
        <v>1</v>
      </c>
      <c r="F2133" s="2">
        <v>349.99</v>
      </c>
      <c r="G2133">
        <v>20</v>
      </c>
      <c r="H2133" s="2">
        <v>279.99</v>
      </c>
      <c r="I2133" s="2">
        <v>279.99</v>
      </c>
      <c r="J2133" t="s">
        <v>19</v>
      </c>
      <c r="K2133" t="s">
        <v>44</v>
      </c>
      <c r="L2133" t="s">
        <v>45</v>
      </c>
      <c r="M2133" t="s">
        <v>53</v>
      </c>
      <c r="N2133" t="s">
        <v>54</v>
      </c>
      <c r="O2133" t="s">
        <v>35</v>
      </c>
      <c r="P2133">
        <v>1</v>
      </c>
      <c r="Q2133" s="2">
        <f>Ventas[[#This Row],[precio_base]]*Ventas[[#This Row],[cantidad]]</f>
        <v>349.99</v>
      </c>
      <c r="R2133" s="2">
        <f>Ventas[[#This Row],[Total bruto (antes de descuento)]]-Ventas[[#This Row],[total_venta]]</f>
        <v>70</v>
      </c>
    </row>
    <row r="2134" spans="1:18" x14ac:dyDescent="0.25">
      <c r="A2134" t="s">
        <v>2227</v>
      </c>
      <c r="B2134" s="1">
        <v>45470</v>
      </c>
      <c r="C2134" t="s">
        <v>163</v>
      </c>
      <c r="D2134" t="s">
        <v>18</v>
      </c>
      <c r="E2134">
        <v>1</v>
      </c>
      <c r="F2134" s="2">
        <v>499.99</v>
      </c>
      <c r="G2134">
        <v>0</v>
      </c>
      <c r="H2134" s="2">
        <v>499.99</v>
      </c>
      <c r="I2134" s="2">
        <v>499.99</v>
      </c>
      <c r="J2134" t="s">
        <v>90</v>
      </c>
      <c r="K2134" t="s">
        <v>20</v>
      </c>
      <c r="L2134" t="s">
        <v>21</v>
      </c>
      <c r="M2134" t="s">
        <v>101</v>
      </c>
      <c r="N2134" t="s">
        <v>102</v>
      </c>
      <c r="O2134" t="s">
        <v>35</v>
      </c>
      <c r="Q2134" s="2">
        <f>Ventas[[#This Row],[precio_base]]*Ventas[[#This Row],[cantidad]]</f>
        <v>499.99</v>
      </c>
      <c r="R2134" s="2">
        <f>Ventas[[#This Row],[Total bruto (antes de descuento)]]-Ventas[[#This Row],[total_venta]]</f>
        <v>0</v>
      </c>
    </row>
    <row r="2135" spans="1:18" x14ac:dyDescent="0.25">
      <c r="A2135" t="s">
        <v>2228</v>
      </c>
      <c r="B2135" s="1">
        <v>44975</v>
      </c>
      <c r="C2135" t="s">
        <v>56</v>
      </c>
      <c r="D2135" t="s">
        <v>18</v>
      </c>
      <c r="E2135">
        <v>3</v>
      </c>
      <c r="F2135" s="2">
        <v>89.99</v>
      </c>
      <c r="G2135">
        <v>10</v>
      </c>
      <c r="H2135" s="2">
        <v>80.989999999999995</v>
      </c>
      <c r="I2135" s="2">
        <v>242.97</v>
      </c>
      <c r="J2135" t="s">
        <v>62</v>
      </c>
      <c r="K2135" t="s">
        <v>52</v>
      </c>
      <c r="L2135" t="s">
        <v>21</v>
      </c>
      <c r="M2135" t="s">
        <v>65</v>
      </c>
      <c r="N2135" t="s">
        <v>54</v>
      </c>
      <c r="O2135" t="s">
        <v>35</v>
      </c>
      <c r="Q2135" s="2">
        <f>Ventas[[#This Row],[precio_base]]*Ventas[[#This Row],[cantidad]]</f>
        <v>269.96999999999997</v>
      </c>
      <c r="R2135" s="2">
        <f>Ventas[[#This Row],[Total bruto (antes de descuento)]]-Ventas[[#This Row],[total_venta]]</f>
        <v>26.999999999999972</v>
      </c>
    </row>
    <row r="2136" spans="1:18" x14ac:dyDescent="0.25">
      <c r="A2136" t="s">
        <v>2229</v>
      </c>
      <c r="B2136" s="1">
        <v>45582</v>
      </c>
      <c r="C2136" t="s">
        <v>70</v>
      </c>
      <c r="D2136" t="s">
        <v>31</v>
      </c>
      <c r="E2136">
        <v>3</v>
      </c>
      <c r="F2136" s="2">
        <v>59.99</v>
      </c>
      <c r="G2136">
        <v>20</v>
      </c>
      <c r="H2136" s="2">
        <v>47.99</v>
      </c>
      <c r="I2136" s="2">
        <v>143.97</v>
      </c>
      <c r="J2136" t="s">
        <v>51</v>
      </c>
      <c r="K2136" t="s">
        <v>44</v>
      </c>
      <c r="L2136" t="s">
        <v>45</v>
      </c>
      <c r="M2136" t="s">
        <v>46</v>
      </c>
      <c r="N2136" t="s">
        <v>47</v>
      </c>
      <c r="O2136" t="s">
        <v>48</v>
      </c>
      <c r="Q2136" s="2">
        <f>Ventas[[#This Row],[precio_base]]*Ventas[[#This Row],[cantidad]]</f>
        <v>179.97</v>
      </c>
      <c r="R2136" s="2">
        <f>Ventas[[#This Row],[Total bruto (antes de descuento)]]-Ventas[[#This Row],[total_venta]]</f>
        <v>36</v>
      </c>
    </row>
    <row r="2137" spans="1:18" x14ac:dyDescent="0.25">
      <c r="A2137" t="s">
        <v>2230</v>
      </c>
      <c r="B2137" s="1">
        <v>45473</v>
      </c>
      <c r="C2137" t="s">
        <v>81</v>
      </c>
      <c r="D2137" t="s">
        <v>31</v>
      </c>
      <c r="E2137">
        <v>5</v>
      </c>
      <c r="F2137" s="2">
        <v>189.99</v>
      </c>
      <c r="G2137">
        <v>0</v>
      </c>
      <c r="H2137" s="2">
        <v>189.99</v>
      </c>
      <c r="I2137" s="2">
        <v>949.95</v>
      </c>
      <c r="J2137" t="s">
        <v>51</v>
      </c>
      <c r="K2137" t="s">
        <v>20</v>
      </c>
      <c r="L2137" t="s">
        <v>152</v>
      </c>
      <c r="M2137" t="s">
        <v>67</v>
      </c>
      <c r="N2137" t="s">
        <v>68</v>
      </c>
      <c r="O2137" t="s">
        <v>35</v>
      </c>
      <c r="Q2137" s="2">
        <f>Ventas[[#This Row],[precio_base]]*Ventas[[#This Row],[cantidad]]</f>
        <v>949.95</v>
      </c>
      <c r="R2137" s="2">
        <f>Ventas[[#This Row],[Total bruto (antes de descuento)]]-Ventas[[#This Row],[total_venta]]</f>
        <v>0</v>
      </c>
    </row>
    <row r="2138" spans="1:18" x14ac:dyDescent="0.25">
      <c r="A2138" t="s">
        <v>2231</v>
      </c>
      <c r="B2138" s="1">
        <v>45501</v>
      </c>
      <c r="C2138" t="s">
        <v>76</v>
      </c>
      <c r="D2138" t="s">
        <v>31</v>
      </c>
      <c r="E2138">
        <v>3</v>
      </c>
      <c r="F2138" s="2">
        <v>69.989999999999995</v>
      </c>
      <c r="G2138">
        <v>0</v>
      </c>
      <c r="H2138" s="2">
        <v>69.989999999999995</v>
      </c>
      <c r="I2138" s="2">
        <v>209.97</v>
      </c>
      <c r="J2138" t="s">
        <v>19</v>
      </c>
      <c r="K2138" t="s">
        <v>20</v>
      </c>
      <c r="L2138" t="s">
        <v>45</v>
      </c>
      <c r="M2138" t="s">
        <v>22</v>
      </c>
      <c r="N2138" t="s">
        <v>23</v>
      </c>
      <c r="O2138" t="s">
        <v>24</v>
      </c>
      <c r="P2138">
        <v>3</v>
      </c>
      <c r="Q2138" s="2">
        <f>Ventas[[#This Row],[precio_base]]*Ventas[[#This Row],[cantidad]]</f>
        <v>209.96999999999997</v>
      </c>
      <c r="R2138" s="2">
        <f>Ventas[[#This Row],[Total bruto (antes de descuento)]]-Ventas[[#This Row],[total_venta]]</f>
        <v>0</v>
      </c>
    </row>
    <row r="2139" spans="1:18" x14ac:dyDescent="0.25">
      <c r="A2139" t="s">
        <v>2232</v>
      </c>
      <c r="B2139" s="1">
        <v>45589</v>
      </c>
      <c r="C2139" t="s">
        <v>163</v>
      </c>
      <c r="D2139" t="s">
        <v>18</v>
      </c>
      <c r="E2139">
        <v>4</v>
      </c>
      <c r="F2139" s="2">
        <v>499.99</v>
      </c>
      <c r="G2139">
        <v>0</v>
      </c>
      <c r="H2139" s="2">
        <v>499.99</v>
      </c>
      <c r="I2139" s="2">
        <v>1999.96</v>
      </c>
      <c r="J2139" t="s">
        <v>19</v>
      </c>
      <c r="K2139" t="s">
        <v>44</v>
      </c>
      <c r="L2139" t="s">
        <v>21</v>
      </c>
      <c r="M2139" t="s">
        <v>53</v>
      </c>
      <c r="N2139" t="s">
        <v>54</v>
      </c>
      <c r="O2139" t="s">
        <v>35</v>
      </c>
      <c r="P2139">
        <v>3</v>
      </c>
      <c r="Q2139" s="2">
        <f>Ventas[[#This Row],[precio_base]]*Ventas[[#This Row],[cantidad]]</f>
        <v>1999.96</v>
      </c>
      <c r="R2139" s="2">
        <f>Ventas[[#This Row],[Total bruto (antes de descuento)]]-Ventas[[#This Row],[total_venta]]</f>
        <v>0</v>
      </c>
    </row>
    <row r="2140" spans="1:18" x14ac:dyDescent="0.25">
      <c r="A2140" t="s">
        <v>2233</v>
      </c>
      <c r="B2140" s="1">
        <v>45614</v>
      </c>
      <c r="C2140" t="s">
        <v>61</v>
      </c>
      <c r="D2140" t="s">
        <v>38</v>
      </c>
      <c r="E2140">
        <v>4</v>
      </c>
      <c r="F2140" s="2">
        <v>19.989999999999998</v>
      </c>
      <c r="G2140">
        <v>0</v>
      </c>
      <c r="H2140" s="2">
        <v>19.989999999999998</v>
      </c>
      <c r="I2140" s="2">
        <v>79.959999999999994</v>
      </c>
      <c r="J2140" t="s">
        <v>90</v>
      </c>
      <c r="K2140" t="s">
        <v>44</v>
      </c>
      <c r="L2140" t="s">
        <v>45</v>
      </c>
      <c r="M2140" t="s">
        <v>22</v>
      </c>
      <c r="N2140" t="s">
        <v>23</v>
      </c>
      <c r="O2140" t="s">
        <v>24</v>
      </c>
      <c r="Q2140" s="2">
        <f>Ventas[[#This Row],[precio_base]]*Ventas[[#This Row],[cantidad]]</f>
        <v>79.959999999999994</v>
      </c>
      <c r="R2140" s="2">
        <f>Ventas[[#This Row],[Total bruto (antes de descuento)]]-Ventas[[#This Row],[total_venta]]</f>
        <v>0</v>
      </c>
    </row>
    <row r="2141" spans="1:18" x14ac:dyDescent="0.25">
      <c r="A2141" t="s">
        <v>2234</v>
      </c>
      <c r="B2141" s="1">
        <v>45222</v>
      </c>
      <c r="C2141" t="s">
        <v>83</v>
      </c>
      <c r="D2141" t="s">
        <v>38</v>
      </c>
      <c r="E2141">
        <v>5</v>
      </c>
      <c r="F2141" s="2">
        <v>49.99</v>
      </c>
      <c r="G2141">
        <v>15</v>
      </c>
      <c r="H2141" s="2">
        <v>42.49</v>
      </c>
      <c r="I2141" s="2">
        <v>212.45</v>
      </c>
      <c r="J2141" t="s">
        <v>19</v>
      </c>
      <c r="K2141" t="s">
        <v>20</v>
      </c>
      <c r="L2141" t="s">
        <v>21</v>
      </c>
      <c r="M2141" t="s">
        <v>95</v>
      </c>
      <c r="N2141" t="s">
        <v>96</v>
      </c>
      <c r="O2141" t="s">
        <v>48</v>
      </c>
      <c r="P2141">
        <v>1</v>
      </c>
      <c r="Q2141" s="2">
        <f>Ventas[[#This Row],[precio_base]]*Ventas[[#This Row],[cantidad]]</f>
        <v>249.95000000000002</v>
      </c>
      <c r="R2141" s="2">
        <f>Ventas[[#This Row],[Total bruto (antes de descuento)]]-Ventas[[#This Row],[total_venta]]</f>
        <v>37.500000000000028</v>
      </c>
    </row>
    <row r="2142" spans="1:18" x14ac:dyDescent="0.25">
      <c r="A2142" t="s">
        <v>2235</v>
      </c>
      <c r="B2142" s="1">
        <v>44930</v>
      </c>
      <c r="C2142" t="s">
        <v>163</v>
      </c>
      <c r="D2142" t="s">
        <v>18</v>
      </c>
      <c r="E2142">
        <v>1</v>
      </c>
      <c r="F2142" s="2">
        <v>499.99</v>
      </c>
      <c r="G2142">
        <v>20</v>
      </c>
      <c r="H2142" s="2">
        <v>399.99</v>
      </c>
      <c r="I2142" s="2">
        <v>399.99</v>
      </c>
      <c r="J2142" t="s">
        <v>51</v>
      </c>
      <c r="K2142" t="s">
        <v>52</v>
      </c>
      <c r="L2142" t="s">
        <v>152</v>
      </c>
      <c r="M2142" t="s">
        <v>39</v>
      </c>
      <c r="N2142" t="s">
        <v>40</v>
      </c>
      <c r="O2142" t="s">
        <v>35</v>
      </c>
      <c r="Q2142" s="2">
        <f>Ventas[[#This Row],[precio_base]]*Ventas[[#This Row],[cantidad]]</f>
        <v>499.99</v>
      </c>
      <c r="R2142" s="2">
        <f>Ventas[[#This Row],[Total bruto (antes de descuento)]]-Ventas[[#This Row],[total_venta]]</f>
        <v>100</v>
      </c>
    </row>
    <row r="2143" spans="1:18" x14ac:dyDescent="0.25">
      <c r="A2143" t="s">
        <v>2236</v>
      </c>
      <c r="B2143" s="1">
        <v>45043</v>
      </c>
      <c r="C2143" t="s">
        <v>98</v>
      </c>
      <c r="D2143" t="s">
        <v>31</v>
      </c>
      <c r="E2143">
        <v>4</v>
      </c>
      <c r="F2143" s="2">
        <v>99.99</v>
      </c>
      <c r="G2143">
        <v>0</v>
      </c>
      <c r="H2143" s="2">
        <v>99.99</v>
      </c>
      <c r="I2143" s="2">
        <v>399.96</v>
      </c>
      <c r="J2143" t="s">
        <v>19</v>
      </c>
      <c r="K2143" t="s">
        <v>52</v>
      </c>
      <c r="L2143" t="s">
        <v>45</v>
      </c>
      <c r="M2143" t="s">
        <v>39</v>
      </c>
      <c r="N2143" t="s">
        <v>40</v>
      </c>
      <c r="O2143" t="s">
        <v>35</v>
      </c>
      <c r="P2143">
        <v>5</v>
      </c>
      <c r="Q2143" s="2">
        <f>Ventas[[#This Row],[precio_base]]*Ventas[[#This Row],[cantidad]]</f>
        <v>399.96</v>
      </c>
      <c r="R2143" s="2">
        <f>Ventas[[#This Row],[Total bruto (antes de descuento)]]-Ventas[[#This Row],[total_venta]]</f>
        <v>0</v>
      </c>
    </row>
    <row r="2144" spans="1:18" x14ac:dyDescent="0.25">
      <c r="A2144" t="s">
        <v>2237</v>
      </c>
      <c r="B2144" s="1">
        <v>45052</v>
      </c>
      <c r="C2144" t="s">
        <v>92</v>
      </c>
      <c r="D2144" t="s">
        <v>27</v>
      </c>
      <c r="E2144">
        <v>5</v>
      </c>
      <c r="F2144" s="2">
        <v>79.989999999999995</v>
      </c>
      <c r="G2144">
        <v>0</v>
      </c>
      <c r="H2144" s="2">
        <v>79.989999999999995</v>
      </c>
      <c r="I2144" s="2">
        <v>399.95</v>
      </c>
      <c r="J2144" t="s">
        <v>51</v>
      </c>
      <c r="K2144" t="s">
        <v>52</v>
      </c>
      <c r="L2144" t="s">
        <v>45</v>
      </c>
      <c r="M2144" t="s">
        <v>123</v>
      </c>
      <c r="N2144" t="s">
        <v>124</v>
      </c>
      <c r="O2144" t="s">
        <v>24</v>
      </c>
      <c r="Q2144" s="2">
        <f>Ventas[[#This Row],[precio_base]]*Ventas[[#This Row],[cantidad]]</f>
        <v>399.95</v>
      </c>
      <c r="R2144" s="2">
        <f>Ventas[[#This Row],[Total bruto (antes de descuento)]]-Ventas[[#This Row],[total_venta]]</f>
        <v>0</v>
      </c>
    </row>
    <row r="2145" spans="1:18" x14ac:dyDescent="0.25">
      <c r="A2145" t="s">
        <v>2238</v>
      </c>
      <c r="B2145" s="1">
        <v>45324</v>
      </c>
      <c r="C2145" t="s">
        <v>70</v>
      </c>
      <c r="D2145" t="s">
        <v>31</v>
      </c>
      <c r="E2145">
        <v>2</v>
      </c>
      <c r="F2145" s="2">
        <v>59.99</v>
      </c>
      <c r="G2145">
        <v>10</v>
      </c>
      <c r="H2145" s="2">
        <v>53.99</v>
      </c>
      <c r="I2145" s="2">
        <v>107.98</v>
      </c>
      <c r="J2145" t="s">
        <v>90</v>
      </c>
      <c r="K2145" t="s">
        <v>20</v>
      </c>
      <c r="L2145" t="s">
        <v>152</v>
      </c>
      <c r="M2145" t="s">
        <v>84</v>
      </c>
      <c r="N2145" t="s">
        <v>85</v>
      </c>
      <c r="O2145" t="s">
        <v>35</v>
      </c>
      <c r="Q2145" s="2">
        <f>Ventas[[#This Row],[precio_base]]*Ventas[[#This Row],[cantidad]]</f>
        <v>119.98</v>
      </c>
      <c r="R2145" s="2">
        <f>Ventas[[#This Row],[Total bruto (antes de descuento)]]-Ventas[[#This Row],[total_venta]]</f>
        <v>12</v>
      </c>
    </row>
    <row r="2146" spans="1:18" x14ac:dyDescent="0.25">
      <c r="A2146" t="s">
        <v>2239</v>
      </c>
      <c r="B2146" s="1">
        <v>45015</v>
      </c>
      <c r="C2146" t="s">
        <v>56</v>
      </c>
      <c r="D2146" t="s">
        <v>18</v>
      </c>
      <c r="E2146">
        <v>2</v>
      </c>
      <c r="F2146" s="2">
        <v>89.99</v>
      </c>
      <c r="G2146">
        <v>0</v>
      </c>
      <c r="H2146" s="2">
        <v>89.99</v>
      </c>
      <c r="I2146" s="2">
        <v>179.98</v>
      </c>
      <c r="J2146" t="s">
        <v>19</v>
      </c>
      <c r="K2146" t="s">
        <v>52</v>
      </c>
      <c r="L2146" t="s">
        <v>45</v>
      </c>
      <c r="M2146" t="s">
        <v>65</v>
      </c>
      <c r="N2146" t="s">
        <v>54</v>
      </c>
      <c r="O2146" t="s">
        <v>35</v>
      </c>
      <c r="P2146">
        <v>4</v>
      </c>
      <c r="Q2146" s="2">
        <f>Ventas[[#This Row],[precio_base]]*Ventas[[#This Row],[cantidad]]</f>
        <v>179.98</v>
      </c>
      <c r="R2146" s="2">
        <f>Ventas[[#This Row],[Total bruto (antes de descuento)]]-Ventas[[#This Row],[total_venta]]</f>
        <v>0</v>
      </c>
    </row>
    <row r="2147" spans="1:18" x14ac:dyDescent="0.25">
      <c r="A2147" t="s">
        <v>2240</v>
      </c>
      <c r="B2147" s="1">
        <v>45573</v>
      </c>
      <c r="C2147" t="s">
        <v>89</v>
      </c>
      <c r="D2147" t="s">
        <v>38</v>
      </c>
      <c r="E2147">
        <v>1</v>
      </c>
      <c r="F2147" s="2">
        <v>69.989999999999995</v>
      </c>
      <c r="G2147">
        <v>0</v>
      </c>
      <c r="H2147" s="2">
        <v>69.989999999999995</v>
      </c>
      <c r="I2147" s="2">
        <v>69.989999999999995</v>
      </c>
      <c r="J2147" t="s">
        <v>62</v>
      </c>
      <c r="K2147" t="s">
        <v>52</v>
      </c>
      <c r="L2147" t="s">
        <v>21</v>
      </c>
      <c r="M2147" t="s">
        <v>39</v>
      </c>
      <c r="N2147" t="s">
        <v>40</v>
      </c>
      <c r="O2147" t="s">
        <v>35</v>
      </c>
      <c r="Q2147" s="2">
        <f>Ventas[[#This Row],[precio_base]]*Ventas[[#This Row],[cantidad]]</f>
        <v>69.989999999999995</v>
      </c>
      <c r="R2147" s="2">
        <f>Ventas[[#This Row],[Total bruto (antes de descuento)]]-Ventas[[#This Row],[total_venta]]</f>
        <v>0</v>
      </c>
    </row>
    <row r="2148" spans="1:18" x14ac:dyDescent="0.25">
      <c r="A2148" t="s">
        <v>2241</v>
      </c>
      <c r="B2148" s="1">
        <v>45451</v>
      </c>
      <c r="C2148" t="s">
        <v>98</v>
      </c>
      <c r="D2148" t="s">
        <v>31</v>
      </c>
      <c r="E2148">
        <v>4</v>
      </c>
      <c r="F2148" s="2">
        <v>99.99</v>
      </c>
      <c r="G2148">
        <v>0</v>
      </c>
      <c r="H2148" s="2">
        <v>99.99</v>
      </c>
      <c r="I2148" s="2">
        <v>399.96</v>
      </c>
      <c r="J2148" t="s">
        <v>19</v>
      </c>
      <c r="K2148" t="s">
        <v>44</v>
      </c>
      <c r="L2148" t="s">
        <v>28</v>
      </c>
      <c r="M2148" t="s">
        <v>33</v>
      </c>
      <c r="N2148" t="s">
        <v>34</v>
      </c>
      <c r="O2148" t="s">
        <v>35</v>
      </c>
      <c r="P2148">
        <v>1</v>
      </c>
      <c r="Q2148" s="2">
        <f>Ventas[[#This Row],[precio_base]]*Ventas[[#This Row],[cantidad]]</f>
        <v>399.96</v>
      </c>
      <c r="R2148" s="2">
        <f>Ventas[[#This Row],[Total bruto (antes de descuento)]]-Ventas[[#This Row],[total_venta]]</f>
        <v>0</v>
      </c>
    </row>
    <row r="2149" spans="1:18" x14ac:dyDescent="0.25">
      <c r="A2149" t="s">
        <v>2242</v>
      </c>
      <c r="B2149" s="1">
        <v>45159</v>
      </c>
      <c r="C2149" t="s">
        <v>143</v>
      </c>
      <c r="D2149" t="s">
        <v>43</v>
      </c>
      <c r="E2149">
        <v>4</v>
      </c>
      <c r="F2149" s="2">
        <v>34.99</v>
      </c>
      <c r="G2149">
        <v>10</v>
      </c>
      <c r="H2149" s="2">
        <v>31.49</v>
      </c>
      <c r="I2149" s="2">
        <v>125.96</v>
      </c>
      <c r="J2149" t="s">
        <v>51</v>
      </c>
      <c r="K2149" t="s">
        <v>20</v>
      </c>
      <c r="L2149" t="s">
        <v>45</v>
      </c>
      <c r="M2149" t="s">
        <v>120</v>
      </c>
      <c r="N2149" t="s">
        <v>23</v>
      </c>
      <c r="O2149" t="s">
        <v>24</v>
      </c>
      <c r="Q2149" s="2">
        <f>Ventas[[#This Row],[precio_base]]*Ventas[[#This Row],[cantidad]]</f>
        <v>139.96</v>
      </c>
      <c r="R2149" s="2">
        <f>Ventas[[#This Row],[Total bruto (antes de descuento)]]-Ventas[[#This Row],[total_venta]]</f>
        <v>14.000000000000014</v>
      </c>
    </row>
    <row r="2150" spans="1:18" x14ac:dyDescent="0.25">
      <c r="A2150" t="s">
        <v>2243</v>
      </c>
      <c r="B2150" s="1">
        <v>44969</v>
      </c>
      <c r="C2150" t="s">
        <v>94</v>
      </c>
      <c r="D2150" t="s">
        <v>18</v>
      </c>
      <c r="E2150">
        <v>4</v>
      </c>
      <c r="F2150" s="2">
        <v>899.99</v>
      </c>
      <c r="G2150">
        <v>0</v>
      </c>
      <c r="H2150" s="2">
        <v>899.99</v>
      </c>
      <c r="I2150" s="2">
        <v>3599.96</v>
      </c>
      <c r="J2150" t="s">
        <v>19</v>
      </c>
      <c r="K2150" t="s">
        <v>20</v>
      </c>
      <c r="L2150" t="s">
        <v>28</v>
      </c>
      <c r="M2150" t="s">
        <v>123</v>
      </c>
      <c r="N2150" t="s">
        <v>124</v>
      </c>
      <c r="O2150" t="s">
        <v>24</v>
      </c>
      <c r="P2150">
        <v>3</v>
      </c>
      <c r="Q2150" s="2">
        <f>Ventas[[#This Row],[precio_base]]*Ventas[[#This Row],[cantidad]]</f>
        <v>3599.96</v>
      </c>
      <c r="R2150" s="2">
        <f>Ventas[[#This Row],[Total bruto (antes de descuento)]]-Ventas[[#This Row],[total_venta]]</f>
        <v>0</v>
      </c>
    </row>
    <row r="2151" spans="1:18" x14ac:dyDescent="0.25">
      <c r="A2151" t="s">
        <v>2244</v>
      </c>
      <c r="B2151" s="1">
        <v>45591</v>
      </c>
      <c r="C2151" t="s">
        <v>141</v>
      </c>
      <c r="D2151" t="s">
        <v>38</v>
      </c>
      <c r="E2151">
        <v>4</v>
      </c>
      <c r="F2151" s="2">
        <v>89.99</v>
      </c>
      <c r="G2151">
        <v>15</v>
      </c>
      <c r="H2151" s="2">
        <v>76.489999999999995</v>
      </c>
      <c r="I2151" s="2">
        <v>305.95999999999998</v>
      </c>
      <c r="J2151" t="s">
        <v>62</v>
      </c>
      <c r="K2151" t="s">
        <v>52</v>
      </c>
      <c r="L2151" t="s">
        <v>21</v>
      </c>
      <c r="M2151" t="s">
        <v>123</v>
      </c>
      <c r="N2151" t="s">
        <v>124</v>
      </c>
      <c r="O2151" t="s">
        <v>24</v>
      </c>
      <c r="Q2151" s="2">
        <f>Ventas[[#This Row],[precio_base]]*Ventas[[#This Row],[cantidad]]</f>
        <v>359.96</v>
      </c>
      <c r="R2151" s="2">
        <f>Ventas[[#This Row],[Total bruto (antes de descuento)]]-Ventas[[#This Row],[total_venta]]</f>
        <v>54</v>
      </c>
    </row>
    <row r="2152" spans="1:18" x14ac:dyDescent="0.25">
      <c r="A2152" t="s">
        <v>2245</v>
      </c>
      <c r="B2152" s="1">
        <v>45025</v>
      </c>
      <c r="C2152" t="s">
        <v>156</v>
      </c>
      <c r="D2152" t="s">
        <v>27</v>
      </c>
      <c r="E2152">
        <v>5</v>
      </c>
      <c r="F2152" s="2">
        <v>49.99</v>
      </c>
      <c r="G2152">
        <v>10</v>
      </c>
      <c r="H2152" s="2">
        <v>44.99</v>
      </c>
      <c r="I2152" s="2">
        <v>224.95</v>
      </c>
      <c r="J2152" t="s">
        <v>51</v>
      </c>
      <c r="K2152" t="s">
        <v>20</v>
      </c>
      <c r="L2152" t="s">
        <v>45</v>
      </c>
      <c r="M2152" t="s">
        <v>33</v>
      </c>
      <c r="N2152" t="s">
        <v>34</v>
      </c>
      <c r="O2152" t="s">
        <v>35</v>
      </c>
      <c r="Q2152" s="2">
        <f>Ventas[[#This Row],[precio_base]]*Ventas[[#This Row],[cantidad]]</f>
        <v>249.95000000000002</v>
      </c>
      <c r="R2152" s="2">
        <f>Ventas[[#This Row],[Total bruto (antes de descuento)]]-Ventas[[#This Row],[total_venta]]</f>
        <v>25.000000000000028</v>
      </c>
    </row>
    <row r="2153" spans="1:18" x14ac:dyDescent="0.25">
      <c r="A2153" t="s">
        <v>2246</v>
      </c>
      <c r="B2153" s="1">
        <v>45491</v>
      </c>
      <c r="C2153" t="s">
        <v>76</v>
      </c>
      <c r="D2153" t="s">
        <v>31</v>
      </c>
      <c r="E2153">
        <v>3</v>
      </c>
      <c r="F2153" s="2">
        <v>69.989999999999995</v>
      </c>
      <c r="G2153">
        <v>0</v>
      </c>
      <c r="H2153" s="2">
        <v>69.989999999999995</v>
      </c>
      <c r="I2153" s="2">
        <v>209.97</v>
      </c>
      <c r="J2153" t="s">
        <v>51</v>
      </c>
      <c r="K2153" t="s">
        <v>52</v>
      </c>
      <c r="L2153" t="s">
        <v>28</v>
      </c>
      <c r="M2153" t="s">
        <v>46</v>
      </c>
      <c r="N2153" t="s">
        <v>47</v>
      </c>
      <c r="O2153" t="s">
        <v>48</v>
      </c>
      <c r="Q2153" s="2">
        <f>Ventas[[#This Row],[precio_base]]*Ventas[[#This Row],[cantidad]]</f>
        <v>209.96999999999997</v>
      </c>
      <c r="R2153" s="2">
        <f>Ventas[[#This Row],[Total bruto (antes de descuento)]]-Ventas[[#This Row],[total_venta]]</f>
        <v>0</v>
      </c>
    </row>
    <row r="2154" spans="1:18" x14ac:dyDescent="0.25">
      <c r="A2154" t="s">
        <v>2247</v>
      </c>
      <c r="B2154" s="1">
        <v>45178</v>
      </c>
      <c r="C2154" t="s">
        <v>83</v>
      </c>
      <c r="D2154" t="s">
        <v>38</v>
      </c>
      <c r="E2154">
        <v>5</v>
      </c>
      <c r="F2154" s="2">
        <v>49.99</v>
      </c>
      <c r="G2154">
        <v>20</v>
      </c>
      <c r="H2154" s="2">
        <v>39.99</v>
      </c>
      <c r="I2154" s="2">
        <v>199.95</v>
      </c>
      <c r="J2154" t="s">
        <v>19</v>
      </c>
      <c r="K2154" t="s">
        <v>52</v>
      </c>
      <c r="L2154" t="s">
        <v>21</v>
      </c>
      <c r="M2154" t="s">
        <v>46</v>
      </c>
      <c r="N2154" t="s">
        <v>47</v>
      </c>
      <c r="O2154" t="s">
        <v>48</v>
      </c>
      <c r="P2154">
        <v>3</v>
      </c>
      <c r="Q2154" s="2">
        <f>Ventas[[#This Row],[precio_base]]*Ventas[[#This Row],[cantidad]]</f>
        <v>249.95000000000002</v>
      </c>
      <c r="R2154" s="2">
        <f>Ventas[[#This Row],[Total bruto (antes de descuento)]]-Ventas[[#This Row],[total_venta]]</f>
        <v>50.000000000000028</v>
      </c>
    </row>
    <row r="2155" spans="1:18" x14ac:dyDescent="0.25">
      <c r="A2155" t="s">
        <v>2248</v>
      </c>
      <c r="B2155" s="1">
        <v>45607</v>
      </c>
      <c r="C2155" t="s">
        <v>78</v>
      </c>
      <c r="D2155" t="s">
        <v>18</v>
      </c>
      <c r="E2155">
        <v>3</v>
      </c>
      <c r="F2155" s="2">
        <v>349.99</v>
      </c>
      <c r="G2155">
        <v>20</v>
      </c>
      <c r="H2155" s="2">
        <v>279.99</v>
      </c>
      <c r="I2155" s="2">
        <v>839.97</v>
      </c>
      <c r="J2155" t="s">
        <v>19</v>
      </c>
      <c r="K2155" t="s">
        <v>20</v>
      </c>
      <c r="L2155" t="s">
        <v>32</v>
      </c>
      <c r="M2155" t="s">
        <v>63</v>
      </c>
      <c r="N2155" t="s">
        <v>34</v>
      </c>
      <c r="O2155" t="s">
        <v>24</v>
      </c>
      <c r="P2155">
        <v>1</v>
      </c>
      <c r="Q2155" s="2">
        <f>Ventas[[#This Row],[precio_base]]*Ventas[[#This Row],[cantidad]]</f>
        <v>1049.97</v>
      </c>
      <c r="R2155" s="2">
        <f>Ventas[[#This Row],[Total bruto (antes de descuento)]]-Ventas[[#This Row],[total_venta]]</f>
        <v>210</v>
      </c>
    </row>
    <row r="2156" spans="1:18" x14ac:dyDescent="0.25">
      <c r="A2156" t="s">
        <v>2249</v>
      </c>
      <c r="B2156" s="1">
        <v>45470</v>
      </c>
      <c r="C2156" t="s">
        <v>89</v>
      </c>
      <c r="D2156" t="s">
        <v>38</v>
      </c>
      <c r="E2156">
        <v>1</v>
      </c>
      <c r="F2156" s="2">
        <v>69.989999999999995</v>
      </c>
      <c r="G2156">
        <v>5</v>
      </c>
      <c r="H2156" s="2">
        <v>66.489999999999995</v>
      </c>
      <c r="I2156" s="2">
        <v>66.489999999999995</v>
      </c>
      <c r="J2156" t="s">
        <v>19</v>
      </c>
      <c r="K2156" t="s">
        <v>20</v>
      </c>
      <c r="L2156" t="s">
        <v>21</v>
      </c>
      <c r="M2156" t="s">
        <v>58</v>
      </c>
      <c r="N2156" t="s">
        <v>59</v>
      </c>
      <c r="O2156" t="s">
        <v>24</v>
      </c>
      <c r="P2156">
        <v>3</v>
      </c>
      <c r="Q2156" s="2">
        <f>Ventas[[#This Row],[precio_base]]*Ventas[[#This Row],[cantidad]]</f>
        <v>69.989999999999995</v>
      </c>
      <c r="R2156" s="2">
        <f>Ventas[[#This Row],[Total bruto (antes de descuento)]]-Ventas[[#This Row],[total_venta]]</f>
        <v>3.5</v>
      </c>
    </row>
    <row r="2157" spans="1:18" x14ac:dyDescent="0.25">
      <c r="A2157" t="s">
        <v>2250</v>
      </c>
      <c r="B2157" s="1">
        <v>45262</v>
      </c>
      <c r="C2157" t="s">
        <v>205</v>
      </c>
      <c r="D2157" t="s">
        <v>18</v>
      </c>
      <c r="E2157">
        <v>1</v>
      </c>
      <c r="F2157" s="2">
        <v>129.99</v>
      </c>
      <c r="G2157">
        <v>20</v>
      </c>
      <c r="H2157" s="2">
        <v>103.99</v>
      </c>
      <c r="I2157" s="2">
        <v>103.99</v>
      </c>
      <c r="J2157" t="s">
        <v>19</v>
      </c>
      <c r="K2157" t="s">
        <v>44</v>
      </c>
      <c r="L2157" t="s">
        <v>32</v>
      </c>
      <c r="M2157" t="s">
        <v>65</v>
      </c>
      <c r="N2157" t="s">
        <v>54</v>
      </c>
      <c r="O2157" t="s">
        <v>35</v>
      </c>
      <c r="P2157">
        <v>3</v>
      </c>
      <c r="Q2157" s="2">
        <f>Ventas[[#This Row],[precio_base]]*Ventas[[#This Row],[cantidad]]</f>
        <v>129.99</v>
      </c>
      <c r="R2157" s="2">
        <f>Ventas[[#This Row],[Total bruto (antes de descuento)]]-Ventas[[#This Row],[total_venta]]</f>
        <v>26.000000000000014</v>
      </c>
    </row>
    <row r="2158" spans="1:18" x14ac:dyDescent="0.25">
      <c r="A2158" t="s">
        <v>2251</v>
      </c>
      <c r="B2158" s="1">
        <v>45043</v>
      </c>
      <c r="C2158" t="s">
        <v>17</v>
      </c>
      <c r="D2158" t="s">
        <v>18</v>
      </c>
      <c r="E2158">
        <v>3</v>
      </c>
      <c r="F2158" s="2">
        <v>45.99</v>
      </c>
      <c r="G2158">
        <v>20</v>
      </c>
      <c r="H2158" s="2">
        <v>36.79</v>
      </c>
      <c r="I2158" s="2">
        <v>110.37</v>
      </c>
      <c r="J2158" t="s">
        <v>19</v>
      </c>
      <c r="K2158" t="s">
        <v>20</v>
      </c>
      <c r="L2158" t="s">
        <v>45</v>
      </c>
      <c r="M2158" t="s">
        <v>53</v>
      </c>
      <c r="N2158" t="s">
        <v>54</v>
      </c>
      <c r="O2158" t="s">
        <v>35</v>
      </c>
      <c r="P2158">
        <v>5</v>
      </c>
      <c r="Q2158" s="2">
        <f>Ventas[[#This Row],[precio_base]]*Ventas[[#This Row],[cantidad]]</f>
        <v>137.97</v>
      </c>
      <c r="R2158" s="2">
        <f>Ventas[[#This Row],[Total bruto (antes de descuento)]]-Ventas[[#This Row],[total_venta]]</f>
        <v>27.599999999999994</v>
      </c>
    </row>
    <row r="2159" spans="1:18" x14ac:dyDescent="0.25">
      <c r="A2159" t="s">
        <v>2252</v>
      </c>
      <c r="B2159" s="1">
        <v>45007</v>
      </c>
      <c r="C2159" t="s">
        <v>163</v>
      </c>
      <c r="D2159" t="s">
        <v>18</v>
      </c>
      <c r="E2159">
        <v>1</v>
      </c>
      <c r="F2159" s="2">
        <v>499.99</v>
      </c>
      <c r="G2159">
        <v>0</v>
      </c>
      <c r="H2159" s="2">
        <v>499.99</v>
      </c>
      <c r="I2159" s="2">
        <v>499.99</v>
      </c>
      <c r="J2159" t="s">
        <v>19</v>
      </c>
      <c r="K2159" t="s">
        <v>44</v>
      </c>
      <c r="L2159" t="s">
        <v>45</v>
      </c>
      <c r="M2159" t="s">
        <v>39</v>
      </c>
      <c r="N2159" t="s">
        <v>40</v>
      </c>
      <c r="O2159" t="s">
        <v>35</v>
      </c>
      <c r="P2159">
        <v>1</v>
      </c>
      <c r="Q2159" s="2">
        <f>Ventas[[#This Row],[precio_base]]*Ventas[[#This Row],[cantidad]]</f>
        <v>499.99</v>
      </c>
      <c r="R2159" s="2">
        <f>Ventas[[#This Row],[Total bruto (antes de descuento)]]-Ventas[[#This Row],[total_venta]]</f>
        <v>0</v>
      </c>
    </row>
    <row r="2160" spans="1:18" x14ac:dyDescent="0.25">
      <c r="A2160" t="s">
        <v>2253</v>
      </c>
      <c r="B2160" s="1">
        <v>45656</v>
      </c>
      <c r="C2160" t="s">
        <v>50</v>
      </c>
      <c r="D2160" t="s">
        <v>27</v>
      </c>
      <c r="E2160">
        <v>5</v>
      </c>
      <c r="F2160" s="2">
        <v>149.99</v>
      </c>
      <c r="G2160">
        <v>20</v>
      </c>
      <c r="H2160" s="2">
        <v>119.99</v>
      </c>
      <c r="I2160" s="2">
        <v>599.95000000000005</v>
      </c>
      <c r="J2160" t="s">
        <v>51</v>
      </c>
      <c r="K2160" t="s">
        <v>52</v>
      </c>
      <c r="L2160" t="s">
        <v>28</v>
      </c>
      <c r="M2160" t="s">
        <v>58</v>
      </c>
      <c r="N2160" t="s">
        <v>59</v>
      </c>
      <c r="O2160" t="s">
        <v>24</v>
      </c>
      <c r="Q2160" s="2">
        <f>Ventas[[#This Row],[precio_base]]*Ventas[[#This Row],[cantidad]]</f>
        <v>749.95</v>
      </c>
      <c r="R2160" s="2">
        <f>Ventas[[#This Row],[Total bruto (antes de descuento)]]-Ventas[[#This Row],[total_venta]]</f>
        <v>150</v>
      </c>
    </row>
    <row r="2161" spans="1:18" x14ac:dyDescent="0.25">
      <c r="A2161" t="s">
        <v>2254</v>
      </c>
      <c r="B2161" s="1">
        <v>45029</v>
      </c>
      <c r="C2161" t="s">
        <v>130</v>
      </c>
      <c r="D2161" t="s">
        <v>43</v>
      </c>
      <c r="E2161">
        <v>4</v>
      </c>
      <c r="F2161" s="2">
        <v>24.99</v>
      </c>
      <c r="G2161">
        <v>20</v>
      </c>
      <c r="H2161" s="2">
        <v>19.989999999999998</v>
      </c>
      <c r="I2161" s="2">
        <v>79.959999999999994</v>
      </c>
      <c r="J2161" t="s">
        <v>90</v>
      </c>
      <c r="K2161" t="s">
        <v>52</v>
      </c>
      <c r="L2161" t="s">
        <v>45</v>
      </c>
      <c r="M2161" t="s">
        <v>58</v>
      </c>
      <c r="N2161" t="s">
        <v>59</v>
      </c>
      <c r="O2161" t="s">
        <v>24</v>
      </c>
      <c r="Q2161" s="2">
        <f>Ventas[[#This Row],[precio_base]]*Ventas[[#This Row],[cantidad]]</f>
        <v>99.96</v>
      </c>
      <c r="R2161" s="2">
        <f>Ventas[[#This Row],[Total bruto (antes de descuento)]]-Ventas[[#This Row],[total_venta]]</f>
        <v>20</v>
      </c>
    </row>
    <row r="2162" spans="1:18" x14ac:dyDescent="0.25">
      <c r="A2162" t="s">
        <v>2255</v>
      </c>
      <c r="B2162" s="1">
        <v>45600</v>
      </c>
      <c r="C2162" t="s">
        <v>141</v>
      </c>
      <c r="D2162" t="s">
        <v>38</v>
      </c>
      <c r="E2162">
        <v>3</v>
      </c>
      <c r="F2162" s="2">
        <v>89.99</v>
      </c>
      <c r="G2162">
        <v>15</v>
      </c>
      <c r="H2162" s="2">
        <v>76.489999999999995</v>
      </c>
      <c r="I2162" s="2">
        <v>229.47</v>
      </c>
      <c r="J2162" t="s">
        <v>19</v>
      </c>
      <c r="K2162" t="s">
        <v>20</v>
      </c>
      <c r="L2162" t="s">
        <v>152</v>
      </c>
      <c r="M2162" t="s">
        <v>95</v>
      </c>
      <c r="N2162" t="s">
        <v>96</v>
      </c>
      <c r="O2162" t="s">
        <v>48</v>
      </c>
      <c r="P2162">
        <v>1</v>
      </c>
      <c r="Q2162" s="2">
        <f>Ventas[[#This Row],[precio_base]]*Ventas[[#This Row],[cantidad]]</f>
        <v>269.96999999999997</v>
      </c>
      <c r="R2162" s="2">
        <f>Ventas[[#This Row],[Total bruto (antes de descuento)]]-Ventas[[#This Row],[total_venta]]</f>
        <v>40.499999999999972</v>
      </c>
    </row>
    <row r="2163" spans="1:18" x14ac:dyDescent="0.25">
      <c r="A2163" t="s">
        <v>2256</v>
      </c>
      <c r="B2163" s="1">
        <v>45036</v>
      </c>
      <c r="C2163" t="s">
        <v>130</v>
      </c>
      <c r="D2163" t="s">
        <v>43</v>
      </c>
      <c r="E2163">
        <v>4</v>
      </c>
      <c r="F2163" s="2">
        <v>24.99</v>
      </c>
      <c r="G2163">
        <v>0</v>
      </c>
      <c r="H2163" s="2">
        <v>24.99</v>
      </c>
      <c r="I2163" s="2">
        <v>99.96</v>
      </c>
      <c r="J2163" t="s">
        <v>19</v>
      </c>
      <c r="K2163" t="s">
        <v>20</v>
      </c>
      <c r="L2163" t="s">
        <v>21</v>
      </c>
      <c r="M2163" t="s">
        <v>123</v>
      </c>
      <c r="N2163" t="s">
        <v>124</v>
      </c>
      <c r="O2163" t="s">
        <v>24</v>
      </c>
      <c r="P2163">
        <v>2</v>
      </c>
      <c r="Q2163" s="2">
        <f>Ventas[[#This Row],[precio_base]]*Ventas[[#This Row],[cantidad]]</f>
        <v>99.96</v>
      </c>
      <c r="R2163" s="2">
        <f>Ventas[[#This Row],[Total bruto (antes de descuento)]]-Ventas[[#This Row],[total_venta]]</f>
        <v>0</v>
      </c>
    </row>
    <row r="2164" spans="1:18" x14ac:dyDescent="0.25">
      <c r="A2164" t="s">
        <v>2257</v>
      </c>
      <c r="B2164" s="1">
        <v>45532</v>
      </c>
      <c r="C2164" t="s">
        <v>50</v>
      </c>
      <c r="D2164" t="s">
        <v>27</v>
      </c>
      <c r="E2164">
        <v>2</v>
      </c>
      <c r="F2164" s="2">
        <v>149.99</v>
      </c>
      <c r="G2164">
        <v>0</v>
      </c>
      <c r="H2164" s="2">
        <v>149.99</v>
      </c>
      <c r="I2164" s="2">
        <v>299.98</v>
      </c>
      <c r="J2164" t="s">
        <v>19</v>
      </c>
      <c r="K2164" t="s">
        <v>44</v>
      </c>
      <c r="L2164" t="s">
        <v>45</v>
      </c>
      <c r="M2164" t="s">
        <v>63</v>
      </c>
      <c r="N2164" t="s">
        <v>34</v>
      </c>
      <c r="O2164" t="s">
        <v>24</v>
      </c>
      <c r="P2164">
        <v>1</v>
      </c>
      <c r="Q2164" s="2">
        <f>Ventas[[#This Row],[precio_base]]*Ventas[[#This Row],[cantidad]]</f>
        <v>299.98</v>
      </c>
      <c r="R2164" s="2">
        <f>Ventas[[#This Row],[Total bruto (antes de descuento)]]-Ventas[[#This Row],[total_venta]]</f>
        <v>0</v>
      </c>
    </row>
    <row r="2165" spans="1:18" x14ac:dyDescent="0.25">
      <c r="A2165" t="s">
        <v>2258</v>
      </c>
      <c r="B2165" s="1">
        <v>45572</v>
      </c>
      <c r="C2165" t="s">
        <v>70</v>
      </c>
      <c r="D2165" t="s">
        <v>31</v>
      </c>
      <c r="E2165">
        <v>1</v>
      </c>
      <c r="F2165" s="2">
        <v>59.99</v>
      </c>
      <c r="G2165">
        <v>5</v>
      </c>
      <c r="H2165" s="2">
        <v>56.99</v>
      </c>
      <c r="I2165" s="2">
        <v>56.99</v>
      </c>
      <c r="J2165" t="s">
        <v>19</v>
      </c>
      <c r="K2165" t="s">
        <v>20</v>
      </c>
      <c r="L2165" t="s">
        <v>28</v>
      </c>
      <c r="M2165" t="s">
        <v>84</v>
      </c>
      <c r="N2165" t="s">
        <v>85</v>
      </c>
      <c r="O2165" t="s">
        <v>35</v>
      </c>
      <c r="P2165">
        <v>5</v>
      </c>
      <c r="Q2165" s="2">
        <f>Ventas[[#This Row],[precio_base]]*Ventas[[#This Row],[cantidad]]</f>
        <v>59.99</v>
      </c>
      <c r="R2165" s="2">
        <f>Ventas[[#This Row],[Total bruto (antes de descuento)]]-Ventas[[#This Row],[total_venta]]</f>
        <v>3</v>
      </c>
    </row>
    <row r="2166" spans="1:18" x14ac:dyDescent="0.25">
      <c r="A2166" t="s">
        <v>2259</v>
      </c>
      <c r="B2166" s="1">
        <v>45171</v>
      </c>
      <c r="C2166" t="s">
        <v>37</v>
      </c>
      <c r="D2166" t="s">
        <v>38</v>
      </c>
      <c r="E2166">
        <v>1</v>
      </c>
      <c r="F2166" s="2">
        <v>34.99</v>
      </c>
      <c r="G2166">
        <v>15</v>
      </c>
      <c r="H2166" s="2">
        <v>29.74</v>
      </c>
      <c r="I2166" s="2">
        <v>29.74</v>
      </c>
      <c r="J2166" t="s">
        <v>19</v>
      </c>
      <c r="K2166" t="s">
        <v>44</v>
      </c>
      <c r="L2166" t="s">
        <v>28</v>
      </c>
      <c r="M2166" t="s">
        <v>58</v>
      </c>
      <c r="N2166" t="s">
        <v>59</v>
      </c>
      <c r="O2166" t="s">
        <v>24</v>
      </c>
      <c r="P2166">
        <v>2</v>
      </c>
      <c r="Q2166" s="2">
        <f>Ventas[[#This Row],[precio_base]]*Ventas[[#This Row],[cantidad]]</f>
        <v>34.99</v>
      </c>
      <c r="R2166" s="2">
        <f>Ventas[[#This Row],[Total bruto (antes de descuento)]]-Ventas[[#This Row],[total_venta]]</f>
        <v>5.2500000000000036</v>
      </c>
    </row>
    <row r="2167" spans="1:18" x14ac:dyDescent="0.25">
      <c r="A2167" t="s">
        <v>2260</v>
      </c>
      <c r="B2167" s="1">
        <v>45431</v>
      </c>
      <c r="C2167" t="s">
        <v>50</v>
      </c>
      <c r="D2167" t="s">
        <v>27</v>
      </c>
      <c r="E2167">
        <v>2</v>
      </c>
      <c r="F2167" s="2">
        <v>149.99</v>
      </c>
      <c r="G2167">
        <v>0</v>
      </c>
      <c r="H2167" s="2">
        <v>149.99</v>
      </c>
      <c r="I2167" s="2">
        <v>299.98</v>
      </c>
      <c r="J2167" t="s">
        <v>19</v>
      </c>
      <c r="K2167" t="s">
        <v>44</v>
      </c>
      <c r="L2167" t="s">
        <v>21</v>
      </c>
      <c r="M2167" t="s">
        <v>33</v>
      </c>
      <c r="N2167" t="s">
        <v>34</v>
      </c>
      <c r="O2167" t="s">
        <v>35</v>
      </c>
      <c r="P2167">
        <v>5</v>
      </c>
      <c r="Q2167" s="2">
        <f>Ventas[[#This Row],[precio_base]]*Ventas[[#This Row],[cantidad]]</f>
        <v>299.98</v>
      </c>
      <c r="R2167" s="2">
        <f>Ventas[[#This Row],[Total bruto (antes de descuento)]]-Ventas[[#This Row],[total_venta]]</f>
        <v>0</v>
      </c>
    </row>
    <row r="2168" spans="1:18" x14ac:dyDescent="0.25">
      <c r="A2168" t="s">
        <v>2261</v>
      </c>
      <c r="B2168" s="1">
        <v>45226</v>
      </c>
      <c r="C2168" t="s">
        <v>89</v>
      </c>
      <c r="D2168" t="s">
        <v>38</v>
      </c>
      <c r="E2168">
        <v>2</v>
      </c>
      <c r="F2168" s="2">
        <v>69.989999999999995</v>
      </c>
      <c r="G2168">
        <v>5</v>
      </c>
      <c r="H2168" s="2">
        <v>66.489999999999995</v>
      </c>
      <c r="I2168" s="2">
        <v>132.97999999999999</v>
      </c>
      <c r="J2168" t="s">
        <v>116</v>
      </c>
      <c r="K2168" t="s">
        <v>52</v>
      </c>
      <c r="L2168" t="s">
        <v>21</v>
      </c>
      <c r="M2168" t="s">
        <v>120</v>
      </c>
      <c r="N2168" t="s">
        <v>23</v>
      </c>
      <c r="O2168" t="s">
        <v>24</v>
      </c>
      <c r="Q2168" s="2">
        <f>Ventas[[#This Row],[precio_base]]*Ventas[[#This Row],[cantidad]]</f>
        <v>139.97999999999999</v>
      </c>
      <c r="R2168" s="2">
        <f>Ventas[[#This Row],[Total bruto (antes de descuento)]]-Ventas[[#This Row],[total_venta]]</f>
        <v>7</v>
      </c>
    </row>
    <row r="2169" spans="1:18" x14ac:dyDescent="0.25">
      <c r="A2169" t="s">
        <v>2262</v>
      </c>
      <c r="B2169" s="1">
        <v>45182</v>
      </c>
      <c r="C2169" t="s">
        <v>156</v>
      </c>
      <c r="D2169" t="s">
        <v>27</v>
      </c>
      <c r="E2169">
        <v>1</v>
      </c>
      <c r="F2169" s="2">
        <v>49.99</v>
      </c>
      <c r="G2169">
        <v>15</v>
      </c>
      <c r="H2169" s="2">
        <v>42.49</v>
      </c>
      <c r="I2169" s="2">
        <v>42.49</v>
      </c>
      <c r="J2169" t="s">
        <v>19</v>
      </c>
      <c r="K2169" t="s">
        <v>44</v>
      </c>
      <c r="L2169" t="s">
        <v>21</v>
      </c>
      <c r="M2169" t="s">
        <v>73</v>
      </c>
      <c r="N2169" t="s">
        <v>74</v>
      </c>
      <c r="O2169" t="s">
        <v>35</v>
      </c>
      <c r="P2169">
        <v>1</v>
      </c>
      <c r="Q2169" s="2">
        <f>Ventas[[#This Row],[precio_base]]*Ventas[[#This Row],[cantidad]]</f>
        <v>49.99</v>
      </c>
      <c r="R2169" s="2">
        <f>Ventas[[#This Row],[Total bruto (antes de descuento)]]-Ventas[[#This Row],[total_venta]]</f>
        <v>7.5</v>
      </c>
    </row>
    <row r="2170" spans="1:18" x14ac:dyDescent="0.25">
      <c r="A2170" t="s">
        <v>2263</v>
      </c>
      <c r="B2170" s="1">
        <v>45342</v>
      </c>
      <c r="C2170" t="s">
        <v>26</v>
      </c>
      <c r="D2170" t="s">
        <v>27</v>
      </c>
      <c r="E2170">
        <v>2</v>
      </c>
      <c r="F2170" s="2">
        <v>399.99</v>
      </c>
      <c r="G2170">
        <v>15</v>
      </c>
      <c r="H2170" s="2">
        <v>339.99</v>
      </c>
      <c r="I2170" s="2">
        <v>679.98</v>
      </c>
      <c r="J2170" t="s">
        <v>19</v>
      </c>
      <c r="K2170" t="s">
        <v>44</v>
      </c>
      <c r="L2170" t="s">
        <v>32</v>
      </c>
      <c r="M2170" t="s">
        <v>63</v>
      </c>
      <c r="N2170" t="s">
        <v>34</v>
      </c>
      <c r="O2170" t="s">
        <v>24</v>
      </c>
      <c r="P2170">
        <v>5</v>
      </c>
      <c r="Q2170" s="2">
        <f>Ventas[[#This Row],[precio_base]]*Ventas[[#This Row],[cantidad]]</f>
        <v>799.98</v>
      </c>
      <c r="R2170" s="2">
        <f>Ventas[[#This Row],[Total bruto (antes de descuento)]]-Ventas[[#This Row],[total_venta]]</f>
        <v>120</v>
      </c>
    </row>
    <row r="2171" spans="1:18" x14ac:dyDescent="0.25">
      <c r="A2171" t="s">
        <v>2264</v>
      </c>
      <c r="B2171" s="1">
        <v>45049</v>
      </c>
      <c r="C2171" t="s">
        <v>81</v>
      </c>
      <c r="D2171" t="s">
        <v>31</v>
      </c>
      <c r="E2171">
        <v>2</v>
      </c>
      <c r="F2171" s="2">
        <v>189.99</v>
      </c>
      <c r="G2171">
        <v>0</v>
      </c>
      <c r="H2171" s="2">
        <v>189.99</v>
      </c>
      <c r="I2171" s="2">
        <v>379.98</v>
      </c>
      <c r="J2171" t="s">
        <v>51</v>
      </c>
      <c r="K2171" t="s">
        <v>57</v>
      </c>
      <c r="L2171" t="s">
        <v>28</v>
      </c>
      <c r="M2171" t="s">
        <v>22</v>
      </c>
      <c r="N2171" t="s">
        <v>23</v>
      </c>
      <c r="O2171" t="s">
        <v>24</v>
      </c>
      <c r="Q2171" s="2">
        <f>Ventas[[#This Row],[precio_base]]*Ventas[[#This Row],[cantidad]]</f>
        <v>379.98</v>
      </c>
      <c r="R2171" s="2">
        <f>Ventas[[#This Row],[Total bruto (antes de descuento)]]-Ventas[[#This Row],[total_venta]]</f>
        <v>0</v>
      </c>
    </row>
    <row r="2172" spans="1:18" x14ac:dyDescent="0.25">
      <c r="A2172" t="s">
        <v>2265</v>
      </c>
      <c r="B2172" s="1">
        <v>45000</v>
      </c>
      <c r="C2172" t="s">
        <v>81</v>
      </c>
      <c r="D2172" t="s">
        <v>31</v>
      </c>
      <c r="E2172">
        <v>4</v>
      </c>
      <c r="F2172" s="2">
        <v>189.99</v>
      </c>
      <c r="G2172">
        <v>0</v>
      </c>
      <c r="H2172" s="2">
        <v>189.99</v>
      </c>
      <c r="I2172" s="2">
        <v>759.96</v>
      </c>
      <c r="J2172" t="s">
        <v>116</v>
      </c>
      <c r="K2172" t="s">
        <v>57</v>
      </c>
      <c r="L2172" t="s">
        <v>45</v>
      </c>
      <c r="M2172" t="s">
        <v>58</v>
      </c>
      <c r="N2172" t="s">
        <v>59</v>
      </c>
      <c r="O2172" t="s">
        <v>24</v>
      </c>
      <c r="Q2172" s="2">
        <f>Ventas[[#This Row],[precio_base]]*Ventas[[#This Row],[cantidad]]</f>
        <v>759.96</v>
      </c>
      <c r="R2172" s="2">
        <f>Ventas[[#This Row],[Total bruto (antes de descuento)]]-Ventas[[#This Row],[total_venta]]</f>
        <v>0</v>
      </c>
    </row>
    <row r="2173" spans="1:18" x14ac:dyDescent="0.25">
      <c r="A2173" t="s">
        <v>2266</v>
      </c>
      <c r="B2173" s="1">
        <v>45594</v>
      </c>
      <c r="C2173" t="s">
        <v>115</v>
      </c>
      <c r="D2173" t="s">
        <v>18</v>
      </c>
      <c r="E2173">
        <v>1</v>
      </c>
      <c r="F2173" s="2">
        <v>799.99</v>
      </c>
      <c r="G2173">
        <v>20</v>
      </c>
      <c r="H2173" s="2">
        <v>639.99</v>
      </c>
      <c r="I2173" s="2">
        <v>639.99</v>
      </c>
      <c r="J2173" t="s">
        <v>51</v>
      </c>
      <c r="K2173" t="s">
        <v>20</v>
      </c>
      <c r="L2173" t="s">
        <v>21</v>
      </c>
      <c r="M2173" t="s">
        <v>120</v>
      </c>
      <c r="N2173" t="s">
        <v>23</v>
      </c>
      <c r="O2173" t="s">
        <v>24</v>
      </c>
      <c r="Q2173" s="2">
        <f>Ventas[[#This Row],[precio_base]]*Ventas[[#This Row],[cantidad]]</f>
        <v>799.99</v>
      </c>
      <c r="R2173" s="2">
        <f>Ventas[[#This Row],[Total bruto (antes de descuento)]]-Ventas[[#This Row],[total_venta]]</f>
        <v>160</v>
      </c>
    </row>
    <row r="2174" spans="1:18" x14ac:dyDescent="0.25">
      <c r="A2174" t="s">
        <v>2267</v>
      </c>
      <c r="B2174" s="1">
        <v>45074</v>
      </c>
      <c r="C2174" t="s">
        <v>78</v>
      </c>
      <c r="D2174" t="s">
        <v>18</v>
      </c>
      <c r="E2174">
        <v>1</v>
      </c>
      <c r="F2174" s="2">
        <v>349.99</v>
      </c>
      <c r="G2174">
        <v>20</v>
      </c>
      <c r="H2174" s="2">
        <v>279.99</v>
      </c>
      <c r="I2174" s="2">
        <v>279.99</v>
      </c>
      <c r="J2174" t="s">
        <v>19</v>
      </c>
      <c r="K2174" t="s">
        <v>20</v>
      </c>
      <c r="L2174" t="s">
        <v>45</v>
      </c>
      <c r="M2174" t="s">
        <v>120</v>
      </c>
      <c r="N2174" t="s">
        <v>23</v>
      </c>
      <c r="O2174" t="s">
        <v>24</v>
      </c>
      <c r="P2174">
        <v>3</v>
      </c>
      <c r="Q2174" s="2">
        <f>Ventas[[#This Row],[precio_base]]*Ventas[[#This Row],[cantidad]]</f>
        <v>349.99</v>
      </c>
      <c r="R2174" s="2">
        <f>Ventas[[#This Row],[Total bruto (antes de descuento)]]-Ventas[[#This Row],[total_venta]]</f>
        <v>70</v>
      </c>
    </row>
    <row r="2175" spans="1:18" x14ac:dyDescent="0.25">
      <c r="A2175" t="s">
        <v>2268</v>
      </c>
      <c r="B2175" s="1">
        <v>45381</v>
      </c>
      <c r="C2175" t="s">
        <v>81</v>
      </c>
      <c r="D2175" t="s">
        <v>31</v>
      </c>
      <c r="E2175">
        <v>2</v>
      </c>
      <c r="F2175" s="2">
        <v>189.99</v>
      </c>
      <c r="G2175">
        <v>20</v>
      </c>
      <c r="H2175" s="2">
        <v>151.99</v>
      </c>
      <c r="I2175" s="2">
        <v>303.98</v>
      </c>
      <c r="J2175" t="s">
        <v>51</v>
      </c>
      <c r="K2175" t="s">
        <v>20</v>
      </c>
      <c r="L2175" t="s">
        <v>21</v>
      </c>
      <c r="M2175" t="s">
        <v>22</v>
      </c>
      <c r="N2175" t="s">
        <v>23</v>
      </c>
      <c r="O2175" t="s">
        <v>24</v>
      </c>
      <c r="Q2175" s="2">
        <f>Ventas[[#This Row],[precio_base]]*Ventas[[#This Row],[cantidad]]</f>
        <v>379.98</v>
      </c>
      <c r="R2175" s="2">
        <f>Ventas[[#This Row],[Total bruto (antes de descuento)]]-Ventas[[#This Row],[total_venta]]</f>
        <v>76</v>
      </c>
    </row>
    <row r="2176" spans="1:18" x14ac:dyDescent="0.25">
      <c r="A2176" t="s">
        <v>2269</v>
      </c>
      <c r="B2176" s="1">
        <v>45608</v>
      </c>
      <c r="C2176" t="s">
        <v>42</v>
      </c>
      <c r="D2176" t="s">
        <v>43</v>
      </c>
      <c r="E2176">
        <v>2</v>
      </c>
      <c r="F2176" s="2">
        <v>349.99</v>
      </c>
      <c r="G2176">
        <v>5</v>
      </c>
      <c r="H2176" s="2">
        <v>332.49</v>
      </c>
      <c r="I2176" s="2">
        <v>664.98</v>
      </c>
      <c r="J2176" t="s">
        <v>19</v>
      </c>
      <c r="K2176" t="s">
        <v>20</v>
      </c>
      <c r="L2176" t="s">
        <v>21</v>
      </c>
      <c r="M2176" t="s">
        <v>58</v>
      </c>
      <c r="N2176" t="s">
        <v>59</v>
      </c>
      <c r="O2176" t="s">
        <v>24</v>
      </c>
      <c r="P2176">
        <v>4</v>
      </c>
      <c r="Q2176" s="2">
        <f>Ventas[[#This Row],[precio_base]]*Ventas[[#This Row],[cantidad]]</f>
        <v>699.98</v>
      </c>
      <c r="R2176" s="2">
        <f>Ventas[[#This Row],[Total bruto (antes de descuento)]]-Ventas[[#This Row],[total_venta]]</f>
        <v>35</v>
      </c>
    </row>
    <row r="2177" spans="1:18" x14ac:dyDescent="0.25">
      <c r="A2177" t="s">
        <v>2270</v>
      </c>
      <c r="B2177" s="1">
        <v>45401</v>
      </c>
      <c r="C2177" t="s">
        <v>205</v>
      </c>
      <c r="D2177" t="s">
        <v>18</v>
      </c>
      <c r="E2177">
        <v>1</v>
      </c>
      <c r="F2177" s="2">
        <v>129.99</v>
      </c>
      <c r="G2177">
        <v>20</v>
      </c>
      <c r="H2177" s="2">
        <v>103.99</v>
      </c>
      <c r="I2177" s="2">
        <v>103.99</v>
      </c>
      <c r="J2177" t="s">
        <v>62</v>
      </c>
      <c r="K2177" t="s">
        <v>44</v>
      </c>
      <c r="L2177" t="s">
        <v>45</v>
      </c>
      <c r="M2177" t="s">
        <v>46</v>
      </c>
      <c r="N2177" t="s">
        <v>47</v>
      </c>
      <c r="O2177" t="s">
        <v>48</v>
      </c>
      <c r="Q2177" s="2">
        <f>Ventas[[#This Row],[precio_base]]*Ventas[[#This Row],[cantidad]]</f>
        <v>129.99</v>
      </c>
      <c r="R2177" s="2">
        <f>Ventas[[#This Row],[Total bruto (antes de descuento)]]-Ventas[[#This Row],[total_venta]]</f>
        <v>26.000000000000014</v>
      </c>
    </row>
    <row r="2178" spans="1:18" x14ac:dyDescent="0.25">
      <c r="A2178" t="s">
        <v>2271</v>
      </c>
      <c r="B2178" s="1">
        <v>45135</v>
      </c>
      <c r="C2178" t="s">
        <v>37</v>
      </c>
      <c r="D2178" t="s">
        <v>38</v>
      </c>
      <c r="E2178">
        <v>1</v>
      </c>
      <c r="F2178" s="2">
        <v>34.99</v>
      </c>
      <c r="G2178">
        <v>0</v>
      </c>
      <c r="H2178" s="2">
        <v>34.99</v>
      </c>
      <c r="I2178" s="2">
        <v>34.99</v>
      </c>
      <c r="J2178" t="s">
        <v>19</v>
      </c>
      <c r="K2178" t="s">
        <v>20</v>
      </c>
      <c r="L2178" t="s">
        <v>28</v>
      </c>
      <c r="M2178" t="s">
        <v>58</v>
      </c>
      <c r="N2178" t="s">
        <v>59</v>
      </c>
      <c r="O2178" t="s">
        <v>24</v>
      </c>
      <c r="P2178">
        <v>4</v>
      </c>
      <c r="Q2178" s="2">
        <f>Ventas[[#This Row],[precio_base]]*Ventas[[#This Row],[cantidad]]</f>
        <v>34.99</v>
      </c>
      <c r="R2178" s="2">
        <f>Ventas[[#This Row],[Total bruto (antes de descuento)]]-Ventas[[#This Row],[total_venta]]</f>
        <v>0</v>
      </c>
    </row>
    <row r="2179" spans="1:18" x14ac:dyDescent="0.25">
      <c r="A2179" t="s">
        <v>2272</v>
      </c>
      <c r="B2179" s="1">
        <v>45469</v>
      </c>
      <c r="C2179" t="s">
        <v>56</v>
      </c>
      <c r="D2179" t="s">
        <v>18</v>
      </c>
      <c r="E2179">
        <v>5</v>
      </c>
      <c r="F2179" s="2">
        <v>89.99</v>
      </c>
      <c r="G2179">
        <v>5</v>
      </c>
      <c r="H2179" s="2">
        <v>85.49</v>
      </c>
      <c r="I2179" s="2">
        <v>427.45</v>
      </c>
      <c r="J2179" t="s">
        <v>19</v>
      </c>
      <c r="K2179" t="s">
        <v>20</v>
      </c>
      <c r="L2179" t="s">
        <v>21</v>
      </c>
      <c r="M2179" t="s">
        <v>73</v>
      </c>
      <c r="N2179" t="s">
        <v>74</v>
      </c>
      <c r="O2179" t="s">
        <v>35</v>
      </c>
      <c r="P2179">
        <v>3</v>
      </c>
      <c r="Q2179" s="2">
        <f>Ventas[[#This Row],[precio_base]]*Ventas[[#This Row],[cantidad]]</f>
        <v>449.95</v>
      </c>
      <c r="R2179" s="2">
        <f>Ventas[[#This Row],[Total bruto (antes de descuento)]]-Ventas[[#This Row],[total_venta]]</f>
        <v>22.5</v>
      </c>
    </row>
    <row r="2180" spans="1:18" x14ac:dyDescent="0.25">
      <c r="A2180" t="s">
        <v>2273</v>
      </c>
      <c r="B2180" s="1">
        <v>45415</v>
      </c>
      <c r="C2180" t="s">
        <v>109</v>
      </c>
      <c r="D2180" t="s">
        <v>38</v>
      </c>
      <c r="E2180">
        <v>3</v>
      </c>
      <c r="F2180" s="2">
        <v>39.99</v>
      </c>
      <c r="G2180">
        <v>0</v>
      </c>
      <c r="H2180" s="2">
        <v>39.99</v>
      </c>
      <c r="I2180" s="2">
        <v>119.97</v>
      </c>
      <c r="J2180" t="s">
        <v>19</v>
      </c>
      <c r="K2180" t="s">
        <v>52</v>
      </c>
      <c r="L2180" t="s">
        <v>21</v>
      </c>
      <c r="M2180" t="s">
        <v>101</v>
      </c>
      <c r="N2180" t="s">
        <v>102</v>
      </c>
      <c r="O2180" t="s">
        <v>35</v>
      </c>
      <c r="P2180">
        <v>2</v>
      </c>
      <c r="Q2180" s="2">
        <f>Ventas[[#This Row],[precio_base]]*Ventas[[#This Row],[cantidad]]</f>
        <v>119.97</v>
      </c>
      <c r="R2180" s="2">
        <f>Ventas[[#This Row],[Total bruto (antes de descuento)]]-Ventas[[#This Row],[total_venta]]</f>
        <v>0</v>
      </c>
    </row>
    <row r="2181" spans="1:18" x14ac:dyDescent="0.25">
      <c r="A2181" t="s">
        <v>2274</v>
      </c>
      <c r="B2181" s="1">
        <v>45587</v>
      </c>
      <c r="C2181" t="s">
        <v>92</v>
      </c>
      <c r="D2181" t="s">
        <v>27</v>
      </c>
      <c r="E2181">
        <v>4</v>
      </c>
      <c r="F2181" s="2">
        <v>79.989999999999995</v>
      </c>
      <c r="G2181">
        <v>0</v>
      </c>
      <c r="H2181" s="2">
        <v>79.989999999999995</v>
      </c>
      <c r="I2181" s="2">
        <v>319.95999999999998</v>
      </c>
      <c r="J2181" t="s">
        <v>116</v>
      </c>
      <c r="K2181" t="s">
        <v>44</v>
      </c>
      <c r="L2181" t="s">
        <v>152</v>
      </c>
      <c r="M2181" t="s">
        <v>65</v>
      </c>
      <c r="N2181" t="s">
        <v>54</v>
      </c>
      <c r="O2181" t="s">
        <v>35</v>
      </c>
      <c r="Q2181" s="2">
        <f>Ventas[[#This Row],[precio_base]]*Ventas[[#This Row],[cantidad]]</f>
        <v>319.95999999999998</v>
      </c>
      <c r="R2181" s="2">
        <f>Ventas[[#This Row],[Total bruto (antes de descuento)]]-Ventas[[#This Row],[total_venta]]</f>
        <v>0</v>
      </c>
    </row>
    <row r="2182" spans="1:18" x14ac:dyDescent="0.25">
      <c r="A2182" t="s">
        <v>2275</v>
      </c>
      <c r="B2182" s="1">
        <v>45039</v>
      </c>
      <c r="C2182" t="s">
        <v>61</v>
      </c>
      <c r="D2182" t="s">
        <v>38</v>
      </c>
      <c r="E2182">
        <v>3</v>
      </c>
      <c r="F2182" s="2">
        <v>19.989999999999998</v>
      </c>
      <c r="G2182">
        <v>10</v>
      </c>
      <c r="H2182" s="2">
        <v>17.989999999999998</v>
      </c>
      <c r="I2182" s="2">
        <v>53.97</v>
      </c>
      <c r="J2182" t="s">
        <v>19</v>
      </c>
      <c r="K2182" t="s">
        <v>20</v>
      </c>
      <c r="L2182" t="s">
        <v>28</v>
      </c>
      <c r="M2182" t="s">
        <v>95</v>
      </c>
      <c r="N2182" t="s">
        <v>96</v>
      </c>
      <c r="O2182" t="s">
        <v>48</v>
      </c>
      <c r="P2182">
        <v>3</v>
      </c>
      <c r="Q2182" s="2">
        <f>Ventas[[#This Row],[precio_base]]*Ventas[[#This Row],[cantidad]]</f>
        <v>59.97</v>
      </c>
      <c r="R2182" s="2">
        <f>Ventas[[#This Row],[Total bruto (antes de descuento)]]-Ventas[[#This Row],[total_venta]]</f>
        <v>6</v>
      </c>
    </row>
    <row r="2183" spans="1:18" x14ac:dyDescent="0.25">
      <c r="A2183" t="s">
        <v>2276</v>
      </c>
      <c r="B2183" s="1">
        <v>45340</v>
      </c>
      <c r="C2183" t="s">
        <v>104</v>
      </c>
      <c r="D2183" t="s">
        <v>18</v>
      </c>
      <c r="E2183">
        <v>1</v>
      </c>
      <c r="F2183" s="2">
        <v>1199.99</v>
      </c>
      <c r="G2183">
        <v>10</v>
      </c>
      <c r="H2183" s="2">
        <v>1079.99</v>
      </c>
      <c r="I2183" s="2">
        <v>1079.99</v>
      </c>
      <c r="J2183" t="s">
        <v>90</v>
      </c>
      <c r="K2183" t="s">
        <v>20</v>
      </c>
      <c r="L2183" t="s">
        <v>21</v>
      </c>
      <c r="M2183" t="s">
        <v>95</v>
      </c>
      <c r="N2183" t="s">
        <v>96</v>
      </c>
      <c r="O2183" t="s">
        <v>48</v>
      </c>
      <c r="Q2183" s="2">
        <f>Ventas[[#This Row],[precio_base]]*Ventas[[#This Row],[cantidad]]</f>
        <v>1199.99</v>
      </c>
      <c r="R2183" s="2">
        <f>Ventas[[#This Row],[Total bruto (antes de descuento)]]-Ventas[[#This Row],[total_venta]]</f>
        <v>120</v>
      </c>
    </row>
    <row r="2184" spans="1:18" x14ac:dyDescent="0.25">
      <c r="A2184" t="s">
        <v>2277</v>
      </c>
      <c r="B2184" s="1">
        <v>45177</v>
      </c>
      <c r="C2184" t="s">
        <v>98</v>
      </c>
      <c r="D2184" t="s">
        <v>31</v>
      </c>
      <c r="E2184">
        <v>5</v>
      </c>
      <c r="F2184" s="2">
        <v>99.99</v>
      </c>
      <c r="G2184">
        <v>20</v>
      </c>
      <c r="H2184" s="2">
        <v>79.989999999999995</v>
      </c>
      <c r="I2184" s="2">
        <v>399.95</v>
      </c>
      <c r="J2184" t="s">
        <v>51</v>
      </c>
      <c r="K2184" t="s">
        <v>52</v>
      </c>
      <c r="L2184" t="s">
        <v>152</v>
      </c>
      <c r="M2184" t="s">
        <v>39</v>
      </c>
      <c r="N2184" t="s">
        <v>40</v>
      </c>
      <c r="O2184" t="s">
        <v>35</v>
      </c>
      <c r="Q2184" s="2">
        <f>Ventas[[#This Row],[precio_base]]*Ventas[[#This Row],[cantidad]]</f>
        <v>499.95</v>
      </c>
      <c r="R2184" s="2">
        <f>Ventas[[#This Row],[Total bruto (antes de descuento)]]-Ventas[[#This Row],[total_venta]]</f>
        <v>100</v>
      </c>
    </row>
    <row r="2185" spans="1:18" x14ac:dyDescent="0.25">
      <c r="A2185" t="s">
        <v>2278</v>
      </c>
      <c r="B2185" s="1">
        <v>45569</v>
      </c>
      <c r="C2185" t="s">
        <v>92</v>
      </c>
      <c r="D2185" t="s">
        <v>27</v>
      </c>
      <c r="E2185">
        <v>5</v>
      </c>
      <c r="F2185" s="2">
        <v>79.989999999999995</v>
      </c>
      <c r="G2185">
        <v>0</v>
      </c>
      <c r="H2185" s="2">
        <v>79.989999999999995</v>
      </c>
      <c r="I2185" s="2">
        <v>399.95</v>
      </c>
      <c r="J2185" t="s">
        <v>19</v>
      </c>
      <c r="K2185" t="s">
        <v>20</v>
      </c>
      <c r="L2185" t="s">
        <v>28</v>
      </c>
      <c r="M2185" t="s">
        <v>46</v>
      </c>
      <c r="N2185" t="s">
        <v>47</v>
      </c>
      <c r="O2185" t="s">
        <v>48</v>
      </c>
      <c r="P2185">
        <v>5</v>
      </c>
      <c r="Q2185" s="2">
        <f>Ventas[[#This Row],[precio_base]]*Ventas[[#This Row],[cantidad]]</f>
        <v>399.95</v>
      </c>
      <c r="R2185" s="2">
        <f>Ventas[[#This Row],[Total bruto (antes de descuento)]]-Ventas[[#This Row],[total_venta]]</f>
        <v>0</v>
      </c>
    </row>
    <row r="2186" spans="1:18" x14ac:dyDescent="0.25">
      <c r="A2186" t="s">
        <v>2279</v>
      </c>
      <c r="B2186" s="1">
        <v>45356</v>
      </c>
      <c r="C2186" t="s">
        <v>26</v>
      </c>
      <c r="D2186" t="s">
        <v>27</v>
      </c>
      <c r="E2186">
        <v>3</v>
      </c>
      <c r="F2186" s="2">
        <v>399.99</v>
      </c>
      <c r="G2186">
        <v>0</v>
      </c>
      <c r="H2186" s="2">
        <v>399.99</v>
      </c>
      <c r="I2186" s="2">
        <v>1199.97</v>
      </c>
      <c r="J2186" t="s">
        <v>19</v>
      </c>
      <c r="K2186" t="s">
        <v>20</v>
      </c>
      <c r="L2186" t="s">
        <v>21</v>
      </c>
      <c r="M2186" t="s">
        <v>63</v>
      </c>
      <c r="N2186" t="s">
        <v>34</v>
      </c>
      <c r="O2186" t="s">
        <v>24</v>
      </c>
      <c r="P2186">
        <v>4</v>
      </c>
      <c r="Q2186" s="2">
        <f>Ventas[[#This Row],[precio_base]]*Ventas[[#This Row],[cantidad]]</f>
        <v>1199.97</v>
      </c>
      <c r="R2186" s="2">
        <f>Ventas[[#This Row],[Total bruto (antes de descuento)]]-Ventas[[#This Row],[total_venta]]</f>
        <v>0</v>
      </c>
    </row>
    <row r="2187" spans="1:18" x14ac:dyDescent="0.25">
      <c r="A2187" t="s">
        <v>2280</v>
      </c>
      <c r="B2187" s="1">
        <v>45184</v>
      </c>
      <c r="C2187" t="s">
        <v>30</v>
      </c>
      <c r="D2187" t="s">
        <v>31</v>
      </c>
      <c r="E2187">
        <v>3</v>
      </c>
      <c r="F2187" s="2">
        <v>299.99</v>
      </c>
      <c r="G2187">
        <v>10</v>
      </c>
      <c r="H2187" s="2">
        <v>269.99</v>
      </c>
      <c r="I2187" s="2">
        <v>809.97</v>
      </c>
      <c r="J2187" t="s">
        <v>19</v>
      </c>
      <c r="K2187" t="s">
        <v>44</v>
      </c>
      <c r="L2187" t="s">
        <v>152</v>
      </c>
      <c r="M2187" t="s">
        <v>120</v>
      </c>
      <c r="N2187" t="s">
        <v>23</v>
      </c>
      <c r="O2187" t="s">
        <v>24</v>
      </c>
      <c r="P2187">
        <v>5</v>
      </c>
      <c r="Q2187" s="2">
        <f>Ventas[[#This Row],[precio_base]]*Ventas[[#This Row],[cantidad]]</f>
        <v>899.97</v>
      </c>
      <c r="R2187" s="2">
        <f>Ventas[[#This Row],[Total bruto (antes de descuento)]]-Ventas[[#This Row],[total_venta]]</f>
        <v>90</v>
      </c>
    </row>
    <row r="2188" spans="1:18" x14ac:dyDescent="0.25">
      <c r="A2188" t="s">
        <v>2281</v>
      </c>
      <c r="B2188" s="1">
        <v>45504</v>
      </c>
      <c r="C2188" t="s">
        <v>89</v>
      </c>
      <c r="D2188" t="s">
        <v>38</v>
      </c>
      <c r="E2188">
        <v>1</v>
      </c>
      <c r="F2188" s="2">
        <v>69.989999999999995</v>
      </c>
      <c r="G2188">
        <v>5</v>
      </c>
      <c r="H2188" s="2">
        <v>66.489999999999995</v>
      </c>
      <c r="I2188" s="2">
        <v>66.489999999999995</v>
      </c>
      <c r="J2188" t="s">
        <v>19</v>
      </c>
      <c r="K2188" t="s">
        <v>52</v>
      </c>
      <c r="L2188" t="s">
        <v>21</v>
      </c>
      <c r="M2188" t="s">
        <v>22</v>
      </c>
      <c r="N2188" t="s">
        <v>23</v>
      </c>
      <c r="O2188" t="s">
        <v>24</v>
      </c>
      <c r="P2188">
        <v>3</v>
      </c>
      <c r="Q2188" s="2">
        <f>Ventas[[#This Row],[precio_base]]*Ventas[[#This Row],[cantidad]]</f>
        <v>69.989999999999995</v>
      </c>
      <c r="R2188" s="2">
        <f>Ventas[[#This Row],[Total bruto (antes de descuento)]]-Ventas[[#This Row],[total_venta]]</f>
        <v>3.5</v>
      </c>
    </row>
    <row r="2189" spans="1:18" x14ac:dyDescent="0.25">
      <c r="A2189" t="s">
        <v>2282</v>
      </c>
      <c r="B2189" s="1">
        <v>45292</v>
      </c>
      <c r="C2189" t="s">
        <v>92</v>
      </c>
      <c r="D2189" t="s">
        <v>27</v>
      </c>
      <c r="E2189">
        <v>2</v>
      </c>
      <c r="F2189" s="2">
        <v>79.989999999999995</v>
      </c>
      <c r="G2189">
        <v>10</v>
      </c>
      <c r="H2189" s="2">
        <v>71.989999999999995</v>
      </c>
      <c r="I2189" s="2">
        <v>143.97999999999999</v>
      </c>
      <c r="J2189" t="s">
        <v>19</v>
      </c>
      <c r="K2189" t="s">
        <v>20</v>
      </c>
      <c r="L2189" t="s">
        <v>45</v>
      </c>
      <c r="M2189" t="s">
        <v>22</v>
      </c>
      <c r="N2189" t="s">
        <v>23</v>
      </c>
      <c r="O2189" t="s">
        <v>24</v>
      </c>
      <c r="P2189">
        <v>1</v>
      </c>
      <c r="Q2189" s="2">
        <f>Ventas[[#This Row],[precio_base]]*Ventas[[#This Row],[cantidad]]</f>
        <v>159.97999999999999</v>
      </c>
      <c r="R2189" s="2">
        <f>Ventas[[#This Row],[Total bruto (antes de descuento)]]-Ventas[[#This Row],[total_venta]]</f>
        <v>16</v>
      </c>
    </row>
    <row r="2190" spans="1:18" x14ac:dyDescent="0.25">
      <c r="A2190" t="s">
        <v>2283</v>
      </c>
      <c r="B2190" s="1">
        <v>45032</v>
      </c>
      <c r="C2190" t="s">
        <v>26</v>
      </c>
      <c r="D2190" t="s">
        <v>27</v>
      </c>
      <c r="E2190">
        <v>2</v>
      </c>
      <c r="F2190" s="2">
        <v>399.99</v>
      </c>
      <c r="G2190">
        <v>0</v>
      </c>
      <c r="H2190" s="2">
        <v>399.99</v>
      </c>
      <c r="I2190" s="2">
        <v>799.98</v>
      </c>
      <c r="J2190" t="s">
        <v>19</v>
      </c>
      <c r="K2190" t="s">
        <v>20</v>
      </c>
      <c r="L2190" t="s">
        <v>45</v>
      </c>
      <c r="M2190" t="s">
        <v>46</v>
      </c>
      <c r="N2190" t="s">
        <v>47</v>
      </c>
      <c r="O2190" t="s">
        <v>48</v>
      </c>
      <c r="P2190">
        <v>1</v>
      </c>
      <c r="Q2190" s="2">
        <f>Ventas[[#This Row],[precio_base]]*Ventas[[#This Row],[cantidad]]</f>
        <v>799.98</v>
      </c>
      <c r="R2190" s="2">
        <f>Ventas[[#This Row],[Total bruto (antes de descuento)]]-Ventas[[#This Row],[total_venta]]</f>
        <v>0</v>
      </c>
    </row>
    <row r="2191" spans="1:18" x14ac:dyDescent="0.25">
      <c r="A2191" t="s">
        <v>2284</v>
      </c>
      <c r="B2191" s="1">
        <v>45032</v>
      </c>
      <c r="C2191" t="s">
        <v>81</v>
      </c>
      <c r="D2191" t="s">
        <v>31</v>
      </c>
      <c r="E2191">
        <v>5</v>
      </c>
      <c r="F2191" s="2">
        <v>189.99</v>
      </c>
      <c r="G2191">
        <v>5</v>
      </c>
      <c r="H2191" s="2">
        <v>180.49</v>
      </c>
      <c r="I2191" s="2">
        <v>902.45</v>
      </c>
      <c r="J2191" t="s">
        <v>51</v>
      </c>
      <c r="K2191" t="s">
        <v>44</v>
      </c>
      <c r="L2191" t="s">
        <v>21</v>
      </c>
      <c r="M2191" t="s">
        <v>22</v>
      </c>
      <c r="N2191" t="s">
        <v>23</v>
      </c>
      <c r="O2191" t="s">
        <v>24</v>
      </c>
      <c r="Q2191" s="2">
        <f>Ventas[[#This Row],[precio_base]]*Ventas[[#This Row],[cantidad]]</f>
        <v>949.95</v>
      </c>
      <c r="R2191" s="2">
        <f>Ventas[[#This Row],[Total bruto (antes de descuento)]]-Ventas[[#This Row],[total_venta]]</f>
        <v>47.5</v>
      </c>
    </row>
    <row r="2192" spans="1:18" x14ac:dyDescent="0.25">
      <c r="A2192" t="s">
        <v>2285</v>
      </c>
      <c r="B2192" s="1">
        <v>45026</v>
      </c>
      <c r="C2192" t="s">
        <v>94</v>
      </c>
      <c r="D2192" t="s">
        <v>18</v>
      </c>
      <c r="E2192">
        <v>3</v>
      </c>
      <c r="F2192" s="2">
        <v>899.99</v>
      </c>
      <c r="G2192">
        <v>0</v>
      </c>
      <c r="H2192" s="2">
        <v>899.99</v>
      </c>
      <c r="I2192" s="2">
        <v>2699.97</v>
      </c>
      <c r="J2192" t="s">
        <v>90</v>
      </c>
      <c r="K2192" t="s">
        <v>20</v>
      </c>
      <c r="L2192" t="s">
        <v>21</v>
      </c>
      <c r="M2192" t="s">
        <v>120</v>
      </c>
      <c r="N2192" t="s">
        <v>23</v>
      </c>
      <c r="O2192" t="s">
        <v>24</v>
      </c>
      <c r="Q2192" s="2">
        <f>Ventas[[#This Row],[precio_base]]*Ventas[[#This Row],[cantidad]]</f>
        <v>2699.9700000000003</v>
      </c>
      <c r="R2192" s="2">
        <f>Ventas[[#This Row],[Total bruto (antes de descuento)]]-Ventas[[#This Row],[total_venta]]</f>
        <v>0</v>
      </c>
    </row>
    <row r="2193" spans="1:18" x14ac:dyDescent="0.25">
      <c r="A2193" t="s">
        <v>2286</v>
      </c>
      <c r="B2193" s="1">
        <v>45529</v>
      </c>
      <c r="C2193" t="s">
        <v>130</v>
      </c>
      <c r="D2193" t="s">
        <v>43</v>
      </c>
      <c r="E2193">
        <v>4</v>
      </c>
      <c r="F2193" s="2">
        <v>24.99</v>
      </c>
      <c r="G2193">
        <v>0</v>
      </c>
      <c r="H2193" s="2">
        <v>24.99</v>
      </c>
      <c r="I2193" s="2">
        <v>99.96</v>
      </c>
      <c r="J2193" t="s">
        <v>19</v>
      </c>
      <c r="K2193" t="s">
        <v>20</v>
      </c>
      <c r="L2193" t="s">
        <v>21</v>
      </c>
      <c r="M2193" t="s">
        <v>53</v>
      </c>
      <c r="N2193" t="s">
        <v>54</v>
      </c>
      <c r="O2193" t="s">
        <v>35</v>
      </c>
      <c r="P2193">
        <v>3</v>
      </c>
      <c r="Q2193" s="2">
        <f>Ventas[[#This Row],[precio_base]]*Ventas[[#This Row],[cantidad]]</f>
        <v>99.96</v>
      </c>
      <c r="R2193" s="2">
        <f>Ventas[[#This Row],[Total bruto (antes de descuento)]]-Ventas[[#This Row],[total_venta]]</f>
        <v>0</v>
      </c>
    </row>
    <row r="2194" spans="1:18" x14ac:dyDescent="0.25">
      <c r="A2194" t="s">
        <v>2287</v>
      </c>
      <c r="B2194" s="1">
        <v>45539</v>
      </c>
      <c r="C2194" t="s">
        <v>50</v>
      </c>
      <c r="D2194" t="s">
        <v>27</v>
      </c>
      <c r="E2194">
        <v>2</v>
      </c>
      <c r="F2194" s="2">
        <v>149.99</v>
      </c>
      <c r="G2194">
        <v>0</v>
      </c>
      <c r="H2194" s="2">
        <v>149.99</v>
      </c>
      <c r="I2194" s="2">
        <v>299.98</v>
      </c>
      <c r="J2194" t="s">
        <v>19</v>
      </c>
      <c r="K2194" t="s">
        <v>44</v>
      </c>
      <c r="L2194" t="s">
        <v>28</v>
      </c>
      <c r="M2194" t="s">
        <v>58</v>
      </c>
      <c r="N2194" t="s">
        <v>59</v>
      </c>
      <c r="O2194" t="s">
        <v>24</v>
      </c>
      <c r="P2194">
        <v>1</v>
      </c>
      <c r="Q2194" s="2">
        <f>Ventas[[#This Row],[precio_base]]*Ventas[[#This Row],[cantidad]]</f>
        <v>299.98</v>
      </c>
      <c r="R2194" s="2">
        <f>Ventas[[#This Row],[Total bruto (antes de descuento)]]-Ventas[[#This Row],[total_venta]]</f>
        <v>0</v>
      </c>
    </row>
    <row r="2195" spans="1:18" x14ac:dyDescent="0.25">
      <c r="A2195" t="s">
        <v>2288</v>
      </c>
      <c r="B2195" s="1">
        <v>45428</v>
      </c>
      <c r="C2195" t="s">
        <v>143</v>
      </c>
      <c r="D2195" t="s">
        <v>43</v>
      </c>
      <c r="E2195">
        <v>2</v>
      </c>
      <c r="F2195" s="2">
        <v>34.99</v>
      </c>
      <c r="G2195">
        <v>20</v>
      </c>
      <c r="H2195" s="2">
        <v>27.99</v>
      </c>
      <c r="I2195" s="2">
        <v>55.98</v>
      </c>
      <c r="J2195" t="s">
        <v>19</v>
      </c>
      <c r="K2195" t="s">
        <v>20</v>
      </c>
      <c r="L2195" t="s">
        <v>45</v>
      </c>
      <c r="M2195" t="s">
        <v>123</v>
      </c>
      <c r="N2195" t="s">
        <v>124</v>
      </c>
      <c r="O2195" t="s">
        <v>24</v>
      </c>
      <c r="P2195">
        <v>2</v>
      </c>
      <c r="Q2195" s="2">
        <f>Ventas[[#This Row],[precio_base]]*Ventas[[#This Row],[cantidad]]</f>
        <v>69.98</v>
      </c>
      <c r="R2195" s="2">
        <f>Ventas[[#This Row],[Total bruto (antes de descuento)]]-Ventas[[#This Row],[total_venta]]</f>
        <v>14.000000000000007</v>
      </c>
    </row>
    <row r="2196" spans="1:18" x14ac:dyDescent="0.25">
      <c r="A2196" t="s">
        <v>2289</v>
      </c>
      <c r="B2196" s="1">
        <v>45516</v>
      </c>
      <c r="C2196" t="s">
        <v>61</v>
      </c>
      <c r="D2196" t="s">
        <v>38</v>
      </c>
      <c r="E2196">
        <v>1</v>
      </c>
      <c r="F2196" s="2">
        <v>19.989999999999998</v>
      </c>
      <c r="G2196">
        <v>5</v>
      </c>
      <c r="H2196" s="2">
        <v>18.989999999999998</v>
      </c>
      <c r="I2196" s="2">
        <v>18.989999999999998</v>
      </c>
      <c r="J2196" t="s">
        <v>51</v>
      </c>
      <c r="K2196" t="s">
        <v>20</v>
      </c>
      <c r="L2196" t="s">
        <v>45</v>
      </c>
      <c r="M2196" t="s">
        <v>53</v>
      </c>
      <c r="N2196" t="s">
        <v>54</v>
      </c>
      <c r="O2196" t="s">
        <v>35</v>
      </c>
      <c r="Q2196" s="2">
        <f>Ventas[[#This Row],[precio_base]]*Ventas[[#This Row],[cantidad]]</f>
        <v>19.989999999999998</v>
      </c>
      <c r="R2196" s="2">
        <f>Ventas[[#This Row],[Total bruto (antes de descuento)]]-Ventas[[#This Row],[total_venta]]</f>
        <v>1</v>
      </c>
    </row>
    <row r="2197" spans="1:18" x14ac:dyDescent="0.25">
      <c r="A2197" t="s">
        <v>2290</v>
      </c>
      <c r="B2197" s="1">
        <v>45639</v>
      </c>
      <c r="C2197" t="s">
        <v>205</v>
      </c>
      <c r="D2197" t="s">
        <v>18</v>
      </c>
      <c r="E2197">
        <v>1</v>
      </c>
      <c r="F2197" s="2">
        <v>129.99</v>
      </c>
      <c r="G2197">
        <v>15</v>
      </c>
      <c r="H2197" s="2">
        <v>110.49</v>
      </c>
      <c r="I2197" s="2">
        <v>110.49</v>
      </c>
      <c r="J2197" t="s">
        <v>19</v>
      </c>
      <c r="K2197" t="s">
        <v>44</v>
      </c>
      <c r="L2197" t="s">
        <v>28</v>
      </c>
      <c r="M2197" t="s">
        <v>73</v>
      </c>
      <c r="N2197" t="s">
        <v>74</v>
      </c>
      <c r="O2197" t="s">
        <v>35</v>
      </c>
      <c r="P2197">
        <v>2</v>
      </c>
      <c r="Q2197" s="2">
        <f>Ventas[[#This Row],[precio_base]]*Ventas[[#This Row],[cantidad]]</f>
        <v>129.99</v>
      </c>
      <c r="R2197" s="2">
        <f>Ventas[[#This Row],[Total bruto (antes de descuento)]]-Ventas[[#This Row],[total_venta]]</f>
        <v>19.500000000000014</v>
      </c>
    </row>
    <row r="2198" spans="1:18" x14ac:dyDescent="0.25">
      <c r="A2198" t="s">
        <v>2291</v>
      </c>
      <c r="B2198" s="1">
        <v>45103</v>
      </c>
      <c r="C2198" t="s">
        <v>143</v>
      </c>
      <c r="D2198" t="s">
        <v>43</v>
      </c>
      <c r="E2198">
        <v>2</v>
      </c>
      <c r="F2198" s="2">
        <v>34.99</v>
      </c>
      <c r="G2198">
        <v>0</v>
      </c>
      <c r="H2198" s="2">
        <v>34.99</v>
      </c>
      <c r="I2198" s="2">
        <v>69.98</v>
      </c>
      <c r="J2198" t="s">
        <v>51</v>
      </c>
      <c r="K2198" t="s">
        <v>20</v>
      </c>
      <c r="L2198" t="s">
        <v>32</v>
      </c>
      <c r="M2198" t="s">
        <v>84</v>
      </c>
      <c r="N2198" t="s">
        <v>85</v>
      </c>
      <c r="O2198" t="s">
        <v>35</v>
      </c>
      <c r="Q2198" s="2">
        <f>Ventas[[#This Row],[precio_base]]*Ventas[[#This Row],[cantidad]]</f>
        <v>69.98</v>
      </c>
      <c r="R2198" s="2">
        <f>Ventas[[#This Row],[Total bruto (antes de descuento)]]-Ventas[[#This Row],[total_venta]]</f>
        <v>0</v>
      </c>
    </row>
    <row r="2199" spans="1:18" x14ac:dyDescent="0.25">
      <c r="A2199" t="s">
        <v>2292</v>
      </c>
      <c r="B2199" s="1">
        <v>45129</v>
      </c>
      <c r="C2199" t="s">
        <v>78</v>
      </c>
      <c r="D2199" t="s">
        <v>18</v>
      </c>
      <c r="E2199">
        <v>3</v>
      </c>
      <c r="F2199" s="2">
        <v>349.99</v>
      </c>
      <c r="G2199">
        <v>5</v>
      </c>
      <c r="H2199" s="2">
        <v>332.49</v>
      </c>
      <c r="I2199" s="2">
        <v>997.47</v>
      </c>
      <c r="J2199" t="s">
        <v>19</v>
      </c>
      <c r="K2199" t="s">
        <v>20</v>
      </c>
      <c r="L2199" t="s">
        <v>21</v>
      </c>
      <c r="M2199" t="s">
        <v>101</v>
      </c>
      <c r="N2199" t="s">
        <v>102</v>
      </c>
      <c r="O2199" t="s">
        <v>35</v>
      </c>
      <c r="P2199">
        <v>1</v>
      </c>
      <c r="Q2199" s="2">
        <f>Ventas[[#This Row],[precio_base]]*Ventas[[#This Row],[cantidad]]</f>
        <v>1049.97</v>
      </c>
      <c r="R2199" s="2">
        <f>Ventas[[#This Row],[Total bruto (antes de descuento)]]-Ventas[[#This Row],[total_venta]]</f>
        <v>52.5</v>
      </c>
    </row>
    <row r="2200" spans="1:18" x14ac:dyDescent="0.25">
      <c r="A2200" t="s">
        <v>2293</v>
      </c>
      <c r="B2200" s="1">
        <v>45136</v>
      </c>
      <c r="C2200" t="s">
        <v>89</v>
      </c>
      <c r="D2200" t="s">
        <v>38</v>
      </c>
      <c r="E2200">
        <v>3</v>
      </c>
      <c r="F2200" s="2">
        <v>69.989999999999995</v>
      </c>
      <c r="G2200">
        <v>20</v>
      </c>
      <c r="H2200" s="2">
        <v>55.99</v>
      </c>
      <c r="I2200" s="2">
        <v>167.97</v>
      </c>
      <c r="J2200" t="s">
        <v>51</v>
      </c>
      <c r="K2200" t="s">
        <v>44</v>
      </c>
      <c r="L2200" t="s">
        <v>32</v>
      </c>
      <c r="M2200" t="s">
        <v>63</v>
      </c>
      <c r="N2200" t="s">
        <v>34</v>
      </c>
      <c r="O2200" t="s">
        <v>24</v>
      </c>
      <c r="Q2200" s="2">
        <f>Ventas[[#This Row],[precio_base]]*Ventas[[#This Row],[cantidad]]</f>
        <v>209.96999999999997</v>
      </c>
      <c r="R2200" s="2">
        <f>Ventas[[#This Row],[Total bruto (antes de descuento)]]-Ventas[[#This Row],[total_venta]]</f>
        <v>41.999999999999972</v>
      </c>
    </row>
    <row r="2201" spans="1:18" x14ac:dyDescent="0.25">
      <c r="A2201" t="s">
        <v>2294</v>
      </c>
      <c r="B2201" s="1">
        <v>45089</v>
      </c>
      <c r="C2201" t="s">
        <v>92</v>
      </c>
      <c r="D2201" t="s">
        <v>27</v>
      </c>
      <c r="E2201">
        <v>4</v>
      </c>
      <c r="F2201" s="2">
        <v>79.989999999999995</v>
      </c>
      <c r="G2201">
        <v>0</v>
      </c>
      <c r="H2201" s="2">
        <v>79.989999999999995</v>
      </c>
      <c r="I2201" s="2">
        <v>319.95999999999998</v>
      </c>
      <c r="J2201" t="s">
        <v>19</v>
      </c>
      <c r="K2201" t="s">
        <v>44</v>
      </c>
      <c r="L2201" t="s">
        <v>28</v>
      </c>
      <c r="M2201" t="s">
        <v>46</v>
      </c>
      <c r="N2201" t="s">
        <v>47</v>
      </c>
      <c r="O2201" t="s">
        <v>48</v>
      </c>
      <c r="P2201">
        <v>4</v>
      </c>
      <c r="Q2201" s="2">
        <f>Ventas[[#This Row],[precio_base]]*Ventas[[#This Row],[cantidad]]</f>
        <v>319.95999999999998</v>
      </c>
      <c r="R2201" s="2">
        <f>Ventas[[#This Row],[Total bruto (antes de descuento)]]-Ventas[[#This Row],[total_venta]]</f>
        <v>0</v>
      </c>
    </row>
    <row r="2202" spans="1:18" x14ac:dyDescent="0.25">
      <c r="A2202" t="s">
        <v>2295</v>
      </c>
      <c r="B2202" s="1">
        <v>45038</v>
      </c>
      <c r="C2202" t="s">
        <v>56</v>
      </c>
      <c r="D2202" t="s">
        <v>18</v>
      </c>
      <c r="E2202">
        <v>2</v>
      </c>
      <c r="F2202" s="2">
        <v>89.99</v>
      </c>
      <c r="G2202">
        <v>0</v>
      </c>
      <c r="H2202" s="2">
        <v>89.99</v>
      </c>
      <c r="I2202" s="2">
        <v>179.98</v>
      </c>
      <c r="J2202" t="s">
        <v>19</v>
      </c>
      <c r="K2202" t="s">
        <v>20</v>
      </c>
      <c r="L2202" t="s">
        <v>21</v>
      </c>
      <c r="M2202" t="s">
        <v>120</v>
      </c>
      <c r="N2202" t="s">
        <v>23</v>
      </c>
      <c r="O2202" t="s">
        <v>24</v>
      </c>
      <c r="P2202">
        <v>2</v>
      </c>
      <c r="Q2202" s="2">
        <f>Ventas[[#This Row],[precio_base]]*Ventas[[#This Row],[cantidad]]</f>
        <v>179.98</v>
      </c>
      <c r="R2202" s="2">
        <f>Ventas[[#This Row],[Total bruto (antes de descuento)]]-Ventas[[#This Row],[total_venta]]</f>
        <v>0</v>
      </c>
    </row>
    <row r="2203" spans="1:18" x14ac:dyDescent="0.25">
      <c r="A2203" t="s">
        <v>2296</v>
      </c>
      <c r="B2203" s="1">
        <v>45199</v>
      </c>
      <c r="C2203" t="s">
        <v>30</v>
      </c>
      <c r="D2203" t="s">
        <v>31</v>
      </c>
      <c r="E2203">
        <v>5</v>
      </c>
      <c r="F2203" s="2">
        <v>299.99</v>
      </c>
      <c r="G2203">
        <v>15</v>
      </c>
      <c r="H2203" s="2">
        <v>254.99</v>
      </c>
      <c r="I2203" s="2">
        <v>1274.95</v>
      </c>
      <c r="J2203" t="s">
        <v>19</v>
      </c>
      <c r="K2203" t="s">
        <v>44</v>
      </c>
      <c r="L2203" t="s">
        <v>152</v>
      </c>
      <c r="M2203" t="s">
        <v>73</v>
      </c>
      <c r="N2203" t="s">
        <v>74</v>
      </c>
      <c r="O2203" t="s">
        <v>35</v>
      </c>
      <c r="P2203">
        <v>5</v>
      </c>
      <c r="Q2203" s="2">
        <f>Ventas[[#This Row],[precio_base]]*Ventas[[#This Row],[cantidad]]</f>
        <v>1499.95</v>
      </c>
      <c r="R2203" s="2">
        <f>Ventas[[#This Row],[Total bruto (antes de descuento)]]-Ventas[[#This Row],[total_venta]]</f>
        <v>225</v>
      </c>
    </row>
    <row r="2204" spans="1:18" x14ac:dyDescent="0.25">
      <c r="A2204" t="s">
        <v>2297</v>
      </c>
      <c r="B2204" s="1">
        <v>45526</v>
      </c>
      <c r="C2204" t="s">
        <v>141</v>
      </c>
      <c r="D2204" t="s">
        <v>38</v>
      </c>
      <c r="E2204">
        <v>4</v>
      </c>
      <c r="F2204" s="2">
        <v>89.99</v>
      </c>
      <c r="G2204">
        <v>0</v>
      </c>
      <c r="H2204" s="2">
        <v>89.99</v>
      </c>
      <c r="I2204" s="2">
        <v>359.96</v>
      </c>
      <c r="J2204" t="s">
        <v>62</v>
      </c>
      <c r="K2204" t="s">
        <v>44</v>
      </c>
      <c r="L2204" t="s">
        <v>45</v>
      </c>
      <c r="M2204" t="s">
        <v>33</v>
      </c>
      <c r="N2204" t="s">
        <v>34</v>
      </c>
      <c r="O2204" t="s">
        <v>35</v>
      </c>
      <c r="Q2204" s="2">
        <f>Ventas[[#This Row],[precio_base]]*Ventas[[#This Row],[cantidad]]</f>
        <v>359.96</v>
      </c>
      <c r="R2204" s="2">
        <f>Ventas[[#This Row],[Total bruto (antes de descuento)]]-Ventas[[#This Row],[total_venta]]</f>
        <v>0</v>
      </c>
    </row>
    <row r="2205" spans="1:18" x14ac:dyDescent="0.25">
      <c r="A2205" t="s">
        <v>2298</v>
      </c>
      <c r="B2205" s="1">
        <v>45386</v>
      </c>
      <c r="C2205" t="s">
        <v>37</v>
      </c>
      <c r="D2205" t="s">
        <v>38</v>
      </c>
      <c r="E2205">
        <v>2</v>
      </c>
      <c r="F2205" s="2">
        <v>34.99</v>
      </c>
      <c r="G2205">
        <v>10</v>
      </c>
      <c r="H2205" s="2">
        <v>31.49</v>
      </c>
      <c r="I2205" s="2">
        <v>62.98</v>
      </c>
      <c r="J2205" t="s">
        <v>62</v>
      </c>
      <c r="K2205" t="s">
        <v>20</v>
      </c>
      <c r="L2205" t="s">
        <v>21</v>
      </c>
      <c r="M2205" t="s">
        <v>101</v>
      </c>
      <c r="N2205" t="s">
        <v>102</v>
      </c>
      <c r="O2205" t="s">
        <v>35</v>
      </c>
      <c r="Q2205" s="2">
        <f>Ventas[[#This Row],[precio_base]]*Ventas[[#This Row],[cantidad]]</f>
        <v>69.98</v>
      </c>
      <c r="R2205" s="2">
        <f>Ventas[[#This Row],[Total bruto (antes de descuento)]]-Ventas[[#This Row],[total_venta]]</f>
        <v>7.0000000000000071</v>
      </c>
    </row>
    <row r="2206" spans="1:18" x14ac:dyDescent="0.25">
      <c r="A2206" t="s">
        <v>2299</v>
      </c>
      <c r="B2206" s="1">
        <v>45146</v>
      </c>
      <c r="C2206" t="s">
        <v>122</v>
      </c>
      <c r="D2206" t="s">
        <v>43</v>
      </c>
      <c r="E2206">
        <v>1</v>
      </c>
      <c r="F2206" s="2">
        <v>44.99</v>
      </c>
      <c r="G2206">
        <v>0</v>
      </c>
      <c r="H2206" s="2">
        <v>44.99</v>
      </c>
      <c r="I2206" s="2">
        <v>44.99</v>
      </c>
      <c r="J2206" t="s">
        <v>19</v>
      </c>
      <c r="K2206" t="s">
        <v>52</v>
      </c>
      <c r="L2206" t="s">
        <v>45</v>
      </c>
      <c r="M2206" t="s">
        <v>120</v>
      </c>
      <c r="N2206" t="s">
        <v>23</v>
      </c>
      <c r="O2206" t="s">
        <v>24</v>
      </c>
      <c r="P2206">
        <v>1</v>
      </c>
      <c r="Q2206" s="2">
        <f>Ventas[[#This Row],[precio_base]]*Ventas[[#This Row],[cantidad]]</f>
        <v>44.99</v>
      </c>
      <c r="R2206" s="2">
        <f>Ventas[[#This Row],[Total bruto (antes de descuento)]]-Ventas[[#This Row],[total_venta]]</f>
        <v>0</v>
      </c>
    </row>
    <row r="2207" spans="1:18" x14ac:dyDescent="0.25">
      <c r="A2207" t="s">
        <v>2300</v>
      </c>
      <c r="B2207" s="1">
        <v>45522</v>
      </c>
      <c r="C2207" t="s">
        <v>17</v>
      </c>
      <c r="D2207" t="s">
        <v>18</v>
      </c>
      <c r="E2207">
        <v>2</v>
      </c>
      <c r="F2207" s="2">
        <v>45.99</v>
      </c>
      <c r="G2207">
        <v>0</v>
      </c>
      <c r="H2207" s="2">
        <v>45.99</v>
      </c>
      <c r="I2207" s="2">
        <v>91.98</v>
      </c>
      <c r="J2207" t="s">
        <v>19</v>
      </c>
      <c r="K2207" t="s">
        <v>44</v>
      </c>
      <c r="L2207" t="s">
        <v>32</v>
      </c>
      <c r="M2207" t="s">
        <v>84</v>
      </c>
      <c r="N2207" t="s">
        <v>85</v>
      </c>
      <c r="O2207" t="s">
        <v>35</v>
      </c>
      <c r="P2207">
        <v>5</v>
      </c>
      <c r="Q2207" s="2">
        <f>Ventas[[#This Row],[precio_base]]*Ventas[[#This Row],[cantidad]]</f>
        <v>91.98</v>
      </c>
      <c r="R2207" s="2">
        <f>Ventas[[#This Row],[Total bruto (antes de descuento)]]-Ventas[[#This Row],[total_venta]]</f>
        <v>0</v>
      </c>
    </row>
    <row r="2208" spans="1:18" x14ac:dyDescent="0.25">
      <c r="A2208" t="s">
        <v>2301</v>
      </c>
      <c r="B2208" s="1">
        <v>45417</v>
      </c>
      <c r="C2208" t="s">
        <v>109</v>
      </c>
      <c r="D2208" t="s">
        <v>38</v>
      </c>
      <c r="E2208">
        <v>5</v>
      </c>
      <c r="F2208" s="2">
        <v>39.99</v>
      </c>
      <c r="G2208">
        <v>15</v>
      </c>
      <c r="H2208" s="2">
        <v>33.99</v>
      </c>
      <c r="I2208" s="2">
        <v>169.95</v>
      </c>
      <c r="J2208" t="s">
        <v>51</v>
      </c>
      <c r="K2208" t="s">
        <v>20</v>
      </c>
      <c r="L2208" t="s">
        <v>21</v>
      </c>
      <c r="M2208" t="s">
        <v>63</v>
      </c>
      <c r="N2208" t="s">
        <v>34</v>
      </c>
      <c r="O2208" t="s">
        <v>24</v>
      </c>
      <c r="Q2208" s="2">
        <f>Ventas[[#This Row],[precio_base]]*Ventas[[#This Row],[cantidad]]</f>
        <v>199.95000000000002</v>
      </c>
      <c r="R2208" s="2">
        <f>Ventas[[#This Row],[Total bruto (antes de descuento)]]-Ventas[[#This Row],[total_venta]]</f>
        <v>30.000000000000028</v>
      </c>
    </row>
    <row r="2209" spans="1:18" x14ac:dyDescent="0.25">
      <c r="A2209" t="s">
        <v>2302</v>
      </c>
      <c r="B2209" s="1">
        <v>45164</v>
      </c>
      <c r="C2209" t="s">
        <v>70</v>
      </c>
      <c r="D2209" t="s">
        <v>31</v>
      </c>
      <c r="E2209">
        <v>2</v>
      </c>
      <c r="F2209" s="2">
        <v>59.99</v>
      </c>
      <c r="G2209">
        <v>0</v>
      </c>
      <c r="H2209" s="2">
        <v>59.99</v>
      </c>
      <c r="I2209" s="2">
        <v>119.98</v>
      </c>
      <c r="J2209" t="s">
        <v>90</v>
      </c>
      <c r="K2209" t="s">
        <v>52</v>
      </c>
      <c r="L2209" t="s">
        <v>45</v>
      </c>
      <c r="M2209" t="s">
        <v>65</v>
      </c>
      <c r="N2209" t="s">
        <v>54</v>
      </c>
      <c r="O2209" t="s">
        <v>35</v>
      </c>
      <c r="Q2209" s="2">
        <f>Ventas[[#This Row],[precio_base]]*Ventas[[#This Row],[cantidad]]</f>
        <v>119.98</v>
      </c>
      <c r="R2209" s="2">
        <f>Ventas[[#This Row],[Total bruto (antes de descuento)]]-Ventas[[#This Row],[total_venta]]</f>
        <v>0</v>
      </c>
    </row>
    <row r="2210" spans="1:18" x14ac:dyDescent="0.25">
      <c r="A2210" t="s">
        <v>2303</v>
      </c>
      <c r="B2210" s="1">
        <v>45002</v>
      </c>
      <c r="C2210" t="s">
        <v>163</v>
      </c>
      <c r="D2210" t="s">
        <v>18</v>
      </c>
      <c r="E2210">
        <v>5</v>
      </c>
      <c r="F2210" s="2">
        <v>499.99</v>
      </c>
      <c r="G2210">
        <v>10</v>
      </c>
      <c r="H2210" s="2">
        <v>449.99</v>
      </c>
      <c r="I2210" s="2">
        <v>2249.9499999999998</v>
      </c>
      <c r="J2210" t="s">
        <v>19</v>
      </c>
      <c r="K2210" t="s">
        <v>44</v>
      </c>
      <c r="L2210" t="s">
        <v>21</v>
      </c>
      <c r="M2210" t="s">
        <v>65</v>
      </c>
      <c r="N2210" t="s">
        <v>54</v>
      </c>
      <c r="O2210" t="s">
        <v>35</v>
      </c>
      <c r="P2210">
        <v>3</v>
      </c>
      <c r="Q2210" s="2">
        <f>Ventas[[#This Row],[precio_base]]*Ventas[[#This Row],[cantidad]]</f>
        <v>2499.9499999999998</v>
      </c>
      <c r="R2210" s="2">
        <f>Ventas[[#This Row],[Total bruto (antes de descuento)]]-Ventas[[#This Row],[total_venta]]</f>
        <v>250</v>
      </c>
    </row>
    <row r="2211" spans="1:18" x14ac:dyDescent="0.25">
      <c r="A2211" t="s">
        <v>2304</v>
      </c>
      <c r="B2211" s="1">
        <v>45489</v>
      </c>
      <c r="C2211" t="s">
        <v>78</v>
      </c>
      <c r="D2211" t="s">
        <v>18</v>
      </c>
      <c r="E2211">
        <v>2</v>
      </c>
      <c r="F2211" s="2">
        <v>349.99</v>
      </c>
      <c r="G2211">
        <v>0</v>
      </c>
      <c r="H2211" s="2">
        <v>349.99</v>
      </c>
      <c r="I2211" s="2">
        <v>699.98</v>
      </c>
      <c r="J2211" t="s">
        <v>19</v>
      </c>
      <c r="K2211" t="s">
        <v>52</v>
      </c>
      <c r="L2211" t="s">
        <v>21</v>
      </c>
      <c r="M2211" t="s">
        <v>67</v>
      </c>
      <c r="N2211" t="s">
        <v>68</v>
      </c>
      <c r="O2211" t="s">
        <v>35</v>
      </c>
      <c r="P2211">
        <v>2</v>
      </c>
      <c r="Q2211" s="2">
        <f>Ventas[[#This Row],[precio_base]]*Ventas[[#This Row],[cantidad]]</f>
        <v>699.98</v>
      </c>
      <c r="R2211" s="2">
        <f>Ventas[[#This Row],[Total bruto (antes de descuento)]]-Ventas[[#This Row],[total_venta]]</f>
        <v>0</v>
      </c>
    </row>
    <row r="2212" spans="1:18" x14ac:dyDescent="0.25">
      <c r="A2212" t="s">
        <v>2305</v>
      </c>
      <c r="B2212" s="1">
        <v>45642</v>
      </c>
      <c r="C2212" t="s">
        <v>72</v>
      </c>
      <c r="D2212" t="s">
        <v>31</v>
      </c>
      <c r="E2212">
        <v>1</v>
      </c>
      <c r="F2212" s="2">
        <v>29.99</v>
      </c>
      <c r="G2212">
        <v>10</v>
      </c>
      <c r="H2212" s="2">
        <v>26.99</v>
      </c>
      <c r="I2212" s="2">
        <v>26.99</v>
      </c>
      <c r="J2212" t="s">
        <v>19</v>
      </c>
      <c r="K2212" t="s">
        <v>20</v>
      </c>
      <c r="L2212" t="s">
        <v>28</v>
      </c>
      <c r="M2212" t="s">
        <v>101</v>
      </c>
      <c r="N2212" t="s">
        <v>102</v>
      </c>
      <c r="O2212" t="s">
        <v>35</v>
      </c>
      <c r="P2212">
        <v>5</v>
      </c>
      <c r="Q2212" s="2">
        <f>Ventas[[#This Row],[precio_base]]*Ventas[[#This Row],[cantidad]]</f>
        <v>29.99</v>
      </c>
      <c r="R2212" s="2">
        <f>Ventas[[#This Row],[Total bruto (antes de descuento)]]-Ventas[[#This Row],[total_venta]]</f>
        <v>3</v>
      </c>
    </row>
    <row r="2213" spans="1:18" x14ac:dyDescent="0.25">
      <c r="A2213" t="s">
        <v>2306</v>
      </c>
      <c r="B2213" s="1">
        <v>45009</v>
      </c>
      <c r="C2213" t="s">
        <v>76</v>
      </c>
      <c r="D2213" t="s">
        <v>31</v>
      </c>
      <c r="E2213">
        <v>3</v>
      </c>
      <c r="F2213" s="2">
        <v>69.989999999999995</v>
      </c>
      <c r="G2213">
        <v>5</v>
      </c>
      <c r="H2213" s="2">
        <v>66.489999999999995</v>
      </c>
      <c r="I2213" s="2">
        <v>199.47</v>
      </c>
      <c r="J2213" t="s">
        <v>19</v>
      </c>
      <c r="K2213" t="s">
        <v>57</v>
      </c>
      <c r="L2213" t="s">
        <v>21</v>
      </c>
      <c r="M2213" t="s">
        <v>58</v>
      </c>
      <c r="N2213" t="s">
        <v>59</v>
      </c>
      <c r="O2213" t="s">
        <v>24</v>
      </c>
      <c r="P2213">
        <v>1</v>
      </c>
      <c r="Q2213" s="2">
        <f>Ventas[[#This Row],[precio_base]]*Ventas[[#This Row],[cantidad]]</f>
        <v>209.96999999999997</v>
      </c>
      <c r="R2213" s="2">
        <f>Ventas[[#This Row],[Total bruto (antes de descuento)]]-Ventas[[#This Row],[total_venta]]</f>
        <v>10.499999999999972</v>
      </c>
    </row>
    <row r="2214" spans="1:18" x14ac:dyDescent="0.25">
      <c r="A2214" t="s">
        <v>2307</v>
      </c>
      <c r="B2214" s="1">
        <v>44938</v>
      </c>
      <c r="C2214" t="s">
        <v>98</v>
      </c>
      <c r="D2214" t="s">
        <v>31</v>
      </c>
      <c r="E2214">
        <v>1</v>
      </c>
      <c r="F2214" s="2">
        <v>99.99</v>
      </c>
      <c r="G2214">
        <v>20</v>
      </c>
      <c r="H2214" s="2">
        <v>79.989999999999995</v>
      </c>
      <c r="I2214" s="2">
        <v>79.989999999999995</v>
      </c>
      <c r="J2214" t="s">
        <v>51</v>
      </c>
      <c r="K2214" t="s">
        <v>52</v>
      </c>
      <c r="L2214" t="s">
        <v>28</v>
      </c>
      <c r="M2214" t="s">
        <v>46</v>
      </c>
      <c r="N2214" t="s">
        <v>47</v>
      </c>
      <c r="O2214" t="s">
        <v>48</v>
      </c>
      <c r="Q2214" s="2">
        <f>Ventas[[#This Row],[precio_base]]*Ventas[[#This Row],[cantidad]]</f>
        <v>99.99</v>
      </c>
      <c r="R2214" s="2">
        <f>Ventas[[#This Row],[Total bruto (antes de descuento)]]-Ventas[[#This Row],[total_venta]]</f>
        <v>20</v>
      </c>
    </row>
    <row r="2215" spans="1:18" x14ac:dyDescent="0.25">
      <c r="A2215" t="s">
        <v>2308</v>
      </c>
      <c r="B2215" s="1">
        <v>45012</v>
      </c>
      <c r="C2215" t="s">
        <v>141</v>
      </c>
      <c r="D2215" t="s">
        <v>38</v>
      </c>
      <c r="E2215">
        <v>2</v>
      </c>
      <c r="F2215" s="2">
        <v>89.99</v>
      </c>
      <c r="G2215">
        <v>20</v>
      </c>
      <c r="H2215" s="2">
        <v>71.989999999999995</v>
      </c>
      <c r="I2215" s="2">
        <v>143.97999999999999</v>
      </c>
      <c r="J2215" t="s">
        <v>51</v>
      </c>
      <c r="K2215" t="s">
        <v>44</v>
      </c>
      <c r="L2215" t="s">
        <v>21</v>
      </c>
      <c r="M2215" t="s">
        <v>73</v>
      </c>
      <c r="N2215" t="s">
        <v>74</v>
      </c>
      <c r="O2215" t="s">
        <v>35</v>
      </c>
      <c r="Q2215" s="2">
        <f>Ventas[[#This Row],[precio_base]]*Ventas[[#This Row],[cantidad]]</f>
        <v>179.98</v>
      </c>
      <c r="R2215" s="2">
        <f>Ventas[[#This Row],[Total bruto (antes de descuento)]]-Ventas[[#This Row],[total_venta]]</f>
        <v>36</v>
      </c>
    </row>
    <row r="2216" spans="1:18" x14ac:dyDescent="0.25">
      <c r="A2216" t="s">
        <v>2309</v>
      </c>
      <c r="B2216" s="1">
        <v>45121</v>
      </c>
      <c r="C2216" t="s">
        <v>92</v>
      </c>
      <c r="D2216" t="s">
        <v>27</v>
      </c>
      <c r="E2216">
        <v>1</v>
      </c>
      <c r="F2216" s="2">
        <v>79.989999999999995</v>
      </c>
      <c r="G2216">
        <v>5</v>
      </c>
      <c r="H2216" s="2">
        <v>75.989999999999995</v>
      </c>
      <c r="I2216" s="2">
        <v>75.989999999999995</v>
      </c>
      <c r="J2216" t="s">
        <v>51</v>
      </c>
      <c r="K2216" t="s">
        <v>44</v>
      </c>
      <c r="L2216" t="s">
        <v>21</v>
      </c>
      <c r="M2216" t="s">
        <v>65</v>
      </c>
      <c r="N2216" t="s">
        <v>54</v>
      </c>
      <c r="O2216" t="s">
        <v>35</v>
      </c>
      <c r="Q2216" s="2">
        <f>Ventas[[#This Row],[precio_base]]*Ventas[[#This Row],[cantidad]]</f>
        <v>79.989999999999995</v>
      </c>
      <c r="R2216" s="2">
        <f>Ventas[[#This Row],[Total bruto (antes de descuento)]]-Ventas[[#This Row],[total_venta]]</f>
        <v>4</v>
      </c>
    </row>
    <row r="2217" spans="1:18" x14ac:dyDescent="0.25">
      <c r="A2217" t="s">
        <v>2310</v>
      </c>
      <c r="B2217" s="1">
        <v>45572</v>
      </c>
      <c r="C2217" t="s">
        <v>76</v>
      </c>
      <c r="D2217" t="s">
        <v>31</v>
      </c>
      <c r="E2217">
        <v>5</v>
      </c>
      <c r="F2217" s="2">
        <v>69.989999999999995</v>
      </c>
      <c r="G2217">
        <v>0</v>
      </c>
      <c r="H2217" s="2">
        <v>69.989999999999995</v>
      </c>
      <c r="I2217" s="2">
        <v>349.95</v>
      </c>
      <c r="J2217" t="s">
        <v>51</v>
      </c>
      <c r="K2217" t="s">
        <v>20</v>
      </c>
      <c r="L2217" t="s">
        <v>28</v>
      </c>
      <c r="M2217" t="s">
        <v>123</v>
      </c>
      <c r="N2217" t="s">
        <v>124</v>
      </c>
      <c r="O2217" t="s">
        <v>24</v>
      </c>
      <c r="Q2217" s="2">
        <f>Ventas[[#This Row],[precio_base]]*Ventas[[#This Row],[cantidad]]</f>
        <v>349.95</v>
      </c>
      <c r="R2217" s="2">
        <f>Ventas[[#This Row],[Total bruto (antes de descuento)]]-Ventas[[#This Row],[total_venta]]</f>
        <v>0</v>
      </c>
    </row>
    <row r="2218" spans="1:18" x14ac:dyDescent="0.25">
      <c r="A2218" t="s">
        <v>2311</v>
      </c>
      <c r="B2218" s="1">
        <v>45443</v>
      </c>
      <c r="C2218" t="s">
        <v>72</v>
      </c>
      <c r="D2218" t="s">
        <v>31</v>
      </c>
      <c r="E2218">
        <v>3</v>
      </c>
      <c r="F2218" s="2">
        <v>29.99</v>
      </c>
      <c r="G2218">
        <v>20</v>
      </c>
      <c r="H2218" s="2">
        <v>23.99</v>
      </c>
      <c r="I2218" s="2">
        <v>71.97</v>
      </c>
      <c r="J2218" t="s">
        <v>19</v>
      </c>
      <c r="K2218" t="s">
        <v>20</v>
      </c>
      <c r="L2218" t="s">
        <v>32</v>
      </c>
      <c r="M2218" t="s">
        <v>63</v>
      </c>
      <c r="N2218" t="s">
        <v>34</v>
      </c>
      <c r="O2218" t="s">
        <v>24</v>
      </c>
      <c r="P2218">
        <v>5</v>
      </c>
      <c r="Q2218" s="2">
        <f>Ventas[[#This Row],[precio_base]]*Ventas[[#This Row],[cantidad]]</f>
        <v>89.97</v>
      </c>
      <c r="R2218" s="2">
        <f>Ventas[[#This Row],[Total bruto (antes de descuento)]]-Ventas[[#This Row],[total_venta]]</f>
        <v>18</v>
      </c>
    </row>
    <row r="2219" spans="1:18" x14ac:dyDescent="0.25">
      <c r="A2219" t="s">
        <v>2312</v>
      </c>
      <c r="B2219" s="1">
        <v>45611</v>
      </c>
      <c r="C2219" t="s">
        <v>26</v>
      </c>
      <c r="D2219" t="s">
        <v>27</v>
      </c>
      <c r="E2219">
        <v>5</v>
      </c>
      <c r="F2219" s="2">
        <v>399.99</v>
      </c>
      <c r="G2219">
        <v>5</v>
      </c>
      <c r="H2219" s="2">
        <v>379.99</v>
      </c>
      <c r="I2219" s="2">
        <v>1899.95</v>
      </c>
      <c r="J2219" t="s">
        <v>19</v>
      </c>
      <c r="K2219" t="s">
        <v>52</v>
      </c>
      <c r="L2219" t="s">
        <v>21</v>
      </c>
      <c r="M2219" t="s">
        <v>65</v>
      </c>
      <c r="N2219" t="s">
        <v>54</v>
      </c>
      <c r="O2219" t="s">
        <v>35</v>
      </c>
      <c r="P2219">
        <v>2</v>
      </c>
      <c r="Q2219" s="2">
        <f>Ventas[[#This Row],[precio_base]]*Ventas[[#This Row],[cantidad]]</f>
        <v>1999.95</v>
      </c>
      <c r="R2219" s="2">
        <f>Ventas[[#This Row],[Total bruto (antes de descuento)]]-Ventas[[#This Row],[total_venta]]</f>
        <v>100</v>
      </c>
    </row>
    <row r="2220" spans="1:18" x14ac:dyDescent="0.25">
      <c r="A2220" t="s">
        <v>2313</v>
      </c>
      <c r="B2220" s="1">
        <v>45222</v>
      </c>
      <c r="C2220" t="s">
        <v>87</v>
      </c>
      <c r="D2220" t="s">
        <v>27</v>
      </c>
      <c r="E2220">
        <v>5</v>
      </c>
      <c r="F2220" s="2">
        <v>249.99</v>
      </c>
      <c r="G2220">
        <v>20</v>
      </c>
      <c r="H2220" s="2">
        <v>199.99</v>
      </c>
      <c r="I2220" s="2">
        <v>999.95</v>
      </c>
      <c r="J2220" t="s">
        <v>19</v>
      </c>
      <c r="K2220" t="s">
        <v>44</v>
      </c>
      <c r="L2220" t="s">
        <v>45</v>
      </c>
      <c r="M2220" t="s">
        <v>120</v>
      </c>
      <c r="N2220" t="s">
        <v>23</v>
      </c>
      <c r="O2220" t="s">
        <v>24</v>
      </c>
      <c r="P2220">
        <v>4</v>
      </c>
      <c r="Q2220" s="2">
        <f>Ventas[[#This Row],[precio_base]]*Ventas[[#This Row],[cantidad]]</f>
        <v>1249.95</v>
      </c>
      <c r="R2220" s="2">
        <f>Ventas[[#This Row],[Total bruto (antes de descuento)]]-Ventas[[#This Row],[total_venta]]</f>
        <v>250</v>
      </c>
    </row>
    <row r="2221" spans="1:18" x14ac:dyDescent="0.25">
      <c r="A2221" t="s">
        <v>2314</v>
      </c>
      <c r="B2221" s="1">
        <v>44953</v>
      </c>
      <c r="C2221" t="s">
        <v>94</v>
      </c>
      <c r="D2221" t="s">
        <v>18</v>
      </c>
      <c r="E2221">
        <v>5</v>
      </c>
      <c r="F2221" s="2">
        <v>899.99</v>
      </c>
      <c r="G2221">
        <v>0</v>
      </c>
      <c r="H2221" s="2">
        <v>899.99</v>
      </c>
      <c r="I2221" s="2">
        <v>4499.95</v>
      </c>
      <c r="J2221" t="s">
        <v>19</v>
      </c>
      <c r="K2221" t="s">
        <v>52</v>
      </c>
      <c r="L2221" t="s">
        <v>45</v>
      </c>
      <c r="M2221" t="s">
        <v>58</v>
      </c>
      <c r="N2221" t="s">
        <v>59</v>
      </c>
      <c r="O2221" t="s">
        <v>24</v>
      </c>
      <c r="P2221">
        <v>3</v>
      </c>
      <c r="Q2221" s="2">
        <f>Ventas[[#This Row],[precio_base]]*Ventas[[#This Row],[cantidad]]</f>
        <v>4499.95</v>
      </c>
      <c r="R2221" s="2">
        <f>Ventas[[#This Row],[Total bruto (antes de descuento)]]-Ventas[[#This Row],[total_venta]]</f>
        <v>0</v>
      </c>
    </row>
    <row r="2222" spans="1:18" x14ac:dyDescent="0.25">
      <c r="A2222" t="s">
        <v>2315</v>
      </c>
      <c r="B2222" s="1">
        <v>45017</v>
      </c>
      <c r="C2222" t="s">
        <v>89</v>
      </c>
      <c r="D2222" t="s">
        <v>38</v>
      </c>
      <c r="E2222">
        <v>5</v>
      </c>
      <c r="F2222" s="2">
        <v>69.989999999999995</v>
      </c>
      <c r="G2222">
        <v>0</v>
      </c>
      <c r="H2222" s="2">
        <v>69.989999999999995</v>
      </c>
      <c r="I2222" s="2">
        <v>349.95</v>
      </c>
      <c r="J2222" t="s">
        <v>19</v>
      </c>
      <c r="K2222" t="s">
        <v>20</v>
      </c>
      <c r="L2222" t="s">
        <v>21</v>
      </c>
      <c r="M2222" t="s">
        <v>120</v>
      </c>
      <c r="N2222" t="s">
        <v>23</v>
      </c>
      <c r="O2222" t="s">
        <v>24</v>
      </c>
      <c r="P2222">
        <v>4</v>
      </c>
      <c r="Q2222" s="2">
        <f>Ventas[[#This Row],[precio_base]]*Ventas[[#This Row],[cantidad]]</f>
        <v>349.95</v>
      </c>
      <c r="R2222" s="2">
        <f>Ventas[[#This Row],[Total bruto (antes de descuento)]]-Ventas[[#This Row],[total_venta]]</f>
        <v>0</v>
      </c>
    </row>
    <row r="2223" spans="1:18" x14ac:dyDescent="0.25">
      <c r="A2223" t="s">
        <v>2316</v>
      </c>
      <c r="B2223" s="1">
        <v>45079</v>
      </c>
      <c r="C2223" t="s">
        <v>70</v>
      </c>
      <c r="D2223" t="s">
        <v>31</v>
      </c>
      <c r="E2223">
        <v>3</v>
      </c>
      <c r="F2223" s="2">
        <v>59.99</v>
      </c>
      <c r="G2223">
        <v>10</v>
      </c>
      <c r="H2223" s="2">
        <v>53.99</v>
      </c>
      <c r="I2223" s="2">
        <v>161.97</v>
      </c>
      <c r="J2223" t="s">
        <v>19</v>
      </c>
      <c r="K2223" t="s">
        <v>20</v>
      </c>
      <c r="L2223" t="s">
        <v>21</v>
      </c>
      <c r="M2223" t="s">
        <v>123</v>
      </c>
      <c r="N2223" t="s">
        <v>124</v>
      </c>
      <c r="O2223" t="s">
        <v>24</v>
      </c>
      <c r="P2223">
        <v>3</v>
      </c>
      <c r="Q2223" s="2">
        <f>Ventas[[#This Row],[precio_base]]*Ventas[[#This Row],[cantidad]]</f>
        <v>179.97</v>
      </c>
      <c r="R2223" s="2">
        <f>Ventas[[#This Row],[Total bruto (antes de descuento)]]-Ventas[[#This Row],[total_venta]]</f>
        <v>18</v>
      </c>
    </row>
    <row r="2224" spans="1:18" x14ac:dyDescent="0.25">
      <c r="A2224" t="s">
        <v>2317</v>
      </c>
      <c r="B2224" s="1">
        <v>45101</v>
      </c>
      <c r="C2224" t="s">
        <v>70</v>
      </c>
      <c r="D2224" t="s">
        <v>31</v>
      </c>
      <c r="E2224">
        <v>5</v>
      </c>
      <c r="F2224" s="2">
        <v>59.99</v>
      </c>
      <c r="G2224">
        <v>5</v>
      </c>
      <c r="H2224" s="2">
        <v>56.99</v>
      </c>
      <c r="I2224" s="2">
        <v>284.95</v>
      </c>
      <c r="J2224" t="s">
        <v>51</v>
      </c>
      <c r="K2224" t="s">
        <v>44</v>
      </c>
      <c r="L2224" t="s">
        <v>28</v>
      </c>
      <c r="M2224" t="s">
        <v>65</v>
      </c>
      <c r="N2224" t="s">
        <v>54</v>
      </c>
      <c r="O2224" t="s">
        <v>35</v>
      </c>
      <c r="Q2224" s="2">
        <f>Ventas[[#This Row],[precio_base]]*Ventas[[#This Row],[cantidad]]</f>
        <v>299.95</v>
      </c>
      <c r="R2224" s="2">
        <f>Ventas[[#This Row],[Total bruto (antes de descuento)]]-Ventas[[#This Row],[total_venta]]</f>
        <v>15</v>
      </c>
    </row>
    <row r="2225" spans="1:18" x14ac:dyDescent="0.25">
      <c r="A2225" t="s">
        <v>2318</v>
      </c>
      <c r="B2225" s="1">
        <v>44981</v>
      </c>
      <c r="C2225" t="s">
        <v>37</v>
      </c>
      <c r="D2225" t="s">
        <v>38</v>
      </c>
      <c r="E2225">
        <v>2</v>
      </c>
      <c r="F2225" s="2">
        <v>34.99</v>
      </c>
      <c r="G2225">
        <v>0</v>
      </c>
      <c r="H2225" s="2">
        <v>34.99</v>
      </c>
      <c r="I2225" s="2">
        <v>69.98</v>
      </c>
      <c r="J2225" t="s">
        <v>19</v>
      </c>
      <c r="K2225" t="s">
        <v>44</v>
      </c>
      <c r="L2225" t="s">
        <v>45</v>
      </c>
      <c r="M2225" t="s">
        <v>67</v>
      </c>
      <c r="N2225" t="s">
        <v>68</v>
      </c>
      <c r="O2225" t="s">
        <v>35</v>
      </c>
      <c r="P2225">
        <v>3</v>
      </c>
      <c r="Q2225" s="2">
        <f>Ventas[[#This Row],[precio_base]]*Ventas[[#This Row],[cantidad]]</f>
        <v>69.98</v>
      </c>
      <c r="R2225" s="2">
        <f>Ventas[[#This Row],[Total bruto (antes de descuento)]]-Ventas[[#This Row],[total_venta]]</f>
        <v>0</v>
      </c>
    </row>
    <row r="2226" spans="1:18" x14ac:dyDescent="0.25">
      <c r="A2226" t="s">
        <v>2319</v>
      </c>
      <c r="B2226" s="1">
        <v>44944</v>
      </c>
      <c r="C2226" t="s">
        <v>98</v>
      </c>
      <c r="D2226" t="s">
        <v>31</v>
      </c>
      <c r="E2226">
        <v>5</v>
      </c>
      <c r="F2226" s="2">
        <v>99.99</v>
      </c>
      <c r="G2226">
        <v>20</v>
      </c>
      <c r="H2226" s="2">
        <v>79.989999999999995</v>
      </c>
      <c r="I2226" s="2">
        <v>399.95</v>
      </c>
      <c r="J2226" t="s">
        <v>51</v>
      </c>
      <c r="K2226" t="s">
        <v>52</v>
      </c>
      <c r="L2226" t="s">
        <v>21</v>
      </c>
      <c r="M2226" t="s">
        <v>67</v>
      </c>
      <c r="N2226" t="s">
        <v>68</v>
      </c>
      <c r="O2226" t="s">
        <v>35</v>
      </c>
      <c r="Q2226" s="2">
        <f>Ventas[[#This Row],[precio_base]]*Ventas[[#This Row],[cantidad]]</f>
        <v>499.95</v>
      </c>
      <c r="R2226" s="2">
        <f>Ventas[[#This Row],[Total bruto (antes de descuento)]]-Ventas[[#This Row],[total_venta]]</f>
        <v>100</v>
      </c>
    </row>
    <row r="2227" spans="1:18" x14ac:dyDescent="0.25">
      <c r="A2227" t="s">
        <v>2320</v>
      </c>
      <c r="B2227" s="1">
        <v>44993</v>
      </c>
      <c r="C2227" t="s">
        <v>94</v>
      </c>
      <c r="D2227" t="s">
        <v>18</v>
      </c>
      <c r="E2227">
        <v>3</v>
      </c>
      <c r="F2227" s="2">
        <v>899.99</v>
      </c>
      <c r="G2227">
        <v>20</v>
      </c>
      <c r="H2227" s="2">
        <v>719.99</v>
      </c>
      <c r="I2227" s="2">
        <v>2159.9699999999998</v>
      </c>
      <c r="J2227" t="s">
        <v>19</v>
      </c>
      <c r="K2227" t="s">
        <v>52</v>
      </c>
      <c r="L2227" t="s">
        <v>21</v>
      </c>
      <c r="M2227" t="s">
        <v>95</v>
      </c>
      <c r="N2227" t="s">
        <v>96</v>
      </c>
      <c r="O2227" t="s">
        <v>48</v>
      </c>
      <c r="P2227">
        <v>5</v>
      </c>
      <c r="Q2227" s="2">
        <f>Ventas[[#This Row],[precio_base]]*Ventas[[#This Row],[cantidad]]</f>
        <v>2699.9700000000003</v>
      </c>
      <c r="R2227" s="2">
        <f>Ventas[[#This Row],[Total bruto (antes de descuento)]]-Ventas[[#This Row],[total_venta]]</f>
        <v>540.00000000000045</v>
      </c>
    </row>
    <row r="2228" spans="1:18" x14ac:dyDescent="0.25">
      <c r="A2228" t="s">
        <v>2321</v>
      </c>
      <c r="B2228" s="1">
        <v>45054</v>
      </c>
      <c r="C2228" t="s">
        <v>130</v>
      </c>
      <c r="D2228" t="s">
        <v>43</v>
      </c>
      <c r="E2228">
        <v>5</v>
      </c>
      <c r="F2228" s="2">
        <v>24.99</v>
      </c>
      <c r="G2228">
        <v>10</v>
      </c>
      <c r="H2228" s="2">
        <v>22.49</v>
      </c>
      <c r="I2228" s="2">
        <v>112.45</v>
      </c>
      <c r="J2228" t="s">
        <v>51</v>
      </c>
      <c r="K2228" t="s">
        <v>44</v>
      </c>
      <c r="L2228" t="s">
        <v>21</v>
      </c>
      <c r="M2228" t="s">
        <v>58</v>
      </c>
      <c r="N2228" t="s">
        <v>59</v>
      </c>
      <c r="O2228" t="s">
        <v>24</v>
      </c>
      <c r="Q2228" s="2">
        <f>Ventas[[#This Row],[precio_base]]*Ventas[[#This Row],[cantidad]]</f>
        <v>124.94999999999999</v>
      </c>
      <c r="R2228" s="2">
        <f>Ventas[[#This Row],[Total bruto (antes de descuento)]]-Ventas[[#This Row],[total_venta]]</f>
        <v>12.499999999999986</v>
      </c>
    </row>
    <row r="2229" spans="1:18" x14ac:dyDescent="0.25">
      <c r="A2229" t="s">
        <v>2322</v>
      </c>
      <c r="B2229" s="1">
        <v>45586</v>
      </c>
      <c r="C2229" t="s">
        <v>205</v>
      </c>
      <c r="D2229" t="s">
        <v>18</v>
      </c>
      <c r="E2229">
        <v>5</v>
      </c>
      <c r="F2229" s="2">
        <v>129.99</v>
      </c>
      <c r="G2229">
        <v>5</v>
      </c>
      <c r="H2229" s="2">
        <v>123.49</v>
      </c>
      <c r="I2229" s="2">
        <v>617.45000000000005</v>
      </c>
      <c r="J2229" t="s">
        <v>19</v>
      </c>
      <c r="K2229" t="s">
        <v>20</v>
      </c>
      <c r="L2229" t="s">
        <v>21</v>
      </c>
      <c r="M2229" t="s">
        <v>53</v>
      </c>
      <c r="N2229" t="s">
        <v>54</v>
      </c>
      <c r="O2229" t="s">
        <v>35</v>
      </c>
      <c r="P2229">
        <v>2</v>
      </c>
      <c r="Q2229" s="2">
        <f>Ventas[[#This Row],[precio_base]]*Ventas[[#This Row],[cantidad]]</f>
        <v>649.95000000000005</v>
      </c>
      <c r="R2229" s="2">
        <f>Ventas[[#This Row],[Total bruto (antes de descuento)]]-Ventas[[#This Row],[total_venta]]</f>
        <v>32.5</v>
      </c>
    </row>
    <row r="2230" spans="1:18" x14ac:dyDescent="0.25">
      <c r="A2230" t="s">
        <v>2323</v>
      </c>
      <c r="B2230" s="1">
        <v>45468</v>
      </c>
      <c r="C2230" t="s">
        <v>72</v>
      </c>
      <c r="D2230" t="s">
        <v>31</v>
      </c>
      <c r="E2230">
        <v>1</v>
      </c>
      <c r="F2230" s="2">
        <v>29.99</v>
      </c>
      <c r="G2230">
        <v>5</v>
      </c>
      <c r="H2230" s="2">
        <v>28.49</v>
      </c>
      <c r="I2230" s="2">
        <v>28.49</v>
      </c>
      <c r="J2230" t="s">
        <v>19</v>
      </c>
      <c r="K2230" t="s">
        <v>44</v>
      </c>
      <c r="L2230" t="s">
        <v>21</v>
      </c>
      <c r="M2230" t="s">
        <v>63</v>
      </c>
      <c r="N2230" t="s">
        <v>34</v>
      </c>
      <c r="O2230" t="s">
        <v>24</v>
      </c>
      <c r="P2230">
        <v>4</v>
      </c>
      <c r="Q2230" s="2">
        <f>Ventas[[#This Row],[precio_base]]*Ventas[[#This Row],[cantidad]]</f>
        <v>29.99</v>
      </c>
      <c r="R2230" s="2">
        <f>Ventas[[#This Row],[Total bruto (antes de descuento)]]-Ventas[[#This Row],[total_venta]]</f>
        <v>1.5</v>
      </c>
    </row>
    <row r="2231" spans="1:18" x14ac:dyDescent="0.25">
      <c r="A2231" t="s">
        <v>2324</v>
      </c>
      <c r="B2231" s="1">
        <v>45560</v>
      </c>
      <c r="C2231" t="s">
        <v>81</v>
      </c>
      <c r="D2231" t="s">
        <v>31</v>
      </c>
      <c r="E2231">
        <v>3</v>
      </c>
      <c r="F2231" s="2">
        <v>189.99</v>
      </c>
      <c r="G2231">
        <v>15</v>
      </c>
      <c r="H2231" s="2">
        <v>161.49</v>
      </c>
      <c r="I2231" s="2">
        <v>484.47</v>
      </c>
      <c r="J2231" t="s">
        <v>19</v>
      </c>
      <c r="K2231" t="s">
        <v>44</v>
      </c>
      <c r="L2231" t="s">
        <v>28</v>
      </c>
      <c r="M2231" t="s">
        <v>33</v>
      </c>
      <c r="N2231" t="s">
        <v>34</v>
      </c>
      <c r="O2231" t="s">
        <v>35</v>
      </c>
      <c r="P2231">
        <v>3</v>
      </c>
      <c r="Q2231" s="2">
        <f>Ventas[[#This Row],[precio_base]]*Ventas[[#This Row],[cantidad]]</f>
        <v>569.97</v>
      </c>
      <c r="R2231" s="2">
        <f>Ventas[[#This Row],[Total bruto (antes de descuento)]]-Ventas[[#This Row],[total_venta]]</f>
        <v>85.5</v>
      </c>
    </row>
    <row r="2232" spans="1:18" x14ac:dyDescent="0.25">
      <c r="A2232" t="s">
        <v>2325</v>
      </c>
      <c r="B2232" s="1">
        <v>45344</v>
      </c>
      <c r="C2232" t="s">
        <v>83</v>
      </c>
      <c r="D2232" t="s">
        <v>38</v>
      </c>
      <c r="E2232">
        <v>2</v>
      </c>
      <c r="F2232" s="2">
        <v>49.99</v>
      </c>
      <c r="G2232">
        <v>0</v>
      </c>
      <c r="H2232" s="2">
        <v>49.99</v>
      </c>
      <c r="I2232" s="2">
        <v>99.98</v>
      </c>
      <c r="J2232" t="s">
        <v>19</v>
      </c>
      <c r="K2232" t="s">
        <v>52</v>
      </c>
      <c r="L2232" t="s">
        <v>21</v>
      </c>
      <c r="M2232" t="s">
        <v>120</v>
      </c>
      <c r="N2232" t="s">
        <v>23</v>
      </c>
      <c r="O2232" t="s">
        <v>24</v>
      </c>
      <c r="P2232">
        <v>5</v>
      </c>
      <c r="Q2232" s="2">
        <f>Ventas[[#This Row],[precio_base]]*Ventas[[#This Row],[cantidad]]</f>
        <v>99.98</v>
      </c>
      <c r="R2232" s="2">
        <f>Ventas[[#This Row],[Total bruto (antes de descuento)]]-Ventas[[#This Row],[total_venta]]</f>
        <v>0</v>
      </c>
    </row>
    <row r="2233" spans="1:18" x14ac:dyDescent="0.25">
      <c r="A2233" t="s">
        <v>2326</v>
      </c>
      <c r="B2233" s="1">
        <v>45368</v>
      </c>
      <c r="C2233" t="s">
        <v>115</v>
      </c>
      <c r="D2233" t="s">
        <v>18</v>
      </c>
      <c r="E2233">
        <v>1</v>
      </c>
      <c r="F2233" s="2">
        <v>799.99</v>
      </c>
      <c r="G2233">
        <v>0</v>
      </c>
      <c r="H2233" s="2">
        <v>799.99</v>
      </c>
      <c r="I2233" s="2">
        <v>799.99</v>
      </c>
      <c r="J2233" t="s">
        <v>116</v>
      </c>
      <c r="K2233" t="s">
        <v>20</v>
      </c>
      <c r="L2233" t="s">
        <v>32</v>
      </c>
      <c r="M2233" t="s">
        <v>58</v>
      </c>
      <c r="N2233" t="s">
        <v>59</v>
      </c>
      <c r="O2233" t="s">
        <v>24</v>
      </c>
      <c r="Q2233" s="2">
        <f>Ventas[[#This Row],[precio_base]]*Ventas[[#This Row],[cantidad]]</f>
        <v>799.99</v>
      </c>
      <c r="R2233" s="2">
        <f>Ventas[[#This Row],[Total bruto (antes de descuento)]]-Ventas[[#This Row],[total_venta]]</f>
        <v>0</v>
      </c>
    </row>
    <row r="2234" spans="1:18" x14ac:dyDescent="0.25">
      <c r="A2234" t="s">
        <v>2327</v>
      </c>
      <c r="B2234" s="1">
        <v>45326</v>
      </c>
      <c r="C2234" t="s">
        <v>83</v>
      </c>
      <c r="D2234" t="s">
        <v>38</v>
      </c>
      <c r="E2234">
        <v>4</v>
      </c>
      <c r="F2234" s="2">
        <v>49.99</v>
      </c>
      <c r="G2234">
        <v>0</v>
      </c>
      <c r="H2234" s="2">
        <v>49.99</v>
      </c>
      <c r="I2234" s="2">
        <v>199.96</v>
      </c>
      <c r="J2234" t="s">
        <v>19</v>
      </c>
      <c r="K2234" t="s">
        <v>20</v>
      </c>
      <c r="L2234" t="s">
        <v>21</v>
      </c>
      <c r="M2234" t="s">
        <v>39</v>
      </c>
      <c r="N2234" t="s">
        <v>40</v>
      </c>
      <c r="O2234" t="s">
        <v>35</v>
      </c>
      <c r="P2234">
        <v>1</v>
      </c>
      <c r="Q2234" s="2">
        <f>Ventas[[#This Row],[precio_base]]*Ventas[[#This Row],[cantidad]]</f>
        <v>199.96</v>
      </c>
      <c r="R2234" s="2">
        <f>Ventas[[#This Row],[Total bruto (antes de descuento)]]-Ventas[[#This Row],[total_venta]]</f>
        <v>0</v>
      </c>
    </row>
    <row r="2235" spans="1:18" x14ac:dyDescent="0.25">
      <c r="A2235" t="s">
        <v>2328</v>
      </c>
      <c r="B2235" s="1">
        <v>45118</v>
      </c>
      <c r="C2235" t="s">
        <v>109</v>
      </c>
      <c r="D2235" t="s">
        <v>38</v>
      </c>
      <c r="E2235">
        <v>2</v>
      </c>
      <c r="F2235" s="2">
        <v>39.99</v>
      </c>
      <c r="G2235">
        <v>15</v>
      </c>
      <c r="H2235" s="2">
        <v>33.99</v>
      </c>
      <c r="I2235" s="2">
        <v>67.98</v>
      </c>
      <c r="J2235" t="s">
        <v>51</v>
      </c>
      <c r="K2235" t="s">
        <v>44</v>
      </c>
      <c r="L2235" t="s">
        <v>21</v>
      </c>
      <c r="M2235" t="s">
        <v>123</v>
      </c>
      <c r="N2235" t="s">
        <v>124</v>
      </c>
      <c r="O2235" t="s">
        <v>24</v>
      </c>
      <c r="Q2235" s="2">
        <f>Ventas[[#This Row],[precio_base]]*Ventas[[#This Row],[cantidad]]</f>
        <v>79.98</v>
      </c>
      <c r="R2235" s="2">
        <f>Ventas[[#This Row],[Total bruto (antes de descuento)]]-Ventas[[#This Row],[total_venta]]</f>
        <v>12</v>
      </c>
    </row>
    <row r="2236" spans="1:18" x14ac:dyDescent="0.25">
      <c r="A2236" t="s">
        <v>2329</v>
      </c>
      <c r="B2236" s="1">
        <v>45123</v>
      </c>
      <c r="C2236" t="s">
        <v>42</v>
      </c>
      <c r="D2236" t="s">
        <v>43</v>
      </c>
      <c r="E2236">
        <v>1</v>
      </c>
      <c r="F2236" s="2">
        <v>349.99</v>
      </c>
      <c r="G2236">
        <v>15</v>
      </c>
      <c r="H2236" s="2">
        <v>297.49</v>
      </c>
      <c r="I2236" s="2">
        <v>297.49</v>
      </c>
      <c r="J2236" t="s">
        <v>19</v>
      </c>
      <c r="K2236" t="s">
        <v>20</v>
      </c>
      <c r="L2236" t="s">
        <v>28</v>
      </c>
      <c r="M2236" t="s">
        <v>120</v>
      </c>
      <c r="N2236" t="s">
        <v>23</v>
      </c>
      <c r="O2236" t="s">
        <v>24</v>
      </c>
      <c r="P2236">
        <v>3</v>
      </c>
      <c r="Q2236" s="2">
        <f>Ventas[[#This Row],[precio_base]]*Ventas[[#This Row],[cantidad]]</f>
        <v>349.99</v>
      </c>
      <c r="R2236" s="2">
        <f>Ventas[[#This Row],[Total bruto (antes de descuento)]]-Ventas[[#This Row],[total_venta]]</f>
        <v>52.5</v>
      </c>
    </row>
    <row r="2237" spans="1:18" x14ac:dyDescent="0.25">
      <c r="A2237" t="s">
        <v>2330</v>
      </c>
      <c r="B2237" s="1">
        <v>45452</v>
      </c>
      <c r="C2237" t="s">
        <v>26</v>
      </c>
      <c r="D2237" t="s">
        <v>27</v>
      </c>
      <c r="E2237">
        <v>5</v>
      </c>
      <c r="F2237" s="2">
        <v>399.99</v>
      </c>
      <c r="G2237">
        <v>10</v>
      </c>
      <c r="H2237" s="2">
        <v>359.99</v>
      </c>
      <c r="I2237" s="2">
        <v>1799.95</v>
      </c>
      <c r="J2237" t="s">
        <v>90</v>
      </c>
      <c r="K2237" t="s">
        <v>52</v>
      </c>
      <c r="L2237" t="s">
        <v>28</v>
      </c>
      <c r="M2237" t="s">
        <v>46</v>
      </c>
      <c r="N2237" t="s">
        <v>47</v>
      </c>
      <c r="O2237" t="s">
        <v>48</v>
      </c>
      <c r="Q2237" s="2">
        <f>Ventas[[#This Row],[precio_base]]*Ventas[[#This Row],[cantidad]]</f>
        <v>1999.95</v>
      </c>
      <c r="R2237" s="2">
        <f>Ventas[[#This Row],[Total bruto (antes de descuento)]]-Ventas[[#This Row],[total_venta]]</f>
        <v>200</v>
      </c>
    </row>
    <row r="2238" spans="1:18" x14ac:dyDescent="0.25">
      <c r="A2238" t="s">
        <v>2331</v>
      </c>
      <c r="B2238" s="1">
        <v>45304</v>
      </c>
      <c r="C2238" t="s">
        <v>163</v>
      </c>
      <c r="D2238" t="s">
        <v>18</v>
      </c>
      <c r="E2238">
        <v>5</v>
      </c>
      <c r="F2238" s="2">
        <v>499.99</v>
      </c>
      <c r="G2238">
        <v>15</v>
      </c>
      <c r="H2238" s="2">
        <v>424.99</v>
      </c>
      <c r="I2238" s="2">
        <v>2124.9499999999998</v>
      </c>
      <c r="J2238" t="s">
        <v>19</v>
      </c>
      <c r="K2238" t="s">
        <v>52</v>
      </c>
      <c r="L2238" t="s">
        <v>21</v>
      </c>
      <c r="M2238" t="s">
        <v>63</v>
      </c>
      <c r="N2238" t="s">
        <v>34</v>
      </c>
      <c r="O2238" t="s">
        <v>24</v>
      </c>
      <c r="P2238">
        <v>2</v>
      </c>
      <c r="Q2238" s="2">
        <f>Ventas[[#This Row],[precio_base]]*Ventas[[#This Row],[cantidad]]</f>
        <v>2499.9499999999998</v>
      </c>
      <c r="R2238" s="2">
        <f>Ventas[[#This Row],[Total bruto (antes de descuento)]]-Ventas[[#This Row],[total_venta]]</f>
        <v>375</v>
      </c>
    </row>
    <row r="2239" spans="1:18" x14ac:dyDescent="0.25">
      <c r="A2239" t="s">
        <v>2332</v>
      </c>
      <c r="B2239" s="1">
        <v>45403</v>
      </c>
      <c r="C2239" t="s">
        <v>156</v>
      </c>
      <c r="D2239" t="s">
        <v>27</v>
      </c>
      <c r="E2239">
        <v>1</v>
      </c>
      <c r="F2239" s="2">
        <v>49.99</v>
      </c>
      <c r="G2239">
        <v>15</v>
      </c>
      <c r="H2239" s="2">
        <v>42.49</v>
      </c>
      <c r="I2239" s="2">
        <v>42.49</v>
      </c>
      <c r="J2239" t="s">
        <v>51</v>
      </c>
      <c r="K2239" t="s">
        <v>20</v>
      </c>
      <c r="L2239" t="s">
        <v>28</v>
      </c>
      <c r="M2239" t="s">
        <v>46</v>
      </c>
      <c r="N2239" t="s">
        <v>47</v>
      </c>
      <c r="O2239" t="s">
        <v>48</v>
      </c>
      <c r="Q2239" s="2">
        <f>Ventas[[#This Row],[precio_base]]*Ventas[[#This Row],[cantidad]]</f>
        <v>49.99</v>
      </c>
      <c r="R2239" s="2">
        <f>Ventas[[#This Row],[Total bruto (antes de descuento)]]-Ventas[[#This Row],[total_venta]]</f>
        <v>7.5</v>
      </c>
    </row>
    <row r="2240" spans="1:18" x14ac:dyDescent="0.25">
      <c r="A2240" t="s">
        <v>2333</v>
      </c>
      <c r="B2240" s="1">
        <v>45225</v>
      </c>
      <c r="C2240" t="s">
        <v>163</v>
      </c>
      <c r="D2240" t="s">
        <v>18</v>
      </c>
      <c r="E2240">
        <v>2</v>
      </c>
      <c r="F2240" s="2">
        <v>499.99</v>
      </c>
      <c r="G2240">
        <v>0</v>
      </c>
      <c r="H2240" s="2">
        <v>499.99</v>
      </c>
      <c r="I2240" s="2">
        <v>999.98</v>
      </c>
      <c r="J2240" t="s">
        <v>19</v>
      </c>
      <c r="K2240" t="s">
        <v>52</v>
      </c>
      <c r="L2240" t="s">
        <v>21</v>
      </c>
      <c r="M2240" t="s">
        <v>39</v>
      </c>
      <c r="N2240" t="s">
        <v>40</v>
      </c>
      <c r="O2240" t="s">
        <v>35</v>
      </c>
      <c r="P2240">
        <v>5</v>
      </c>
      <c r="Q2240" s="2">
        <f>Ventas[[#This Row],[precio_base]]*Ventas[[#This Row],[cantidad]]</f>
        <v>999.98</v>
      </c>
      <c r="R2240" s="2">
        <f>Ventas[[#This Row],[Total bruto (antes de descuento)]]-Ventas[[#This Row],[total_venta]]</f>
        <v>0</v>
      </c>
    </row>
    <row r="2241" spans="1:18" x14ac:dyDescent="0.25">
      <c r="A2241" t="s">
        <v>2334</v>
      </c>
      <c r="B2241" s="1">
        <v>45190</v>
      </c>
      <c r="C2241" t="s">
        <v>26</v>
      </c>
      <c r="D2241" t="s">
        <v>27</v>
      </c>
      <c r="E2241">
        <v>3</v>
      </c>
      <c r="F2241" s="2">
        <v>399.99</v>
      </c>
      <c r="G2241">
        <v>15</v>
      </c>
      <c r="H2241" s="2">
        <v>339.99</v>
      </c>
      <c r="I2241" s="2">
        <v>1019.97</v>
      </c>
      <c r="J2241" t="s">
        <v>19</v>
      </c>
      <c r="K2241" t="s">
        <v>20</v>
      </c>
      <c r="L2241" t="s">
        <v>21</v>
      </c>
      <c r="M2241" t="s">
        <v>84</v>
      </c>
      <c r="N2241" t="s">
        <v>85</v>
      </c>
      <c r="O2241" t="s">
        <v>35</v>
      </c>
      <c r="P2241">
        <v>1</v>
      </c>
      <c r="Q2241" s="2">
        <f>Ventas[[#This Row],[precio_base]]*Ventas[[#This Row],[cantidad]]</f>
        <v>1199.97</v>
      </c>
      <c r="R2241" s="2">
        <f>Ventas[[#This Row],[Total bruto (antes de descuento)]]-Ventas[[#This Row],[total_venta]]</f>
        <v>180</v>
      </c>
    </row>
    <row r="2242" spans="1:18" x14ac:dyDescent="0.25">
      <c r="A2242" t="s">
        <v>2335</v>
      </c>
      <c r="B2242" s="1">
        <v>45019</v>
      </c>
      <c r="C2242" t="s">
        <v>17</v>
      </c>
      <c r="D2242" t="s">
        <v>18</v>
      </c>
      <c r="E2242">
        <v>5</v>
      </c>
      <c r="F2242" s="2">
        <v>45.99</v>
      </c>
      <c r="G2242">
        <v>5</v>
      </c>
      <c r="H2242" s="2">
        <v>43.69</v>
      </c>
      <c r="I2242" s="2">
        <v>218.45</v>
      </c>
      <c r="J2242" t="s">
        <v>19</v>
      </c>
      <c r="K2242" t="s">
        <v>52</v>
      </c>
      <c r="L2242" t="s">
        <v>21</v>
      </c>
      <c r="M2242" t="s">
        <v>84</v>
      </c>
      <c r="N2242" t="s">
        <v>85</v>
      </c>
      <c r="O2242" t="s">
        <v>35</v>
      </c>
      <c r="P2242">
        <v>1</v>
      </c>
      <c r="Q2242" s="2">
        <f>Ventas[[#This Row],[precio_base]]*Ventas[[#This Row],[cantidad]]</f>
        <v>229.95000000000002</v>
      </c>
      <c r="R2242" s="2">
        <f>Ventas[[#This Row],[Total bruto (antes de descuento)]]-Ventas[[#This Row],[total_venta]]</f>
        <v>11.500000000000028</v>
      </c>
    </row>
    <row r="2243" spans="1:18" x14ac:dyDescent="0.25">
      <c r="A2243" t="s">
        <v>2336</v>
      </c>
      <c r="B2243" s="1">
        <v>45548</v>
      </c>
      <c r="C2243" t="s">
        <v>115</v>
      </c>
      <c r="D2243" t="s">
        <v>18</v>
      </c>
      <c r="E2243">
        <v>2</v>
      </c>
      <c r="F2243" s="2">
        <v>799.99</v>
      </c>
      <c r="G2243">
        <v>10</v>
      </c>
      <c r="H2243" s="2">
        <v>719.99</v>
      </c>
      <c r="I2243" s="2">
        <v>1439.98</v>
      </c>
      <c r="J2243" t="s">
        <v>19</v>
      </c>
      <c r="K2243" t="s">
        <v>20</v>
      </c>
      <c r="L2243" t="s">
        <v>21</v>
      </c>
      <c r="M2243" t="s">
        <v>73</v>
      </c>
      <c r="N2243" t="s">
        <v>74</v>
      </c>
      <c r="O2243" t="s">
        <v>35</v>
      </c>
      <c r="P2243">
        <v>4</v>
      </c>
      <c r="Q2243" s="2">
        <f>Ventas[[#This Row],[precio_base]]*Ventas[[#This Row],[cantidad]]</f>
        <v>1599.98</v>
      </c>
      <c r="R2243" s="2">
        <f>Ventas[[#This Row],[Total bruto (antes de descuento)]]-Ventas[[#This Row],[total_venta]]</f>
        <v>160</v>
      </c>
    </row>
    <row r="2244" spans="1:18" x14ac:dyDescent="0.25">
      <c r="A2244" t="s">
        <v>2337</v>
      </c>
      <c r="B2244" s="1">
        <v>45586</v>
      </c>
      <c r="C2244" t="s">
        <v>141</v>
      </c>
      <c r="D2244" t="s">
        <v>38</v>
      </c>
      <c r="E2244">
        <v>2</v>
      </c>
      <c r="F2244" s="2">
        <v>89.99</v>
      </c>
      <c r="G2244">
        <v>0</v>
      </c>
      <c r="H2244" s="2">
        <v>89.99</v>
      </c>
      <c r="I2244" s="2">
        <v>179.98</v>
      </c>
      <c r="J2244" t="s">
        <v>62</v>
      </c>
      <c r="K2244" t="s">
        <v>20</v>
      </c>
      <c r="L2244" t="s">
        <v>21</v>
      </c>
      <c r="M2244" t="s">
        <v>67</v>
      </c>
      <c r="N2244" t="s">
        <v>68</v>
      </c>
      <c r="O2244" t="s">
        <v>35</v>
      </c>
      <c r="Q2244" s="2">
        <f>Ventas[[#This Row],[precio_base]]*Ventas[[#This Row],[cantidad]]</f>
        <v>179.98</v>
      </c>
      <c r="R2244" s="2">
        <f>Ventas[[#This Row],[Total bruto (antes de descuento)]]-Ventas[[#This Row],[total_venta]]</f>
        <v>0</v>
      </c>
    </row>
    <row r="2245" spans="1:18" x14ac:dyDescent="0.25">
      <c r="A2245" t="s">
        <v>2338</v>
      </c>
      <c r="B2245" s="1">
        <v>45012</v>
      </c>
      <c r="C2245" t="s">
        <v>122</v>
      </c>
      <c r="D2245" t="s">
        <v>43</v>
      </c>
      <c r="E2245">
        <v>5</v>
      </c>
      <c r="F2245" s="2">
        <v>44.99</v>
      </c>
      <c r="G2245">
        <v>20</v>
      </c>
      <c r="H2245" s="2">
        <v>35.99</v>
      </c>
      <c r="I2245" s="2">
        <v>179.95</v>
      </c>
      <c r="J2245" t="s">
        <v>19</v>
      </c>
      <c r="K2245" t="s">
        <v>57</v>
      </c>
      <c r="L2245" t="s">
        <v>152</v>
      </c>
      <c r="M2245" t="s">
        <v>39</v>
      </c>
      <c r="N2245" t="s">
        <v>40</v>
      </c>
      <c r="O2245" t="s">
        <v>35</v>
      </c>
      <c r="P2245">
        <v>1</v>
      </c>
      <c r="Q2245" s="2">
        <f>Ventas[[#This Row],[precio_base]]*Ventas[[#This Row],[cantidad]]</f>
        <v>224.95000000000002</v>
      </c>
      <c r="R2245" s="2">
        <f>Ventas[[#This Row],[Total bruto (antes de descuento)]]-Ventas[[#This Row],[total_venta]]</f>
        <v>45.000000000000028</v>
      </c>
    </row>
    <row r="2246" spans="1:18" x14ac:dyDescent="0.25">
      <c r="A2246" t="s">
        <v>2339</v>
      </c>
      <c r="B2246" s="1">
        <v>45399</v>
      </c>
      <c r="C2246" t="s">
        <v>87</v>
      </c>
      <c r="D2246" t="s">
        <v>27</v>
      </c>
      <c r="E2246">
        <v>4</v>
      </c>
      <c r="F2246" s="2">
        <v>249.99</v>
      </c>
      <c r="G2246">
        <v>20</v>
      </c>
      <c r="H2246" s="2">
        <v>199.99</v>
      </c>
      <c r="I2246" s="2">
        <v>799.96</v>
      </c>
      <c r="J2246" t="s">
        <v>19</v>
      </c>
      <c r="K2246" t="s">
        <v>44</v>
      </c>
      <c r="L2246" t="s">
        <v>21</v>
      </c>
      <c r="M2246" t="s">
        <v>67</v>
      </c>
      <c r="N2246" t="s">
        <v>68</v>
      </c>
      <c r="O2246" t="s">
        <v>35</v>
      </c>
      <c r="P2246">
        <v>2</v>
      </c>
      <c r="Q2246" s="2">
        <f>Ventas[[#This Row],[precio_base]]*Ventas[[#This Row],[cantidad]]</f>
        <v>999.96</v>
      </c>
      <c r="R2246" s="2">
        <f>Ventas[[#This Row],[Total bruto (antes de descuento)]]-Ventas[[#This Row],[total_venta]]</f>
        <v>200</v>
      </c>
    </row>
    <row r="2247" spans="1:18" x14ac:dyDescent="0.25">
      <c r="A2247" t="s">
        <v>2340</v>
      </c>
      <c r="B2247" s="1">
        <v>45140</v>
      </c>
      <c r="C2247" t="s">
        <v>143</v>
      </c>
      <c r="D2247" t="s">
        <v>43</v>
      </c>
      <c r="E2247">
        <v>1</v>
      </c>
      <c r="F2247" s="2">
        <v>34.99</v>
      </c>
      <c r="G2247">
        <v>20</v>
      </c>
      <c r="H2247" s="2">
        <v>27.99</v>
      </c>
      <c r="I2247" s="2">
        <v>27.99</v>
      </c>
      <c r="J2247" t="s">
        <v>19</v>
      </c>
      <c r="K2247" t="s">
        <v>20</v>
      </c>
      <c r="L2247" t="s">
        <v>45</v>
      </c>
      <c r="M2247" t="s">
        <v>95</v>
      </c>
      <c r="N2247" t="s">
        <v>96</v>
      </c>
      <c r="O2247" t="s">
        <v>48</v>
      </c>
      <c r="P2247">
        <v>5</v>
      </c>
      <c r="Q2247" s="2">
        <f>Ventas[[#This Row],[precio_base]]*Ventas[[#This Row],[cantidad]]</f>
        <v>34.99</v>
      </c>
      <c r="R2247" s="2">
        <f>Ventas[[#This Row],[Total bruto (antes de descuento)]]-Ventas[[#This Row],[total_venta]]</f>
        <v>7.0000000000000036</v>
      </c>
    </row>
    <row r="2248" spans="1:18" x14ac:dyDescent="0.25">
      <c r="A2248" t="s">
        <v>2341</v>
      </c>
      <c r="B2248" s="1">
        <v>45057</v>
      </c>
      <c r="C2248" t="s">
        <v>143</v>
      </c>
      <c r="D2248" t="s">
        <v>43</v>
      </c>
      <c r="E2248">
        <v>5</v>
      </c>
      <c r="F2248" s="2">
        <v>34.99</v>
      </c>
      <c r="G2248">
        <v>10</v>
      </c>
      <c r="H2248" s="2">
        <v>31.49</v>
      </c>
      <c r="I2248" s="2">
        <v>157.44999999999999</v>
      </c>
      <c r="J2248" t="s">
        <v>90</v>
      </c>
      <c r="K2248" t="s">
        <v>44</v>
      </c>
      <c r="L2248" t="s">
        <v>21</v>
      </c>
      <c r="M2248" t="s">
        <v>22</v>
      </c>
      <c r="N2248" t="s">
        <v>23</v>
      </c>
      <c r="O2248" t="s">
        <v>24</v>
      </c>
      <c r="Q2248" s="2">
        <f>Ventas[[#This Row],[precio_base]]*Ventas[[#This Row],[cantidad]]</f>
        <v>174.95000000000002</v>
      </c>
      <c r="R2248" s="2">
        <f>Ventas[[#This Row],[Total bruto (antes de descuento)]]-Ventas[[#This Row],[total_venta]]</f>
        <v>17.500000000000028</v>
      </c>
    </row>
    <row r="2249" spans="1:18" x14ac:dyDescent="0.25">
      <c r="A2249" t="s">
        <v>2342</v>
      </c>
      <c r="B2249" s="1">
        <v>45579</v>
      </c>
      <c r="C2249" t="s">
        <v>30</v>
      </c>
      <c r="D2249" t="s">
        <v>31</v>
      </c>
      <c r="E2249">
        <v>4</v>
      </c>
      <c r="F2249" s="2">
        <v>299.99</v>
      </c>
      <c r="G2249">
        <v>0</v>
      </c>
      <c r="H2249" s="2">
        <v>299.99</v>
      </c>
      <c r="I2249" s="2">
        <v>1199.96</v>
      </c>
      <c r="J2249" t="s">
        <v>51</v>
      </c>
      <c r="K2249" t="s">
        <v>57</v>
      </c>
      <c r="L2249" t="s">
        <v>21</v>
      </c>
      <c r="M2249" t="s">
        <v>67</v>
      </c>
      <c r="N2249" t="s">
        <v>68</v>
      </c>
      <c r="O2249" t="s">
        <v>35</v>
      </c>
      <c r="Q2249" s="2">
        <f>Ventas[[#This Row],[precio_base]]*Ventas[[#This Row],[cantidad]]</f>
        <v>1199.96</v>
      </c>
      <c r="R2249" s="2">
        <f>Ventas[[#This Row],[Total bruto (antes de descuento)]]-Ventas[[#This Row],[total_venta]]</f>
        <v>0</v>
      </c>
    </row>
    <row r="2250" spans="1:18" x14ac:dyDescent="0.25">
      <c r="A2250" t="s">
        <v>2343</v>
      </c>
      <c r="B2250" s="1">
        <v>45352</v>
      </c>
      <c r="C2250" t="s">
        <v>122</v>
      </c>
      <c r="D2250" t="s">
        <v>43</v>
      </c>
      <c r="E2250">
        <v>1</v>
      </c>
      <c r="F2250" s="2">
        <v>44.99</v>
      </c>
      <c r="G2250">
        <v>10</v>
      </c>
      <c r="H2250" s="2">
        <v>40.49</v>
      </c>
      <c r="I2250" s="2">
        <v>40.49</v>
      </c>
      <c r="J2250" t="s">
        <v>51</v>
      </c>
      <c r="K2250" t="s">
        <v>20</v>
      </c>
      <c r="L2250" t="s">
        <v>28</v>
      </c>
      <c r="M2250" t="s">
        <v>120</v>
      </c>
      <c r="N2250" t="s">
        <v>23</v>
      </c>
      <c r="O2250" t="s">
        <v>24</v>
      </c>
      <c r="Q2250" s="2">
        <f>Ventas[[#This Row],[precio_base]]*Ventas[[#This Row],[cantidad]]</f>
        <v>44.99</v>
      </c>
      <c r="R2250" s="2">
        <f>Ventas[[#This Row],[Total bruto (antes de descuento)]]-Ventas[[#This Row],[total_venta]]</f>
        <v>4.5</v>
      </c>
    </row>
    <row r="2251" spans="1:18" x14ac:dyDescent="0.25">
      <c r="A2251" t="s">
        <v>2344</v>
      </c>
      <c r="B2251" s="1">
        <v>45064</v>
      </c>
      <c r="C2251" t="s">
        <v>130</v>
      </c>
      <c r="D2251" t="s">
        <v>43</v>
      </c>
      <c r="E2251">
        <v>1</v>
      </c>
      <c r="F2251" s="2">
        <v>24.99</v>
      </c>
      <c r="G2251">
        <v>0</v>
      </c>
      <c r="H2251" s="2">
        <v>24.99</v>
      </c>
      <c r="I2251" s="2">
        <v>24.99</v>
      </c>
      <c r="J2251" t="s">
        <v>19</v>
      </c>
      <c r="K2251" t="s">
        <v>52</v>
      </c>
      <c r="L2251" t="s">
        <v>32</v>
      </c>
      <c r="M2251" t="s">
        <v>95</v>
      </c>
      <c r="N2251" t="s">
        <v>96</v>
      </c>
      <c r="O2251" t="s">
        <v>48</v>
      </c>
      <c r="P2251">
        <v>5</v>
      </c>
      <c r="Q2251" s="2">
        <f>Ventas[[#This Row],[precio_base]]*Ventas[[#This Row],[cantidad]]</f>
        <v>24.99</v>
      </c>
      <c r="R2251" s="2">
        <f>Ventas[[#This Row],[Total bruto (antes de descuento)]]-Ventas[[#This Row],[total_venta]]</f>
        <v>0</v>
      </c>
    </row>
    <row r="2252" spans="1:18" x14ac:dyDescent="0.25">
      <c r="A2252" t="s">
        <v>2345</v>
      </c>
      <c r="B2252" s="1">
        <v>45220</v>
      </c>
      <c r="C2252" t="s">
        <v>17</v>
      </c>
      <c r="D2252" t="s">
        <v>18</v>
      </c>
      <c r="E2252">
        <v>5</v>
      </c>
      <c r="F2252" s="2">
        <v>45.99</v>
      </c>
      <c r="G2252">
        <v>0</v>
      </c>
      <c r="H2252" s="2">
        <v>45.99</v>
      </c>
      <c r="I2252" s="2">
        <v>229.95</v>
      </c>
      <c r="J2252" t="s">
        <v>19</v>
      </c>
      <c r="K2252" t="s">
        <v>44</v>
      </c>
      <c r="L2252" t="s">
        <v>21</v>
      </c>
      <c r="M2252" t="s">
        <v>120</v>
      </c>
      <c r="N2252" t="s">
        <v>23</v>
      </c>
      <c r="O2252" t="s">
        <v>24</v>
      </c>
      <c r="P2252">
        <v>1</v>
      </c>
      <c r="Q2252" s="2">
        <f>Ventas[[#This Row],[precio_base]]*Ventas[[#This Row],[cantidad]]</f>
        <v>229.95000000000002</v>
      </c>
      <c r="R2252" s="2">
        <f>Ventas[[#This Row],[Total bruto (antes de descuento)]]-Ventas[[#This Row],[total_venta]]</f>
        <v>0</v>
      </c>
    </row>
    <row r="2253" spans="1:18" x14ac:dyDescent="0.25">
      <c r="A2253" t="s">
        <v>2346</v>
      </c>
      <c r="B2253" s="1">
        <v>45527</v>
      </c>
      <c r="C2253" t="s">
        <v>78</v>
      </c>
      <c r="D2253" t="s">
        <v>18</v>
      </c>
      <c r="E2253">
        <v>4</v>
      </c>
      <c r="F2253" s="2">
        <v>349.99</v>
      </c>
      <c r="G2253">
        <v>0</v>
      </c>
      <c r="H2253" s="2">
        <v>349.99</v>
      </c>
      <c r="I2253" s="2">
        <v>1399.96</v>
      </c>
      <c r="J2253" t="s">
        <v>19</v>
      </c>
      <c r="K2253" t="s">
        <v>20</v>
      </c>
      <c r="L2253" t="s">
        <v>21</v>
      </c>
      <c r="M2253" t="s">
        <v>84</v>
      </c>
      <c r="N2253" t="s">
        <v>85</v>
      </c>
      <c r="O2253" t="s">
        <v>35</v>
      </c>
      <c r="P2253">
        <v>5</v>
      </c>
      <c r="Q2253" s="2">
        <f>Ventas[[#This Row],[precio_base]]*Ventas[[#This Row],[cantidad]]</f>
        <v>1399.96</v>
      </c>
      <c r="R2253" s="2">
        <f>Ventas[[#This Row],[Total bruto (antes de descuento)]]-Ventas[[#This Row],[total_venta]]</f>
        <v>0</v>
      </c>
    </row>
    <row r="2254" spans="1:18" x14ac:dyDescent="0.25">
      <c r="A2254" t="s">
        <v>2347</v>
      </c>
      <c r="B2254" s="1">
        <v>45444</v>
      </c>
      <c r="C2254" t="s">
        <v>78</v>
      </c>
      <c r="D2254" t="s">
        <v>18</v>
      </c>
      <c r="E2254">
        <v>1</v>
      </c>
      <c r="F2254" s="2">
        <v>349.99</v>
      </c>
      <c r="G2254">
        <v>0</v>
      </c>
      <c r="H2254" s="2">
        <v>349.99</v>
      </c>
      <c r="I2254" s="2">
        <v>349.99</v>
      </c>
      <c r="J2254" t="s">
        <v>19</v>
      </c>
      <c r="K2254" t="s">
        <v>20</v>
      </c>
      <c r="L2254" t="s">
        <v>21</v>
      </c>
      <c r="M2254" t="s">
        <v>123</v>
      </c>
      <c r="N2254" t="s">
        <v>124</v>
      </c>
      <c r="O2254" t="s">
        <v>24</v>
      </c>
      <c r="P2254">
        <v>3</v>
      </c>
      <c r="Q2254" s="2">
        <f>Ventas[[#This Row],[precio_base]]*Ventas[[#This Row],[cantidad]]</f>
        <v>349.99</v>
      </c>
      <c r="R2254" s="2">
        <f>Ventas[[#This Row],[Total bruto (antes de descuento)]]-Ventas[[#This Row],[total_venta]]</f>
        <v>0</v>
      </c>
    </row>
    <row r="2255" spans="1:18" x14ac:dyDescent="0.25">
      <c r="A2255" t="s">
        <v>2348</v>
      </c>
      <c r="B2255" s="1">
        <v>44964</v>
      </c>
      <c r="C2255" t="s">
        <v>30</v>
      </c>
      <c r="D2255" t="s">
        <v>31</v>
      </c>
      <c r="E2255">
        <v>3</v>
      </c>
      <c r="F2255" s="2">
        <v>299.99</v>
      </c>
      <c r="G2255">
        <v>0</v>
      </c>
      <c r="H2255" s="2">
        <v>299.99</v>
      </c>
      <c r="I2255" s="2">
        <v>899.97</v>
      </c>
      <c r="J2255" t="s">
        <v>19</v>
      </c>
      <c r="K2255" t="s">
        <v>52</v>
      </c>
      <c r="L2255" t="s">
        <v>21</v>
      </c>
      <c r="M2255" t="s">
        <v>120</v>
      </c>
      <c r="N2255" t="s">
        <v>23</v>
      </c>
      <c r="O2255" t="s">
        <v>24</v>
      </c>
      <c r="P2255">
        <v>3</v>
      </c>
      <c r="Q2255" s="2">
        <f>Ventas[[#This Row],[precio_base]]*Ventas[[#This Row],[cantidad]]</f>
        <v>899.97</v>
      </c>
      <c r="R2255" s="2">
        <f>Ventas[[#This Row],[Total bruto (antes de descuento)]]-Ventas[[#This Row],[total_venta]]</f>
        <v>0</v>
      </c>
    </row>
    <row r="2256" spans="1:18" x14ac:dyDescent="0.25">
      <c r="A2256" t="s">
        <v>2349</v>
      </c>
      <c r="B2256" s="1">
        <v>45572</v>
      </c>
      <c r="C2256" t="s">
        <v>104</v>
      </c>
      <c r="D2256" t="s">
        <v>18</v>
      </c>
      <c r="E2256">
        <v>3</v>
      </c>
      <c r="F2256" s="2">
        <v>1199.99</v>
      </c>
      <c r="G2256">
        <v>0</v>
      </c>
      <c r="H2256" s="2">
        <v>1199.99</v>
      </c>
      <c r="I2256" s="2">
        <v>3599.97</v>
      </c>
      <c r="J2256" t="s">
        <v>19</v>
      </c>
      <c r="K2256" t="s">
        <v>20</v>
      </c>
      <c r="L2256" t="s">
        <v>152</v>
      </c>
      <c r="M2256" t="s">
        <v>120</v>
      </c>
      <c r="N2256" t="s">
        <v>23</v>
      </c>
      <c r="O2256" t="s">
        <v>24</v>
      </c>
      <c r="P2256">
        <v>1</v>
      </c>
      <c r="Q2256" s="2">
        <f>Ventas[[#This Row],[precio_base]]*Ventas[[#This Row],[cantidad]]</f>
        <v>3599.9700000000003</v>
      </c>
      <c r="R2256" s="2">
        <f>Ventas[[#This Row],[Total bruto (antes de descuento)]]-Ventas[[#This Row],[total_venta]]</f>
        <v>0</v>
      </c>
    </row>
    <row r="2257" spans="1:18" x14ac:dyDescent="0.25">
      <c r="A2257" t="s">
        <v>2350</v>
      </c>
      <c r="B2257" s="1">
        <v>45458</v>
      </c>
      <c r="C2257" t="s">
        <v>30</v>
      </c>
      <c r="D2257" t="s">
        <v>31</v>
      </c>
      <c r="E2257">
        <v>1</v>
      </c>
      <c r="F2257" s="2">
        <v>299.99</v>
      </c>
      <c r="G2257">
        <v>0</v>
      </c>
      <c r="H2257" s="2">
        <v>299.99</v>
      </c>
      <c r="I2257" s="2">
        <v>299.99</v>
      </c>
      <c r="J2257" t="s">
        <v>51</v>
      </c>
      <c r="K2257" t="s">
        <v>52</v>
      </c>
      <c r="L2257" t="s">
        <v>21</v>
      </c>
      <c r="M2257" t="s">
        <v>120</v>
      </c>
      <c r="N2257" t="s">
        <v>23</v>
      </c>
      <c r="O2257" t="s">
        <v>24</v>
      </c>
      <c r="Q2257" s="2">
        <f>Ventas[[#This Row],[precio_base]]*Ventas[[#This Row],[cantidad]]</f>
        <v>299.99</v>
      </c>
      <c r="R2257" s="2">
        <f>Ventas[[#This Row],[Total bruto (antes de descuento)]]-Ventas[[#This Row],[total_venta]]</f>
        <v>0</v>
      </c>
    </row>
    <row r="2258" spans="1:18" x14ac:dyDescent="0.25">
      <c r="A2258" t="s">
        <v>2351</v>
      </c>
      <c r="B2258" s="1">
        <v>44970</v>
      </c>
      <c r="C2258" t="s">
        <v>115</v>
      </c>
      <c r="D2258" t="s">
        <v>18</v>
      </c>
      <c r="E2258">
        <v>1</v>
      </c>
      <c r="F2258" s="2">
        <v>799.99</v>
      </c>
      <c r="G2258">
        <v>10</v>
      </c>
      <c r="H2258" s="2">
        <v>719.99</v>
      </c>
      <c r="I2258" s="2">
        <v>719.99</v>
      </c>
      <c r="J2258" t="s">
        <v>62</v>
      </c>
      <c r="K2258" t="s">
        <v>20</v>
      </c>
      <c r="L2258" t="s">
        <v>32</v>
      </c>
      <c r="M2258" t="s">
        <v>123</v>
      </c>
      <c r="N2258" t="s">
        <v>124</v>
      </c>
      <c r="O2258" t="s">
        <v>24</v>
      </c>
      <c r="Q2258" s="2">
        <f>Ventas[[#This Row],[precio_base]]*Ventas[[#This Row],[cantidad]]</f>
        <v>799.99</v>
      </c>
      <c r="R2258" s="2">
        <f>Ventas[[#This Row],[Total bruto (antes de descuento)]]-Ventas[[#This Row],[total_venta]]</f>
        <v>80</v>
      </c>
    </row>
    <row r="2259" spans="1:18" x14ac:dyDescent="0.25">
      <c r="A2259" t="s">
        <v>2352</v>
      </c>
      <c r="B2259" s="1">
        <v>45017</v>
      </c>
      <c r="C2259" t="s">
        <v>143</v>
      </c>
      <c r="D2259" t="s">
        <v>43</v>
      </c>
      <c r="E2259">
        <v>1</v>
      </c>
      <c r="F2259" s="2">
        <v>34.99</v>
      </c>
      <c r="G2259">
        <v>5</v>
      </c>
      <c r="H2259" s="2">
        <v>33.24</v>
      </c>
      <c r="I2259" s="2">
        <v>33.24</v>
      </c>
      <c r="J2259" t="s">
        <v>19</v>
      </c>
      <c r="K2259" t="s">
        <v>20</v>
      </c>
      <c r="L2259" t="s">
        <v>152</v>
      </c>
      <c r="M2259" t="s">
        <v>101</v>
      </c>
      <c r="N2259" t="s">
        <v>102</v>
      </c>
      <c r="O2259" t="s">
        <v>35</v>
      </c>
      <c r="P2259">
        <v>2</v>
      </c>
      <c r="Q2259" s="2">
        <f>Ventas[[#This Row],[precio_base]]*Ventas[[#This Row],[cantidad]]</f>
        <v>34.99</v>
      </c>
      <c r="R2259" s="2">
        <f>Ventas[[#This Row],[Total bruto (antes de descuento)]]-Ventas[[#This Row],[total_venta]]</f>
        <v>1.75</v>
      </c>
    </row>
    <row r="2260" spans="1:18" x14ac:dyDescent="0.25">
      <c r="A2260" t="s">
        <v>2353</v>
      </c>
      <c r="B2260" s="1">
        <v>45029</v>
      </c>
      <c r="C2260" t="s">
        <v>205</v>
      </c>
      <c r="D2260" t="s">
        <v>18</v>
      </c>
      <c r="E2260">
        <v>2</v>
      </c>
      <c r="F2260" s="2">
        <v>129.99</v>
      </c>
      <c r="G2260">
        <v>0</v>
      </c>
      <c r="H2260" s="2">
        <v>129.99</v>
      </c>
      <c r="I2260" s="2">
        <v>259.98</v>
      </c>
      <c r="J2260" t="s">
        <v>62</v>
      </c>
      <c r="K2260" t="s">
        <v>20</v>
      </c>
      <c r="L2260" t="s">
        <v>45</v>
      </c>
      <c r="M2260" t="s">
        <v>123</v>
      </c>
      <c r="N2260" t="s">
        <v>124</v>
      </c>
      <c r="O2260" t="s">
        <v>24</v>
      </c>
      <c r="Q2260" s="2">
        <f>Ventas[[#This Row],[precio_base]]*Ventas[[#This Row],[cantidad]]</f>
        <v>259.98</v>
      </c>
      <c r="R2260" s="2">
        <f>Ventas[[#This Row],[Total bruto (antes de descuento)]]-Ventas[[#This Row],[total_venta]]</f>
        <v>0</v>
      </c>
    </row>
    <row r="2261" spans="1:18" x14ac:dyDescent="0.25">
      <c r="A2261" t="s">
        <v>2354</v>
      </c>
      <c r="B2261" s="1">
        <v>45490</v>
      </c>
      <c r="C2261" t="s">
        <v>205</v>
      </c>
      <c r="D2261" t="s">
        <v>18</v>
      </c>
      <c r="E2261">
        <v>4</v>
      </c>
      <c r="F2261" s="2">
        <v>129.99</v>
      </c>
      <c r="G2261">
        <v>10</v>
      </c>
      <c r="H2261" s="2">
        <v>116.99</v>
      </c>
      <c r="I2261" s="2">
        <v>467.96</v>
      </c>
      <c r="J2261" t="s">
        <v>19</v>
      </c>
      <c r="K2261" t="s">
        <v>52</v>
      </c>
      <c r="L2261" t="s">
        <v>45</v>
      </c>
      <c r="M2261" t="s">
        <v>73</v>
      </c>
      <c r="N2261" t="s">
        <v>74</v>
      </c>
      <c r="O2261" t="s">
        <v>35</v>
      </c>
      <c r="P2261">
        <v>5</v>
      </c>
      <c r="Q2261" s="2">
        <f>Ventas[[#This Row],[precio_base]]*Ventas[[#This Row],[cantidad]]</f>
        <v>519.96</v>
      </c>
      <c r="R2261" s="2">
        <f>Ventas[[#This Row],[Total bruto (antes de descuento)]]-Ventas[[#This Row],[total_venta]]</f>
        <v>52.000000000000057</v>
      </c>
    </row>
    <row r="2262" spans="1:18" x14ac:dyDescent="0.25">
      <c r="A2262" t="s">
        <v>2355</v>
      </c>
      <c r="B2262" s="1">
        <v>45586</v>
      </c>
      <c r="C2262" t="s">
        <v>130</v>
      </c>
      <c r="D2262" t="s">
        <v>43</v>
      </c>
      <c r="E2262">
        <v>2</v>
      </c>
      <c r="F2262" s="2">
        <v>24.99</v>
      </c>
      <c r="G2262">
        <v>10</v>
      </c>
      <c r="H2262" s="2">
        <v>22.49</v>
      </c>
      <c r="I2262" s="2">
        <v>44.98</v>
      </c>
      <c r="J2262" t="s">
        <v>19</v>
      </c>
      <c r="K2262" t="s">
        <v>52</v>
      </c>
      <c r="L2262" t="s">
        <v>21</v>
      </c>
      <c r="M2262" t="s">
        <v>65</v>
      </c>
      <c r="N2262" t="s">
        <v>54</v>
      </c>
      <c r="O2262" t="s">
        <v>35</v>
      </c>
      <c r="P2262">
        <v>1</v>
      </c>
      <c r="Q2262" s="2">
        <f>Ventas[[#This Row],[precio_base]]*Ventas[[#This Row],[cantidad]]</f>
        <v>49.98</v>
      </c>
      <c r="R2262" s="2">
        <f>Ventas[[#This Row],[Total bruto (antes de descuento)]]-Ventas[[#This Row],[total_venta]]</f>
        <v>5</v>
      </c>
    </row>
    <row r="2263" spans="1:18" x14ac:dyDescent="0.25">
      <c r="A2263" t="s">
        <v>2356</v>
      </c>
      <c r="B2263" s="1">
        <v>45045</v>
      </c>
      <c r="C2263" t="s">
        <v>163</v>
      </c>
      <c r="D2263" t="s">
        <v>18</v>
      </c>
      <c r="E2263">
        <v>3</v>
      </c>
      <c r="F2263" s="2">
        <v>499.99</v>
      </c>
      <c r="G2263">
        <v>10</v>
      </c>
      <c r="H2263" s="2">
        <v>449.99</v>
      </c>
      <c r="I2263" s="2">
        <v>1349.97</v>
      </c>
      <c r="J2263" t="s">
        <v>19</v>
      </c>
      <c r="K2263" t="s">
        <v>57</v>
      </c>
      <c r="L2263" t="s">
        <v>28</v>
      </c>
      <c r="M2263" t="s">
        <v>65</v>
      </c>
      <c r="N2263" t="s">
        <v>54</v>
      </c>
      <c r="O2263" t="s">
        <v>35</v>
      </c>
      <c r="P2263">
        <v>3</v>
      </c>
      <c r="Q2263" s="2">
        <f>Ventas[[#This Row],[precio_base]]*Ventas[[#This Row],[cantidad]]</f>
        <v>1499.97</v>
      </c>
      <c r="R2263" s="2">
        <f>Ventas[[#This Row],[Total bruto (antes de descuento)]]-Ventas[[#This Row],[total_venta]]</f>
        <v>150</v>
      </c>
    </row>
    <row r="2264" spans="1:18" x14ac:dyDescent="0.25">
      <c r="A2264" t="s">
        <v>2357</v>
      </c>
      <c r="B2264" s="1">
        <v>45232</v>
      </c>
      <c r="C2264" t="s">
        <v>163</v>
      </c>
      <c r="D2264" t="s">
        <v>18</v>
      </c>
      <c r="E2264">
        <v>4</v>
      </c>
      <c r="F2264" s="2">
        <v>499.99</v>
      </c>
      <c r="G2264">
        <v>20</v>
      </c>
      <c r="H2264" s="2">
        <v>399.99</v>
      </c>
      <c r="I2264" s="2">
        <v>1599.96</v>
      </c>
      <c r="J2264" t="s">
        <v>51</v>
      </c>
      <c r="K2264" t="s">
        <v>44</v>
      </c>
      <c r="L2264" t="s">
        <v>45</v>
      </c>
      <c r="M2264" t="s">
        <v>65</v>
      </c>
      <c r="N2264" t="s">
        <v>54</v>
      </c>
      <c r="O2264" t="s">
        <v>35</v>
      </c>
      <c r="Q2264" s="2">
        <f>Ventas[[#This Row],[precio_base]]*Ventas[[#This Row],[cantidad]]</f>
        <v>1999.96</v>
      </c>
      <c r="R2264" s="2">
        <f>Ventas[[#This Row],[Total bruto (antes de descuento)]]-Ventas[[#This Row],[total_venta]]</f>
        <v>400</v>
      </c>
    </row>
    <row r="2265" spans="1:18" x14ac:dyDescent="0.25">
      <c r="A2265" t="s">
        <v>2358</v>
      </c>
      <c r="B2265" s="1">
        <v>45344</v>
      </c>
      <c r="C2265" t="s">
        <v>94</v>
      </c>
      <c r="D2265" t="s">
        <v>18</v>
      </c>
      <c r="E2265">
        <v>2</v>
      </c>
      <c r="F2265" s="2">
        <v>899.99</v>
      </c>
      <c r="G2265">
        <v>0</v>
      </c>
      <c r="H2265" s="2">
        <v>899.99</v>
      </c>
      <c r="I2265" s="2">
        <v>1799.98</v>
      </c>
      <c r="J2265" t="s">
        <v>51</v>
      </c>
      <c r="K2265" t="s">
        <v>44</v>
      </c>
      <c r="L2265" t="s">
        <v>21</v>
      </c>
      <c r="M2265" t="s">
        <v>33</v>
      </c>
      <c r="N2265" t="s">
        <v>34</v>
      </c>
      <c r="O2265" t="s">
        <v>35</v>
      </c>
      <c r="Q2265" s="2">
        <f>Ventas[[#This Row],[precio_base]]*Ventas[[#This Row],[cantidad]]</f>
        <v>1799.98</v>
      </c>
      <c r="R2265" s="2">
        <f>Ventas[[#This Row],[Total bruto (antes de descuento)]]-Ventas[[#This Row],[total_venta]]</f>
        <v>0</v>
      </c>
    </row>
    <row r="2266" spans="1:18" x14ac:dyDescent="0.25">
      <c r="A2266" t="s">
        <v>2359</v>
      </c>
      <c r="B2266" s="1">
        <v>45610</v>
      </c>
      <c r="C2266" t="s">
        <v>89</v>
      </c>
      <c r="D2266" t="s">
        <v>38</v>
      </c>
      <c r="E2266">
        <v>4</v>
      </c>
      <c r="F2266" s="2">
        <v>69.989999999999995</v>
      </c>
      <c r="G2266">
        <v>15</v>
      </c>
      <c r="H2266" s="2">
        <v>59.49</v>
      </c>
      <c r="I2266" s="2">
        <v>237.96</v>
      </c>
      <c r="J2266" t="s">
        <v>51</v>
      </c>
      <c r="K2266" t="s">
        <v>52</v>
      </c>
      <c r="L2266" t="s">
        <v>45</v>
      </c>
      <c r="M2266" t="s">
        <v>33</v>
      </c>
      <c r="N2266" t="s">
        <v>34</v>
      </c>
      <c r="O2266" t="s">
        <v>35</v>
      </c>
      <c r="Q2266" s="2">
        <f>Ventas[[#This Row],[precio_base]]*Ventas[[#This Row],[cantidad]]</f>
        <v>279.95999999999998</v>
      </c>
      <c r="R2266" s="2">
        <f>Ventas[[#This Row],[Total bruto (antes de descuento)]]-Ventas[[#This Row],[total_venta]]</f>
        <v>41.999999999999972</v>
      </c>
    </row>
    <row r="2267" spans="1:18" x14ac:dyDescent="0.25">
      <c r="A2267" t="s">
        <v>2360</v>
      </c>
      <c r="B2267" s="1">
        <v>45505</v>
      </c>
      <c r="C2267" t="s">
        <v>26</v>
      </c>
      <c r="D2267" t="s">
        <v>27</v>
      </c>
      <c r="E2267">
        <v>1</v>
      </c>
      <c r="F2267" s="2">
        <v>399.99</v>
      </c>
      <c r="G2267">
        <v>20</v>
      </c>
      <c r="H2267" s="2">
        <v>319.99</v>
      </c>
      <c r="I2267" s="2">
        <v>319.99</v>
      </c>
      <c r="J2267" t="s">
        <v>19</v>
      </c>
      <c r="K2267" t="s">
        <v>20</v>
      </c>
      <c r="L2267" t="s">
        <v>21</v>
      </c>
      <c r="M2267" t="s">
        <v>33</v>
      </c>
      <c r="N2267" t="s">
        <v>34</v>
      </c>
      <c r="O2267" t="s">
        <v>35</v>
      </c>
      <c r="P2267">
        <v>4</v>
      </c>
      <c r="Q2267" s="2">
        <f>Ventas[[#This Row],[precio_base]]*Ventas[[#This Row],[cantidad]]</f>
        <v>399.99</v>
      </c>
      <c r="R2267" s="2">
        <f>Ventas[[#This Row],[Total bruto (antes de descuento)]]-Ventas[[#This Row],[total_venta]]</f>
        <v>80</v>
      </c>
    </row>
    <row r="2268" spans="1:18" x14ac:dyDescent="0.25">
      <c r="A2268" t="s">
        <v>2361</v>
      </c>
      <c r="B2268" s="1">
        <v>45188</v>
      </c>
      <c r="C2268" t="s">
        <v>26</v>
      </c>
      <c r="D2268" t="s">
        <v>27</v>
      </c>
      <c r="E2268">
        <v>2</v>
      </c>
      <c r="F2268" s="2">
        <v>399.99</v>
      </c>
      <c r="G2268">
        <v>5</v>
      </c>
      <c r="H2268" s="2">
        <v>379.99</v>
      </c>
      <c r="I2268" s="2">
        <v>759.98</v>
      </c>
      <c r="J2268" t="s">
        <v>51</v>
      </c>
      <c r="K2268" t="s">
        <v>44</v>
      </c>
      <c r="L2268" t="s">
        <v>152</v>
      </c>
      <c r="M2268" t="s">
        <v>84</v>
      </c>
      <c r="N2268" t="s">
        <v>85</v>
      </c>
      <c r="O2268" t="s">
        <v>35</v>
      </c>
      <c r="Q2268" s="2">
        <f>Ventas[[#This Row],[precio_base]]*Ventas[[#This Row],[cantidad]]</f>
        <v>799.98</v>
      </c>
      <c r="R2268" s="2">
        <f>Ventas[[#This Row],[Total bruto (antes de descuento)]]-Ventas[[#This Row],[total_venta]]</f>
        <v>40</v>
      </c>
    </row>
    <row r="2269" spans="1:18" x14ac:dyDescent="0.25">
      <c r="A2269" t="s">
        <v>2362</v>
      </c>
      <c r="B2269" s="1">
        <v>45357</v>
      </c>
      <c r="C2269" t="s">
        <v>98</v>
      </c>
      <c r="D2269" t="s">
        <v>31</v>
      </c>
      <c r="E2269">
        <v>5</v>
      </c>
      <c r="F2269" s="2">
        <v>99.99</v>
      </c>
      <c r="G2269">
        <v>10</v>
      </c>
      <c r="H2269" s="2">
        <v>89.99</v>
      </c>
      <c r="I2269" s="2">
        <v>449.95</v>
      </c>
      <c r="J2269" t="s">
        <v>62</v>
      </c>
      <c r="K2269" t="s">
        <v>52</v>
      </c>
      <c r="L2269" t="s">
        <v>21</v>
      </c>
      <c r="M2269" t="s">
        <v>67</v>
      </c>
      <c r="N2269" t="s">
        <v>68</v>
      </c>
      <c r="O2269" t="s">
        <v>35</v>
      </c>
      <c r="Q2269" s="2">
        <f>Ventas[[#This Row],[precio_base]]*Ventas[[#This Row],[cantidad]]</f>
        <v>499.95</v>
      </c>
      <c r="R2269" s="2">
        <f>Ventas[[#This Row],[Total bruto (antes de descuento)]]-Ventas[[#This Row],[total_venta]]</f>
        <v>50</v>
      </c>
    </row>
    <row r="2270" spans="1:18" x14ac:dyDescent="0.25">
      <c r="A2270" t="s">
        <v>2363</v>
      </c>
      <c r="B2270" s="1">
        <v>45492</v>
      </c>
      <c r="C2270" t="s">
        <v>72</v>
      </c>
      <c r="D2270" t="s">
        <v>31</v>
      </c>
      <c r="E2270">
        <v>5</v>
      </c>
      <c r="F2270" s="2">
        <v>29.99</v>
      </c>
      <c r="G2270">
        <v>20</v>
      </c>
      <c r="H2270" s="2">
        <v>23.99</v>
      </c>
      <c r="I2270" s="2">
        <v>119.95</v>
      </c>
      <c r="J2270" t="s">
        <v>51</v>
      </c>
      <c r="K2270" t="s">
        <v>44</v>
      </c>
      <c r="L2270" t="s">
        <v>28</v>
      </c>
      <c r="M2270" t="s">
        <v>84</v>
      </c>
      <c r="N2270" t="s">
        <v>85</v>
      </c>
      <c r="O2270" t="s">
        <v>35</v>
      </c>
      <c r="Q2270" s="2">
        <f>Ventas[[#This Row],[precio_base]]*Ventas[[#This Row],[cantidad]]</f>
        <v>149.94999999999999</v>
      </c>
      <c r="R2270" s="2">
        <f>Ventas[[#This Row],[Total bruto (antes de descuento)]]-Ventas[[#This Row],[total_venta]]</f>
        <v>29.999999999999986</v>
      </c>
    </row>
    <row r="2271" spans="1:18" x14ac:dyDescent="0.25">
      <c r="A2271" t="s">
        <v>2364</v>
      </c>
      <c r="B2271" s="1">
        <v>45394</v>
      </c>
      <c r="C2271" t="s">
        <v>56</v>
      </c>
      <c r="D2271" t="s">
        <v>18</v>
      </c>
      <c r="E2271">
        <v>5</v>
      </c>
      <c r="F2271" s="2">
        <v>89.99</v>
      </c>
      <c r="G2271">
        <v>0</v>
      </c>
      <c r="H2271" s="2">
        <v>89.99</v>
      </c>
      <c r="I2271" s="2">
        <v>449.95</v>
      </c>
      <c r="J2271" t="s">
        <v>19</v>
      </c>
      <c r="K2271" t="s">
        <v>20</v>
      </c>
      <c r="L2271" t="s">
        <v>45</v>
      </c>
      <c r="M2271" t="s">
        <v>39</v>
      </c>
      <c r="N2271" t="s">
        <v>40</v>
      </c>
      <c r="O2271" t="s">
        <v>35</v>
      </c>
      <c r="P2271">
        <v>5</v>
      </c>
      <c r="Q2271" s="2">
        <f>Ventas[[#This Row],[precio_base]]*Ventas[[#This Row],[cantidad]]</f>
        <v>449.95</v>
      </c>
      <c r="R2271" s="2">
        <f>Ventas[[#This Row],[Total bruto (antes de descuento)]]-Ventas[[#This Row],[total_venta]]</f>
        <v>0</v>
      </c>
    </row>
    <row r="2272" spans="1:18" x14ac:dyDescent="0.25">
      <c r="A2272" t="s">
        <v>2365</v>
      </c>
      <c r="B2272" s="1">
        <v>45181</v>
      </c>
      <c r="C2272" t="s">
        <v>78</v>
      </c>
      <c r="D2272" t="s">
        <v>18</v>
      </c>
      <c r="E2272">
        <v>3</v>
      </c>
      <c r="F2272" s="2">
        <v>349.99</v>
      </c>
      <c r="G2272">
        <v>10</v>
      </c>
      <c r="H2272" s="2">
        <v>314.99</v>
      </c>
      <c r="I2272" s="2">
        <v>944.97</v>
      </c>
      <c r="J2272" t="s">
        <v>19</v>
      </c>
      <c r="K2272" t="s">
        <v>52</v>
      </c>
      <c r="L2272" t="s">
        <v>32</v>
      </c>
      <c r="M2272" t="s">
        <v>46</v>
      </c>
      <c r="N2272" t="s">
        <v>47</v>
      </c>
      <c r="O2272" t="s">
        <v>48</v>
      </c>
      <c r="P2272">
        <v>5</v>
      </c>
      <c r="Q2272" s="2">
        <f>Ventas[[#This Row],[precio_base]]*Ventas[[#This Row],[cantidad]]</f>
        <v>1049.97</v>
      </c>
      <c r="R2272" s="2">
        <f>Ventas[[#This Row],[Total bruto (antes de descuento)]]-Ventas[[#This Row],[total_venta]]</f>
        <v>105</v>
      </c>
    </row>
    <row r="2273" spans="1:18" x14ac:dyDescent="0.25">
      <c r="A2273" t="s">
        <v>2366</v>
      </c>
      <c r="B2273" s="1">
        <v>45560</v>
      </c>
      <c r="C2273" t="s">
        <v>70</v>
      </c>
      <c r="D2273" t="s">
        <v>31</v>
      </c>
      <c r="E2273">
        <v>2</v>
      </c>
      <c r="F2273" s="2">
        <v>59.99</v>
      </c>
      <c r="G2273">
        <v>0</v>
      </c>
      <c r="H2273" s="2">
        <v>59.99</v>
      </c>
      <c r="I2273" s="2">
        <v>119.98</v>
      </c>
      <c r="J2273" t="s">
        <v>62</v>
      </c>
      <c r="K2273" t="s">
        <v>20</v>
      </c>
      <c r="L2273" t="s">
        <v>28</v>
      </c>
      <c r="M2273" t="s">
        <v>95</v>
      </c>
      <c r="N2273" t="s">
        <v>96</v>
      </c>
      <c r="O2273" t="s">
        <v>48</v>
      </c>
      <c r="Q2273" s="2">
        <f>Ventas[[#This Row],[precio_base]]*Ventas[[#This Row],[cantidad]]</f>
        <v>119.98</v>
      </c>
      <c r="R2273" s="2">
        <f>Ventas[[#This Row],[Total bruto (antes de descuento)]]-Ventas[[#This Row],[total_venta]]</f>
        <v>0</v>
      </c>
    </row>
    <row r="2274" spans="1:18" x14ac:dyDescent="0.25">
      <c r="A2274" t="s">
        <v>2367</v>
      </c>
      <c r="B2274" s="1">
        <v>45155</v>
      </c>
      <c r="C2274" t="s">
        <v>83</v>
      </c>
      <c r="D2274" t="s">
        <v>38</v>
      </c>
      <c r="E2274">
        <v>2</v>
      </c>
      <c r="F2274" s="2">
        <v>49.99</v>
      </c>
      <c r="G2274">
        <v>20</v>
      </c>
      <c r="H2274" s="2">
        <v>39.99</v>
      </c>
      <c r="I2274" s="2">
        <v>79.98</v>
      </c>
      <c r="J2274" t="s">
        <v>116</v>
      </c>
      <c r="K2274" t="s">
        <v>44</v>
      </c>
      <c r="L2274" t="s">
        <v>152</v>
      </c>
      <c r="M2274" t="s">
        <v>120</v>
      </c>
      <c r="N2274" t="s">
        <v>23</v>
      </c>
      <c r="O2274" t="s">
        <v>24</v>
      </c>
      <c r="Q2274" s="2">
        <f>Ventas[[#This Row],[precio_base]]*Ventas[[#This Row],[cantidad]]</f>
        <v>99.98</v>
      </c>
      <c r="R2274" s="2">
        <f>Ventas[[#This Row],[Total bruto (antes de descuento)]]-Ventas[[#This Row],[total_venta]]</f>
        <v>20</v>
      </c>
    </row>
    <row r="2275" spans="1:18" x14ac:dyDescent="0.25">
      <c r="A2275" t="s">
        <v>2368</v>
      </c>
      <c r="B2275" s="1">
        <v>44983</v>
      </c>
      <c r="C2275" t="s">
        <v>37</v>
      </c>
      <c r="D2275" t="s">
        <v>38</v>
      </c>
      <c r="E2275">
        <v>5</v>
      </c>
      <c r="F2275" s="2">
        <v>34.99</v>
      </c>
      <c r="G2275">
        <v>15</v>
      </c>
      <c r="H2275" s="2">
        <v>29.74</v>
      </c>
      <c r="I2275" s="2">
        <v>148.69999999999999</v>
      </c>
      <c r="J2275" t="s">
        <v>19</v>
      </c>
      <c r="K2275" t="s">
        <v>44</v>
      </c>
      <c r="L2275" t="s">
        <v>45</v>
      </c>
      <c r="M2275" t="s">
        <v>65</v>
      </c>
      <c r="N2275" t="s">
        <v>54</v>
      </c>
      <c r="O2275" t="s">
        <v>35</v>
      </c>
      <c r="P2275">
        <v>1</v>
      </c>
      <c r="Q2275" s="2">
        <f>Ventas[[#This Row],[precio_base]]*Ventas[[#This Row],[cantidad]]</f>
        <v>174.95000000000002</v>
      </c>
      <c r="R2275" s="2">
        <f>Ventas[[#This Row],[Total bruto (antes de descuento)]]-Ventas[[#This Row],[total_venta]]</f>
        <v>26.250000000000028</v>
      </c>
    </row>
    <row r="2276" spans="1:18" x14ac:dyDescent="0.25">
      <c r="A2276" t="s">
        <v>2369</v>
      </c>
      <c r="B2276" s="1">
        <v>45395</v>
      </c>
      <c r="C2276" t="s">
        <v>98</v>
      </c>
      <c r="D2276" t="s">
        <v>31</v>
      </c>
      <c r="E2276">
        <v>4</v>
      </c>
      <c r="F2276" s="2">
        <v>99.99</v>
      </c>
      <c r="G2276">
        <v>0</v>
      </c>
      <c r="H2276" s="2">
        <v>99.99</v>
      </c>
      <c r="I2276" s="2">
        <v>399.96</v>
      </c>
      <c r="J2276" t="s">
        <v>51</v>
      </c>
      <c r="K2276" t="s">
        <v>44</v>
      </c>
      <c r="L2276" t="s">
        <v>21</v>
      </c>
      <c r="M2276" t="s">
        <v>63</v>
      </c>
      <c r="N2276" t="s">
        <v>34</v>
      </c>
      <c r="O2276" t="s">
        <v>24</v>
      </c>
      <c r="Q2276" s="2">
        <f>Ventas[[#This Row],[precio_base]]*Ventas[[#This Row],[cantidad]]</f>
        <v>399.96</v>
      </c>
      <c r="R2276" s="2">
        <f>Ventas[[#This Row],[Total bruto (antes de descuento)]]-Ventas[[#This Row],[total_venta]]</f>
        <v>0</v>
      </c>
    </row>
    <row r="2277" spans="1:18" x14ac:dyDescent="0.25">
      <c r="A2277" t="s">
        <v>2370</v>
      </c>
      <c r="B2277" s="1">
        <v>45160</v>
      </c>
      <c r="C2277" t="s">
        <v>87</v>
      </c>
      <c r="D2277" t="s">
        <v>27</v>
      </c>
      <c r="E2277">
        <v>5</v>
      </c>
      <c r="F2277" s="2">
        <v>249.99</v>
      </c>
      <c r="G2277">
        <v>0</v>
      </c>
      <c r="H2277" s="2">
        <v>249.99</v>
      </c>
      <c r="I2277" s="2">
        <v>1249.95</v>
      </c>
      <c r="J2277" t="s">
        <v>19</v>
      </c>
      <c r="K2277" t="s">
        <v>44</v>
      </c>
      <c r="L2277" t="s">
        <v>45</v>
      </c>
      <c r="M2277" t="s">
        <v>73</v>
      </c>
      <c r="N2277" t="s">
        <v>74</v>
      </c>
      <c r="O2277" t="s">
        <v>35</v>
      </c>
      <c r="P2277">
        <v>2</v>
      </c>
      <c r="Q2277" s="2">
        <f>Ventas[[#This Row],[precio_base]]*Ventas[[#This Row],[cantidad]]</f>
        <v>1249.95</v>
      </c>
      <c r="R2277" s="2">
        <f>Ventas[[#This Row],[Total bruto (antes de descuento)]]-Ventas[[#This Row],[total_venta]]</f>
        <v>0</v>
      </c>
    </row>
    <row r="2278" spans="1:18" x14ac:dyDescent="0.25">
      <c r="A2278" t="s">
        <v>2371</v>
      </c>
      <c r="B2278" s="1">
        <v>45459</v>
      </c>
      <c r="C2278" t="s">
        <v>78</v>
      </c>
      <c r="D2278" t="s">
        <v>18</v>
      </c>
      <c r="E2278">
        <v>5</v>
      </c>
      <c r="F2278" s="2">
        <v>349.99</v>
      </c>
      <c r="G2278">
        <v>20</v>
      </c>
      <c r="H2278" s="2">
        <v>279.99</v>
      </c>
      <c r="I2278" s="2">
        <v>1399.95</v>
      </c>
      <c r="J2278" t="s">
        <v>19</v>
      </c>
      <c r="K2278" t="s">
        <v>57</v>
      </c>
      <c r="L2278" t="s">
        <v>32</v>
      </c>
      <c r="M2278" t="s">
        <v>67</v>
      </c>
      <c r="N2278" t="s">
        <v>68</v>
      </c>
      <c r="O2278" t="s">
        <v>35</v>
      </c>
      <c r="P2278">
        <v>3</v>
      </c>
      <c r="Q2278" s="2">
        <f>Ventas[[#This Row],[precio_base]]*Ventas[[#This Row],[cantidad]]</f>
        <v>1749.95</v>
      </c>
      <c r="R2278" s="2">
        <f>Ventas[[#This Row],[Total bruto (antes de descuento)]]-Ventas[[#This Row],[total_venta]]</f>
        <v>350</v>
      </c>
    </row>
    <row r="2279" spans="1:18" x14ac:dyDescent="0.25">
      <c r="A2279" t="s">
        <v>2372</v>
      </c>
      <c r="B2279" s="1">
        <v>45344</v>
      </c>
      <c r="C2279" t="s">
        <v>130</v>
      </c>
      <c r="D2279" t="s">
        <v>43</v>
      </c>
      <c r="E2279">
        <v>1</v>
      </c>
      <c r="F2279" s="2">
        <v>24.99</v>
      </c>
      <c r="G2279">
        <v>0</v>
      </c>
      <c r="H2279" s="2">
        <v>24.99</v>
      </c>
      <c r="I2279" s="2">
        <v>24.99</v>
      </c>
      <c r="J2279" t="s">
        <v>90</v>
      </c>
      <c r="K2279" t="s">
        <v>44</v>
      </c>
      <c r="L2279" t="s">
        <v>21</v>
      </c>
      <c r="M2279" t="s">
        <v>33</v>
      </c>
      <c r="N2279" t="s">
        <v>34</v>
      </c>
      <c r="O2279" t="s">
        <v>35</v>
      </c>
      <c r="Q2279" s="2">
        <f>Ventas[[#This Row],[precio_base]]*Ventas[[#This Row],[cantidad]]</f>
        <v>24.99</v>
      </c>
      <c r="R2279" s="2">
        <f>Ventas[[#This Row],[Total bruto (antes de descuento)]]-Ventas[[#This Row],[total_venta]]</f>
        <v>0</v>
      </c>
    </row>
    <row r="2280" spans="1:18" x14ac:dyDescent="0.25">
      <c r="A2280" t="s">
        <v>2373</v>
      </c>
      <c r="B2280" s="1">
        <v>45489</v>
      </c>
      <c r="C2280" t="s">
        <v>70</v>
      </c>
      <c r="D2280" t="s">
        <v>31</v>
      </c>
      <c r="E2280">
        <v>2</v>
      </c>
      <c r="F2280" s="2">
        <v>59.99</v>
      </c>
      <c r="G2280">
        <v>5</v>
      </c>
      <c r="H2280" s="2">
        <v>56.99</v>
      </c>
      <c r="I2280" s="2">
        <v>113.98</v>
      </c>
      <c r="J2280" t="s">
        <v>19</v>
      </c>
      <c r="K2280" t="s">
        <v>44</v>
      </c>
      <c r="L2280" t="s">
        <v>21</v>
      </c>
      <c r="M2280" t="s">
        <v>123</v>
      </c>
      <c r="N2280" t="s">
        <v>124</v>
      </c>
      <c r="O2280" t="s">
        <v>24</v>
      </c>
      <c r="P2280">
        <v>3</v>
      </c>
      <c r="Q2280" s="2">
        <f>Ventas[[#This Row],[precio_base]]*Ventas[[#This Row],[cantidad]]</f>
        <v>119.98</v>
      </c>
      <c r="R2280" s="2">
        <f>Ventas[[#This Row],[Total bruto (antes de descuento)]]-Ventas[[#This Row],[total_venta]]</f>
        <v>6</v>
      </c>
    </row>
    <row r="2281" spans="1:18" x14ac:dyDescent="0.25">
      <c r="A2281" t="s">
        <v>2374</v>
      </c>
      <c r="B2281" s="1">
        <v>45022</v>
      </c>
      <c r="C2281" t="s">
        <v>70</v>
      </c>
      <c r="D2281" t="s">
        <v>31</v>
      </c>
      <c r="E2281">
        <v>5</v>
      </c>
      <c r="F2281" s="2">
        <v>59.99</v>
      </c>
      <c r="G2281">
        <v>5</v>
      </c>
      <c r="H2281" s="2">
        <v>56.99</v>
      </c>
      <c r="I2281" s="2">
        <v>284.95</v>
      </c>
      <c r="J2281" t="s">
        <v>19</v>
      </c>
      <c r="K2281" t="s">
        <v>20</v>
      </c>
      <c r="L2281" t="s">
        <v>21</v>
      </c>
      <c r="M2281" t="s">
        <v>123</v>
      </c>
      <c r="N2281" t="s">
        <v>124</v>
      </c>
      <c r="O2281" t="s">
        <v>24</v>
      </c>
      <c r="P2281">
        <v>2</v>
      </c>
      <c r="Q2281" s="2">
        <f>Ventas[[#This Row],[precio_base]]*Ventas[[#This Row],[cantidad]]</f>
        <v>299.95</v>
      </c>
      <c r="R2281" s="2">
        <f>Ventas[[#This Row],[Total bruto (antes de descuento)]]-Ventas[[#This Row],[total_venta]]</f>
        <v>15</v>
      </c>
    </row>
    <row r="2282" spans="1:18" x14ac:dyDescent="0.25">
      <c r="A2282" t="s">
        <v>2375</v>
      </c>
      <c r="B2282" s="1">
        <v>44942</v>
      </c>
      <c r="C2282" t="s">
        <v>50</v>
      </c>
      <c r="D2282" t="s">
        <v>27</v>
      </c>
      <c r="E2282">
        <v>4</v>
      </c>
      <c r="F2282" s="2">
        <v>149.99</v>
      </c>
      <c r="G2282">
        <v>20</v>
      </c>
      <c r="H2282" s="2">
        <v>119.99</v>
      </c>
      <c r="I2282" s="2">
        <v>479.96</v>
      </c>
      <c r="J2282" t="s">
        <v>19</v>
      </c>
      <c r="K2282" t="s">
        <v>52</v>
      </c>
      <c r="L2282" t="s">
        <v>32</v>
      </c>
      <c r="M2282" t="s">
        <v>73</v>
      </c>
      <c r="N2282" t="s">
        <v>74</v>
      </c>
      <c r="O2282" t="s">
        <v>35</v>
      </c>
      <c r="P2282">
        <v>2</v>
      </c>
      <c r="Q2282" s="2">
        <f>Ventas[[#This Row],[precio_base]]*Ventas[[#This Row],[cantidad]]</f>
        <v>599.96</v>
      </c>
      <c r="R2282" s="2">
        <f>Ventas[[#This Row],[Total bruto (antes de descuento)]]-Ventas[[#This Row],[total_venta]]</f>
        <v>120.00000000000006</v>
      </c>
    </row>
    <row r="2283" spans="1:18" x14ac:dyDescent="0.25">
      <c r="A2283" t="s">
        <v>2376</v>
      </c>
      <c r="B2283" s="1">
        <v>45468</v>
      </c>
      <c r="C2283" t="s">
        <v>141</v>
      </c>
      <c r="D2283" t="s">
        <v>38</v>
      </c>
      <c r="E2283">
        <v>5</v>
      </c>
      <c r="F2283" s="2">
        <v>89.99</v>
      </c>
      <c r="G2283">
        <v>0</v>
      </c>
      <c r="H2283" s="2">
        <v>89.99</v>
      </c>
      <c r="I2283" s="2">
        <v>449.95</v>
      </c>
      <c r="J2283" t="s">
        <v>116</v>
      </c>
      <c r="K2283" t="s">
        <v>20</v>
      </c>
      <c r="L2283" t="s">
        <v>32</v>
      </c>
      <c r="M2283" t="s">
        <v>39</v>
      </c>
      <c r="N2283" t="s">
        <v>40</v>
      </c>
      <c r="O2283" t="s">
        <v>35</v>
      </c>
      <c r="Q2283" s="2">
        <f>Ventas[[#This Row],[precio_base]]*Ventas[[#This Row],[cantidad]]</f>
        <v>449.95</v>
      </c>
      <c r="R2283" s="2">
        <f>Ventas[[#This Row],[Total bruto (antes de descuento)]]-Ventas[[#This Row],[total_venta]]</f>
        <v>0</v>
      </c>
    </row>
    <row r="2284" spans="1:18" x14ac:dyDescent="0.25">
      <c r="A2284" t="s">
        <v>2377</v>
      </c>
      <c r="B2284" s="1">
        <v>45200</v>
      </c>
      <c r="C2284" t="s">
        <v>109</v>
      </c>
      <c r="D2284" t="s">
        <v>38</v>
      </c>
      <c r="E2284">
        <v>5</v>
      </c>
      <c r="F2284" s="2">
        <v>39.99</v>
      </c>
      <c r="G2284">
        <v>0</v>
      </c>
      <c r="H2284" s="2">
        <v>39.99</v>
      </c>
      <c r="I2284" s="2">
        <v>199.95</v>
      </c>
      <c r="J2284" t="s">
        <v>19</v>
      </c>
      <c r="K2284" t="s">
        <v>52</v>
      </c>
      <c r="L2284" t="s">
        <v>32</v>
      </c>
      <c r="M2284" t="s">
        <v>39</v>
      </c>
      <c r="N2284" t="s">
        <v>40</v>
      </c>
      <c r="O2284" t="s">
        <v>35</v>
      </c>
      <c r="P2284">
        <v>3</v>
      </c>
      <c r="Q2284" s="2">
        <f>Ventas[[#This Row],[precio_base]]*Ventas[[#This Row],[cantidad]]</f>
        <v>199.95000000000002</v>
      </c>
      <c r="R2284" s="2">
        <f>Ventas[[#This Row],[Total bruto (antes de descuento)]]-Ventas[[#This Row],[total_venta]]</f>
        <v>0</v>
      </c>
    </row>
    <row r="2285" spans="1:18" x14ac:dyDescent="0.25">
      <c r="A2285" t="s">
        <v>2378</v>
      </c>
      <c r="B2285" s="1">
        <v>45568</v>
      </c>
      <c r="C2285" t="s">
        <v>130</v>
      </c>
      <c r="D2285" t="s">
        <v>43</v>
      </c>
      <c r="E2285">
        <v>1</v>
      </c>
      <c r="F2285" s="2">
        <v>24.99</v>
      </c>
      <c r="G2285">
        <v>20</v>
      </c>
      <c r="H2285" s="2">
        <v>19.989999999999998</v>
      </c>
      <c r="I2285" s="2">
        <v>19.989999999999998</v>
      </c>
      <c r="J2285" t="s">
        <v>19</v>
      </c>
      <c r="K2285" t="s">
        <v>44</v>
      </c>
      <c r="L2285" t="s">
        <v>21</v>
      </c>
      <c r="M2285" t="s">
        <v>63</v>
      </c>
      <c r="N2285" t="s">
        <v>34</v>
      </c>
      <c r="O2285" t="s">
        <v>24</v>
      </c>
      <c r="P2285">
        <v>1</v>
      </c>
      <c r="Q2285" s="2">
        <f>Ventas[[#This Row],[precio_base]]*Ventas[[#This Row],[cantidad]]</f>
        <v>24.99</v>
      </c>
      <c r="R2285" s="2">
        <f>Ventas[[#This Row],[Total bruto (antes de descuento)]]-Ventas[[#This Row],[total_venta]]</f>
        <v>5</v>
      </c>
    </row>
    <row r="2286" spans="1:18" x14ac:dyDescent="0.25">
      <c r="A2286" t="s">
        <v>2379</v>
      </c>
      <c r="B2286" s="1">
        <v>45610</v>
      </c>
      <c r="C2286" t="s">
        <v>42</v>
      </c>
      <c r="D2286" t="s">
        <v>43</v>
      </c>
      <c r="E2286">
        <v>5</v>
      </c>
      <c r="F2286" s="2">
        <v>349.99</v>
      </c>
      <c r="G2286">
        <v>5</v>
      </c>
      <c r="H2286" s="2">
        <v>332.49</v>
      </c>
      <c r="I2286" s="2">
        <v>1662.45</v>
      </c>
      <c r="J2286" t="s">
        <v>51</v>
      </c>
      <c r="K2286" t="s">
        <v>52</v>
      </c>
      <c r="L2286" t="s">
        <v>21</v>
      </c>
      <c r="M2286" t="s">
        <v>53</v>
      </c>
      <c r="N2286" t="s">
        <v>54</v>
      </c>
      <c r="O2286" t="s">
        <v>35</v>
      </c>
      <c r="Q2286" s="2">
        <f>Ventas[[#This Row],[precio_base]]*Ventas[[#This Row],[cantidad]]</f>
        <v>1749.95</v>
      </c>
      <c r="R2286" s="2">
        <f>Ventas[[#This Row],[Total bruto (antes de descuento)]]-Ventas[[#This Row],[total_venta]]</f>
        <v>87.5</v>
      </c>
    </row>
    <row r="2287" spans="1:18" x14ac:dyDescent="0.25">
      <c r="A2287" t="s">
        <v>2380</v>
      </c>
      <c r="B2287" s="1">
        <v>44983</v>
      </c>
      <c r="C2287" t="s">
        <v>17</v>
      </c>
      <c r="D2287" t="s">
        <v>18</v>
      </c>
      <c r="E2287">
        <v>4</v>
      </c>
      <c r="F2287" s="2">
        <v>45.99</v>
      </c>
      <c r="G2287">
        <v>10</v>
      </c>
      <c r="H2287" s="2">
        <v>41.39</v>
      </c>
      <c r="I2287" s="2">
        <v>165.56</v>
      </c>
      <c r="J2287" t="s">
        <v>19</v>
      </c>
      <c r="K2287" t="s">
        <v>44</v>
      </c>
      <c r="L2287" t="s">
        <v>32</v>
      </c>
      <c r="M2287" t="s">
        <v>95</v>
      </c>
      <c r="N2287" t="s">
        <v>96</v>
      </c>
      <c r="O2287" t="s">
        <v>48</v>
      </c>
      <c r="P2287">
        <v>3</v>
      </c>
      <c r="Q2287" s="2">
        <f>Ventas[[#This Row],[precio_base]]*Ventas[[#This Row],[cantidad]]</f>
        <v>183.96</v>
      </c>
      <c r="R2287" s="2">
        <f>Ventas[[#This Row],[Total bruto (antes de descuento)]]-Ventas[[#This Row],[total_venta]]</f>
        <v>18.400000000000006</v>
      </c>
    </row>
    <row r="2288" spans="1:18" x14ac:dyDescent="0.25">
      <c r="A2288" t="s">
        <v>2381</v>
      </c>
      <c r="B2288" s="1">
        <v>44953</v>
      </c>
      <c r="C2288" t="s">
        <v>94</v>
      </c>
      <c r="D2288" t="s">
        <v>18</v>
      </c>
      <c r="E2288">
        <v>1</v>
      </c>
      <c r="F2288" s="2">
        <v>899.99</v>
      </c>
      <c r="G2288">
        <v>5</v>
      </c>
      <c r="H2288" s="2">
        <v>854.99</v>
      </c>
      <c r="I2288" s="2">
        <v>854.99</v>
      </c>
      <c r="J2288" t="s">
        <v>19</v>
      </c>
      <c r="K2288" t="s">
        <v>44</v>
      </c>
      <c r="L2288" t="s">
        <v>21</v>
      </c>
      <c r="M2288" t="s">
        <v>33</v>
      </c>
      <c r="N2288" t="s">
        <v>34</v>
      </c>
      <c r="O2288" t="s">
        <v>35</v>
      </c>
      <c r="P2288">
        <v>5</v>
      </c>
      <c r="Q2288" s="2">
        <f>Ventas[[#This Row],[precio_base]]*Ventas[[#This Row],[cantidad]]</f>
        <v>899.99</v>
      </c>
      <c r="R2288" s="2">
        <f>Ventas[[#This Row],[Total bruto (antes de descuento)]]-Ventas[[#This Row],[total_venta]]</f>
        <v>45</v>
      </c>
    </row>
    <row r="2289" spans="1:18" x14ac:dyDescent="0.25">
      <c r="A2289" t="s">
        <v>2382</v>
      </c>
      <c r="B2289" s="1">
        <v>45001</v>
      </c>
      <c r="C2289" t="s">
        <v>42</v>
      </c>
      <c r="D2289" t="s">
        <v>43</v>
      </c>
      <c r="E2289">
        <v>3</v>
      </c>
      <c r="F2289" s="2">
        <v>349.99</v>
      </c>
      <c r="G2289">
        <v>0</v>
      </c>
      <c r="H2289" s="2">
        <v>349.99</v>
      </c>
      <c r="I2289" s="2">
        <v>1049.97</v>
      </c>
      <c r="J2289" t="s">
        <v>19</v>
      </c>
      <c r="K2289" t="s">
        <v>20</v>
      </c>
      <c r="L2289" t="s">
        <v>28</v>
      </c>
      <c r="M2289" t="s">
        <v>39</v>
      </c>
      <c r="N2289" t="s">
        <v>40</v>
      </c>
      <c r="O2289" t="s">
        <v>35</v>
      </c>
      <c r="P2289">
        <v>2</v>
      </c>
      <c r="Q2289" s="2">
        <f>Ventas[[#This Row],[precio_base]]*Ventas[[#This Row],[cantidad]]</f>
        <v>1049.97</v>
      </c>
      <c r="R2289" s="2">
        <f>Ventas[[#This Row],[Total bruto (antes de descuento)]]-Ventas[[#This Row],[total_venta]]</f>
        <v>0</v>
      </c>
    </row>
    <row r="2290" spans="1:18" x14ac:dyDescent="0.25">
      <c r="A2290" t="s">
        <v>2383</v>
      </c>
      <c r="B2290" s="1">
        <v>45523</v>
      </c>
      <c r="C2290" t="s">
        <v>151</v>
      </c>
      <c r="D2290" t="s">
        <v>27</v>
      </c>
      <c r="E2290">
        <v>4</v>
      </c>
      <c r="F2290" s="2">
        <v>599.99</v>
      </c>
      <c r="G2290">
        <v>15</v>
      </c>
      <c r="H2290" s="2">
        <v>509.99</v>
      </c>
      <c r="I2290" s="2">
        <v>2039.96</v>
      </c>
      <c r="J2290" t="s">
        <v>19</v>
      </c>
      <c r="K2290" t="s">
        <v>20</v>
      </c>
      <c r="L2290" t="s">
        <v>28</v>
      </c>
      <c r="M2290" t="s">
        <v>84</v>
      </c>
      <c r="N2290" t="s">
        <v>85</v>
      </c>
      <c r="O2290" t="s">
        <v>35</v>
      </c>
      <c r="P2290">
        <v>3</v>
      </c>
      <c r="Q2290" s="2">
        <f>Ventas[[#This Row],[precio_base]]*Ventas[[#This Row],[cantidad]]</f>
        <v>2399.96</v>
      </c>
      <c r="R2290" s="2">
        <f>Ventas[[#This Row],[Total bruto (antes de descuento)]]-Ventas[[#This Row],[total_venta]]</f>
        <v>360</v>
      </c>
    </row>
    <row r="2291" spans="1:18" x14ac:dyDescent="0.25">
      <c r="A2291" t="s">
        <v>2384</v>
      </c>
      <c r="B2291" s="1">
        <v>44944</v>
      </c>
      <c r="C2291" t="s">
        <v>130</v>
      </c>
      <c r="D2291" t="s">
        <v>43</v>
      </c>
      <c r="E2291">
        <v>4</v>
      </c>
      <c r="F2291" s="2">
        <v>24.99</v>
      </c>
      <c r="G2291">
        <v>5</v>
      </c>
      <c r="H2291" s="2">
        <v>23.74</v>
      </c>
      <c r="I2291" s="2">
        <v>94.96</v>
      </c>
      <c r="J2291" t="s">
        <v>19</v>
      </c>
      <c r="K2291" t="s">
        <v>20</v>
      </c>
      <c r="L2291" t="s">
        <v>21</v>
      </c>
      <c r="M2291" t="s">
        <v>58</v>
      </c>
      <c r="N2291" t="s">
        <v>59</v>
      </c>
      <c r="O2291" t="s">
        <v>24</v>
      </c>
      <c r="P2291">
        <v>4</v>
      </c>
      <c r="Q2291" s="2">
        <f>Ventas[[#This Row],[precio_base]]*Ventas[[#This Row],[cantidad]]</f>
        <v>99.96</v>
      </c>
      <c r="R2291" s="2">
        <f>Ventas[[#This Row],[Total bruto (antes de descuento)]]-Ventas[[#This Row],[total_venta]]</f>
        <v>5</v>
      </c>
    </row>
    <row r="2292" spans="1:18" x14ac:dyDescent="0.25">
      <c r="A2292" t="s">
        <v>2385</v>
      </c>
      <c r="B2292" s="1">
        <v>45070</v>
      </c>
      <c r="C2292" t="s">
        <v>76</v>
      </c>
      <c r="D2292" t="s">
        <v>31</v>
      </c>
      <c r="E2292">
        <v>4</v>
      </c>
      <c r="F2292" s="2">
        <v>69.989999999999995</v>
      </c>
      <c r="G2292">
        <v>20</v>
      </c>
      <c r="H2292" s="2">
        <v>55.99</v>
      </c>
      <c r="I2292" s="2">
        <v>223.96</v>
      </c>
      <c r="J2292" t="s">
        <v>62</v>
      </c>
      <c r="K2292" t="s">
        <v>20</v>
      </c>
      <c r="L2292" t="s">
        <v>21</v>
      </c>
      <c r="M2292" t="s">
        <v>73</v>
      </c>
      <c r="N2292" t="s">
        <v>74</v>
      </c>
      <c r="O2292" t="s">
        <v>35</v>
      </c>
      <c r="Q2292" s="2">
        <f>Ventas[[#This Row],[precio_base]]*Ventas[[#This Row],[cantidad]]</f>
        <v>279.95999999999998</v>
      </c>
      <c r="R2292" s="2">
        <f>Ventas[[#This Row],[Total bruto (antes de descuento)]]-Ventas[[#This Row],[total_venta]]</f>
        <v>55.999999999999972</v>
      </c>
    </row>
    <row r="2293" spans="1:18" x14ac:dyDescent="0.25">
      <c r="A2293" t="s">
        <v>2386</v>
      </c>
      <c r="B2293" s="1">
        <v>44946</v>
      </c>
      <c r="C2293" t="s">
        <v>50</v>
      </c>
      <c r="D2293" t="s">
        <v>27</v>
      </c>
      <c r="E2293">
        <v>1</v>
      </c>
      <c r="F2293" s="2">
        <v>149.99</v>
      </c>
      <c r="G2293">
        <v>15</v>
      </c>
      <c r="H2293" s="2">
        <v>127.49</v>
      </c>
      <c r="I2293" s="2">
        <v>127.49</v>
      </c>
      <c r="J2293" t="s">
        <v>62</v>
      </c>
      <c r="K2293" t="s">
        <v>44</v>
      </c>
      <c r="L2293" t="s">
        <v>45</v>
      </c>
      <c r="M2293" t="s">
        <v>84</v>
      </c>
      <c r="N2293" t="s">
        <v>85</v>
      </c>
      <c r="O2293" t="s">
        <v>35</v>
      </c>
      <c r="Q2293" s="2">
        <f>Ventas[[#This Row],[precio_base]]*Ventas[[#This Row],[cantidad]]</f>
        <v>149.99</v>
      </c>
      <c r="R2293" s="2">
        <f>Ventas[[#This Row],[Total bruto (antes de descuento)]]-Ventas[[#This Row],[total_venta]]</f>
        <v>22.500000000000014</v>
      </c>
    </row>
    <row r="2294" spans="1:18" x14ac:dyDescent="0.25">
      <c r="A2294" t="s">
        <v>2387</v>
      </c>
      <c r="B2294" s="1">
        <v>45320</v>
      </c>
      <c r="C2294" t="s">
        <v>122</v>
      </c>
      <c r="D2294" t="s">
        <v>43</v>
      </c>
      <c r="E2294">
        <v>1</v>
      </c>
      <c r="F2294" s="2">
        <v>44.99</v>
      </c>
      <c r="G2294">
        <v>0</v>
      </c>
      <c r="H2294" s="2">
        <v>44.99</v>
      </c>
      <c r="I2294" s="2">
        <v>44.99</v>
      </c>
      <c r="J2294" t="s">
        <v>19</v>
      </c>
      <c r="K2294" t="s">
        <v>44</v>
      </c>
      <c r="L2294" t="s">
        <v>28</v>
      </c>
      <c r="M2294" t="s">
        <v>53</v>
      </c>
      <c r="N2294" t="s">
        <v>54</v>
      </c>
      <c r="O2294" t="s">
        <v>35</v>
      </c>
      <c r="P2294">
        <v>3</v>
      </c>
      <c r="Q2294" s="2">
        <f>Ventas[[#This Row],[precio_base]]*Ventas[[#This Row],[cantidad]]</f>
        <v>44.99</v>
      </c>
      <c r="R2294" s="2">
        <f>Ventas[[#This Row],[Total bruto (antes de descuento)]]-Ventas[[#This Row],[total_venta]]</f>
        <v>0</v>
      </c>
    </row>
    <row r="2295" spans="1:18" x14ac:dyDescent="0.25">
      <c r="A2295" t="s">
        <v>2388</v>
      </c>
      <c r="B2295" s="1">
        <v>44950</v>
      </c>
      <c r="C2295" t="s">
        <v>109</v>
      </c>
      <c r="D2295" t="s">
        <v>38</v>
      </c>
      <c r="E2295">
        <v>5</v>
      </c>
      <c r="F2295" s="2">
        <v>39.99</v>
      </c>
      <c r="G2295">
        <v>15</v>
      </c>
      <c r="H2295" s="2">
        <v>33.99</v>
      </c>
      <c r="I2295" s="2">
        <v>169.95</v>
      </c>
      <c r="J2295" t="s">
        <v>19</v>
      </c>
      <c r="K2295" t="s">
        <v>57</v>
      </c>
      <c r="L2295" t="s">
        <v>21</v>
      </c>
      <c r="M2295" t="s">
        <v>95</v>
      </c>
      <c r="N2295" t="s">
        <v>96</v>
      </c>
      <c r="O2295" t="s">
        <v>48</v>
      </c>
      <c r="P2295">
        <v>4</v>
      </c>
      <c r="Q2295" s="2">
        <f>Ventas[[#This Row],[precio_base]]*Ventas[[#This Row],[cantidad]]</f>
        <v>199.95000000000002</v>
      </c>
      <c r="R2295" s="2">
        <f>Ventas[[#This Row],[Total bruto (antes de descuento)]]-Ventas[[#This Row],[total_venta]]</f>
        <v>30.000000000000028</v>
      </c>
    </row>
    <row r="2296" spans="1:18" x14ac:dyDescent="0.25">
      <c r="A2296" t="s">
        <v>2389</v>
      </c>
      <c r="B2296" s="1">
        <v>45164</v>
      </c>
      <c r="C2296" t="s">
        <v>56</v>
      </c>
      <c r="D2296" t="s">
        <v>18</v>
      </c>
      <c r="E2296">
        <v>2</v>
      </c>
      <c r="F2296" s="2">
        <v>89.99</v>
      </c>
      <c r="G2296">
        <v>0</v>
      </c>
      <c r="H2296" s="2">
        <v>89.99</v>
      </c>
      <c r="I2296" s="2">
        <v>179.98</v>
      </c>
      <c r="J2296" t="s">
        <v>19</v>
      </c>
      <c r="K2296" t="s">
        <v>20</v>
      </c>
      <c r="L2296" t="s">
        <v>21</v>
      </c>
      <c r="M2296" t="s">
        <v>53</v>
      </c>
      <c r="N2296" t="s">
        <v>54</v>
      </c>
      <c r="O2296" t="s">
        <v>35</v>
      </c>
      <c r="P2296">
        <v>4</v>
      </c>
      <c r="Q2296" s="2">
        <f>Ventas[[#This Row],[precio_base]]*Ventas[[#This Row],[cantidad]]</f>
        <v>179.98</v>
      </c>
      <c r="R2296" s="2">
        <f>Ventas[[#This Row],[Total bruto (antes de descuento)]]-Ventas[[#This Row],[total_venta]]</f>
        <v>0</v>
      </c>
    </row>
    <row r="2297" spans="1:18" x14ac:dyDescent="0.25">
      <c r="A2297" t="s">
        <v>2390</v>
      </c>
      <c r="B2297" s="1">
        <v>45038</v>
      </c>
      <c r="C2297" t="s">
        <v>151</v>
      </c>
      <c r="D2297" t="s">
        <v>27</v>
      </c>
      <c r="E2297">
        <v>5</v>
      </c>
      <c r="F2297" s="2">
        <v>599.99</v>
      </c>
      <c r="G2297">
        <v>0</v>
      </c>
      <c r="H2297" s="2">
        <v>599.99</v>
      </c>
      <c r="I2297" s="2">
        <v>2999.95</v>
      </c>
      <c r="J2297" t="s">
        <v>19</v>
      </c>
      <c r="K2297" t="s">
        <v>52</v>
      </c>
      <c r="L2297" t="s">
        <v>32</v>
      </c>
      <c r="M2297" t="s">
        <v>22</v>
      </c>
      <c r="N2297" t="s">
        <v>23</v>
      </c>
      <c r="O2297" t="s">
        <v>24</v>
      </c>
      <c r="P2297">
        <v>2</v>
      </c>
      <c r="Q2297" s="2">
        <f>Ventas[[#This Row],[precio_base]]*Ventas[[#This Row],[cantidad]]</f>
        <v>2999.95</v>
      </c>
      <c r="R2297" s="2">
        <f>Ventas[[#This Row],[Total bruto (antes de descuento)]]-Ventas[[#This Row],[total_venta]]</f>
        <v>0</v>
      </c>
    </row>
    <row r="2298" spans="1:18" x14ac:dyDescent="0.25">
      <c r="A2298" t="s">
        <v>2391</v>
      </c>
      <c r="B2298" s="1">
        <v>45621</v>
      </c>
      <c r="C2298" t="s">
        <v>17</v>
      </c>
      <c r="D2298" t="s">
        <v>18</v>
      </c>
      <c r="E2298">
        <v>1</v>
      </c>
      <c r="F2298" s="2">
        <v>45.99</v>
      </c>
      <c r="G2298">
        <v>10</v>
      </c>
      <c r="H2298" s="2">
        <v>41.39</v>
      </c>
      <c r="I2298" s="2">
        <v>41.39</v>
      </c>
      <c r="J2298" t="s">
        <v>19</v>
      </c>
      <c r="K2298" t="s">
        <v>20</v>
      </c>
      <c r="L2298" t="s">
        <v>28</v>
      </c>
      <c r="M2298" t="s">
        <v>120</v>
      </c>
      <c r="N2298" t="s">
        <v>23</v>
      </c>
      <c r="O2298" t="s">
        <v>24</v>
      </c>
      <c r="P2298">
        <v>2</v>
      </c>
      <c r="Q2298" s="2">
        <f>Ventas[[#This Row],[precio_base]]*Ventas[[#This Row],[cantidad]]</f>
        <v>45.99</v>
      </c>
      <c r="R2298" s="2">
        <f>Ventas[[#This Row],[Total bruto (antes de descuento)]]-Ventas[[#This Row],[total_venta]]</f>
        <v>4.6000000000000014</v>
      </c>
    </row>
    <row r="2299" spans="1:18" x14ac:dyDescent="0.25">
      <c r="A2299" t="s">
        <v>2392</v>
      </c>
      <c r="B2299" s="1">
        <v>45452</v>
      </c>
      <c r="C2299" t="s">
        <v>81</v>
      </c>
      <c r="D2299" t="s">
        <v>31</v>
      </c>
      <c r="E2299">
        <v>3</v>
      </c>
      <c r="F2299" s="2">
        <v>189.99</v>
      </c>
      <c r="G2299">
        <v>0</v>
      </c>
      <c r="H2299" s="2">
        <v>189.99</v>
      </c>
      <c r="I2299" s="2">
        <v>569.97</v>
      </c>
      <c r="J2299" t="s">
        <v>19</v>
      </c>
      <c r="K2299" t="s">
        <v>44</v>
      </c>
      <c r="L2299" t="s">
        <v>21</v>
      </c>
      <c r="M2299" t="s">
        <v>65</v>
      </c>
      <c r="N2299" t="s">
        <v>54</v>
      </c>
      <c r="O2299" t="s">
        <v>35</v>
      </c>
      <c r="P2299">
        <v>1</v>
      </c>
      <c r="Q2299" s="2">
        <f>Ventas[[#This Row],[precio_base]]*Ventas[[#This Row],[cantidad]]</f>
        <v>569.97</v>
      </c>
      <c r="R2299" s="2">
        <f>Ventas[[#This Row],[Total bruto (antes de descuento)]]-Ventas[[#This Row],[total_venta]]</f>
        <v>0</v>
      </c>
    </row>
    <row r="2300" spans="1:18" x14ac:dyDescent="0.25">
      <c r="A2300" t="s">
        <v>2393</v>
      </c>
      <c r="B2300" s="1">
        <v>45121</v>
      </c>
      <c r="C2300" t="s">
        <v>115</v>
      </c>
      <c r="D2300" t="s">
        <v>18</v>
      </c>
      <c r="E2300">
        <v>4</v>
      </c>
      <c r="F2300" s="2">
        <v>799.99</v>
      </c>
      <c r="G2300">
        <v>0</v>
      </c>
      <c r="H2300" s="2">
        <v>799.99</v>
      </c>
      <c r="I2300" s="2">
        <v>3199.96</v>
      </c>
      <c r="J2300" t="s">
        <v>62</v>
      </c>
      <c r="K2300" t="s">
        <v>20</v>
      </c>
      <c r="L2300" t="s">
        <v>21</v>
      </c>
      <c r="M2300" t="s">
        <v>65</v>
      </c>
      <c r="N2300" t="s">
        <v>54</v>
      </c>
      <c r="O2300" t="s">
        <v>35</v>
      </c>
      <c r="Q2300" s="2">
        <f>Ventas[[#This Row],[precio_base]]*Ventas[[#This Row],[cantidad]]</f>
        <v>3199.96</v>
      </c>
      <c r="R2300" s="2">
        <f>Ventas[[#This Row],[Total bruto (antes de descuento)]]-Ventas[[#This Row],[total_venta]]</f>
        <v>0</v>
      </c>
    </row>
    <row r="2301" spans="1:18" x14ac:dyDescent="0.25">
      <c r="A2301" t="s">
        <v>2394</v>
      </c>
      <c r="B2301" s="1">
        <v>44977</v>
      </c>
      <c r="C2301" t="s">
        <v>76</v>
      </c>
      <c r="D2301" t="s">
        <v>31</v>
      </c>
      <c r="E2301">
        <v>2</v>
      </c>
      <c r="F2301" s="2">
        <v>69.989999999999995</v>
      </c>
      <c r="G2301">
        <v>20</v>
      </c>
      <c r="H2301" s="2">
        <v>55.99</v>
      </c>
      <c r="I2301" s="2">
        <v>111.98</v>
      </c>
      <c r="J2301" t="s">
        <v>19</v>
      </c>
      <c r="K2301" t="s">
        <v>20</v>
      </c>
      <c r="L2301" t="s">
        <v>45</v>
      </c>
      <c r="M2301" t="s">
        <v>46</v>
      </c>
      <c r="N2301" t="s">
        <v>47</v>
      </c>
      <c r="O2301" t="s">
        <v>48</v>
      </c>
      <c r="P2301">
        <v>5</v>
      </c>
      <c r="Q2301" s="2">
        <f>Ventas[[#This Row],[precio_base]]*Ventas[[#This Row],[cantidad]]</f>
        <v>139.97999999999999</v>
      </c>
      <c r="R2301" s="2">
        <f>Ventas[[#This Row],[Total bruto (antes de descuento)]]-Ventas[[#This Row],[total_venta]]</f>
        <v>27.999999999999986</v>
      </c>
    </row>
    <row r="2302" spans="1:18" x14ac:dyDescent="0.25">
      <c r="A2302" t="s">
        <v>2395</v>
      </c>
      <c r="B2302" s="1">
        <v>44971</v>
      </c>
      <c r="C2302" t="s">
        <v>143</v>
      </c>
      <c r="D2302" t="s">
        <v>43</v>
      </c>
      <c r="E2302">
        <v>1</v>
      </c>
      <c r="F2302" s="2">
        <v>34.99</v>
      </c>
      <c r="G2302">
        <v>5</v>
      </c>
      <c r="H2302" s="2">
        <v>33.24</v>
      </c>
      <c r="I2302" s="2">
        <v>33.24</v>
      </c>
      <c r="J2302" t="s">
        <v>19</v>
      </c>
      <c r="K2302" t="s">
        <v>20</v>
      </c>
      <c r="L2302" t="s">
        <v>21</v>
      </c>
      <c r="M2302" t="s">
        <v>46</v>
      </c>
      <c r="N2302" t="s">
        <v>47</v>
      </c>
      <c r="O2302" t="s">
        <v>48</v>
      </c>
      <c r="P2302">
        <v>3</v>
      </c>
      <c r="Q2302" s="2">
        <f>Ventas[[#This Row],[precio_base]]*Ventas[[#This Row],[cantidad]]</f>
        <v>34.99</v>
      </c>
      <c r="R2302" s="2">
        <f>Ventas[[#This Row],[Total bruto (antes de descuento)]]-Ventas[[#This Row],[total_venta]]</f>
        <v>1.75</v>
      </c>
    </row>
    <row r="2303" spans="1:18" x14ac:dyDescent="0.25">
      <c r="A2303" t="s">
        <v>2396</v>
      </c>
      <c r="B2303" s="1">
        <v>45031</v>
      </c>
      <c r="C2303" t="s">
        <v>109</v>
      </c>
      <c r="D2303" t="s">
        <v>38</v>
      </c>
      <c r="E2303">
        <v>4</v>
      </c>
      <c r="F2303" s="2">
        <v>39.99</v>
      </c>
      <c r="G2303">
        <v>10</v>
      </c>
      <c r="H2303" s="2">
        <v>35.99</v>
      </c>
      <c r="I2303" s="2">
        <v>143.96</v>
      </c>
      <c r="J2303" t="s">
        <v>19</v>
      </c>
      <c r="K2303" t="s">
        <v>52</v>
      </c>
      <c r="L2303" t="s">
        <v>28</v>
      </c>
      <c r="M2303" t="s">
        <v>63</v>
      </c>
      <c r="N2303" t="s">
        <v>34</v>
      </c>
      <c r="O2303" t="s">
        <v>24</v>
      </c>
      <c r="P2303">
        <v>4</v>
      </c>
      <c r="Q2303" s="2">
        <f>Ventas[[#This Row],[precio_base]]*Ventas[[#This Row],[cantidad]]</f>
        <v>159.96</v>
      </c>
      <c r="R2303" s="2">
        <f>Ventas[[#This Row],[Total bruto (antes de descuento)]]-Ventas[[#This Row],[total_venta]]</f>
        <v>16</v>
      </c>
    </row>
    <row r="2304" spans="1:18" x14ac:dyDescent="0.25">
      <c r="A2304" t="s">
        <v>2397</v>
      </c>
      <c r="B2304" s="1">
        <v>45610</v>
      </c>
      <c r="C2304" t="s">
        <v>87</v>
      </c>
      <c r="D2304" t="s">
        <v>27</v>
      </c>
      <c r="E2304">
        <v>2</v>
      </c>
      <c r="F2304" s="2">
        <v>249.99</v>
      </c>
      <c r="G2304">
        <v>0</v>
      </c>
      <c r="H2304" s="2">
        <v>249.99</v>
      </c>
      <c r="I2304" s="2">
        <v>499.98</v>
      </c>
      <c r="J2304" t="s">
        <v>19</v>
      </c>
      <c r="K2304" t="s">
        <v>20</v>
      </c>
      <c r="L2304" t="s">
        <v>21</v>
      </c>
      <c r="M2304" t="s">
        <v>67</v>
      </c>
      <c r="N2304" t="s">
        <v>68</v>
      </c>
      <c r="O2304" t="s">
        <v>35</v>
      </c>
      <c r="P2304">
        <v>4</v>
      </c>
      <c r="Q2304" s="2">
        <f>Ventas[[#This Row],[precio_base]]*Ventas[[#This Row],[cantidad]]</f>
        <v>499.98</v>
      </c>
      <c r="R2304" s="2">
        <f>Ventas[[#This Row],[Total bruto (antes de descuento)]]-Ventas[[#This Row],[total_venta]]</f>
        <v>0</v>
      </c>
    </row>
    <row r="2305" spans="1:18" x14ac:dyDescent="0.25">
      <c r="A2305" t="s">
        <v>2398</v>
      </c>
      <c r="B2305" s="1">
        <v>45530</v>
      </c>
      <c r="C2305" t="s">
        <v>50</v>
      </c>
      <c r="D2305" t="s">
        <v>27</v>
      </c>
      <c r="E2305">
        <v>2</v>
      </c>
      <c r="F2305" s="2">
        <v>149.99</v>
      </c>
      <c r="G2305">
        <v>0</v>
      </c>
      <c r="H2305" s="2">
        <v>149.99</v>
      </c>
      <c r="I2305" s="2">
        <v>299.98</v>
      </c>
      <c r="J2305" t="s">
        <v>51</v>
      </c>
      <c r="K2305" t="s">
        <v>44</v>
      </c>
      <c r="L2305" t="s">
        <v>152</v>
      </c>
      <c r="M2305" t="s">
        <v>58</v>
      </c>
      <c r="N2305" t="s">
        <v>59</v>
      </c>
      <c r="O2305" t="s">
        <v>24</v>
      </c>
      <c r="Q2305" s="2">
        <f>Ventas[[#This Row],[precio_base]]*Ventas[[#This Row],[cantidad]]</f>
        <v>299.98</v>
      </c>
      <c r="R2305" s="2">
        <f>Ventas[[#This Row],[Total bruto (antes de descuento)]]-Ventas[[#This Row],[total_venta]]</f>
        <v>0</v>
      </c>
    </row>
    <row r="2306" spans="1:18" x14ac:dyDescent="0.25">
      <c r="A2306" t="s">
        <v>2399</v>
      </c>
      <c r="B2306" s="1">
        <v>45102</v>
      </c>
      <c r="C2306" t="s">
        <v>26</v>
      </c>
      <c r="D2306" t="s">
        <v>27</v>
      </c>
      <c r="E2306">
        <v>5</v>
      </c>
      <c r="F2306" s="2">
        <v>399.99</v>
      </c>
      <c r="G2306">
        <v>0</v>
      </c>
      <c r="H2306" s="2">
        <v>399.99</v>
      </c>
      <c r="I2306" s="2">
        <v>1999.95</v>
      </c>
      <c r="J2306" t="s">
        <v>51</v>
      </c>
      <c r="K2306" t="s">
        <v>52</v>
      </c>
      <c r="L2306" t="s">
        <v>28</v>
      </c>
      <c r="M2306" t="s">
        <v>101</v>
      </c>
      <c r="N2306" t="s">
        <v>102</v>
      </c>
      <c r="O2306" t="s">
        <v>35</v>
      </c>
      <c r="Q2306" s="2">
        <f>Ventas[[#This Row],[precio_base]]*Ventas[[#This Row],[cantidad]]</f>
        <v>1999.95</v>
      </c>
      <c r="R2306" s="2">
        <f>Ventas[[#This Row],[Total bruto (antes de descuento)]]-Ventas[[#This Row],[total_venta]]</f>
        <v>0</v>
      </c>
    </row>
    <row r="2307" spans="1:18" x14ac:dyDescent="0.25">
      <c r="A2307" t="s">
        <v>2400</v>
      </c>
      <c r="B2307" s="1">
        <v>45375</v>
      </c>
      <c r="C2307" t="s">
        <v>163</v>
      </c>
      <c r="D2307" t="s">
        <v>18</v>
      </c>
      <c r="E2307">
        <v>4</v>
      </c>
      <c r="F2307" s="2">
        <v>499.99</v>
      </c>
      <c r="G2307">
        <v>20</v>
      </c>
      <c r="H2307" s="2">
        <v>399.99</v>
      </c>
      <c r="I2307" s="2">
        <v>1599.96</v>
      </c>
      <c r="J2307" t="s">
        <v>62</v>
      </c>
      <c r="K2307" t="s">
        <v>52</v>
      </c>
      <c r="L2307" t="s">
        <v>21</v>
      </c>
      <c r="M2307" t="s">
        <v>67</v>
      </c>
      <c r="N2307" t="s">
        <v>68</v>
      </c>
      <c r="O2307" t="s">
        <v>35</v>
      </c>
      <c r="Q2307" s="2">
        <f>Ventas[[#This Row],[precio_base]]*Ventas[[#This Row],[cantidad]]</f>
        <v>1999.96</v>
      </c>
      <c r="R2307" s="2">
        <f>Ventas[[#This Row],[Total bruto (antes de descuento)]]-Ventas[[#This Row],[total_venta]]</f>
        <v>400</v>
      </c>
    </row>
    <row r="2308" spans="1:18" x14ac:dyDescent="0.25">
      <c r="A2308" t="s">
        <v>2401</v>
      </c>
      <c r="B2308" s="1">
        <v>45044</v>
      </c>
      <c r="C2308" t="s">
        <v>42</v>
      </c>
      <c r="D2308" t="s">
        <v>43</v>
      </c>
      <c r="E2308">
        <v>5</v>
      </c>
      <c r="F2308" s="2">
        <v>349.99</v>
      </c>
      <c r="G2308">
        <v>0</v>
      </c>
      <c r="H2308" s="2">
        <v>349.99</v>
      </c>
      <c r="I2308" s="2">
        <v>1749.95</v>
      </c>
      <c r="J2308" t="s">
        <v>19</v>
      </c>
      <c r="K2308" t="s">
        <v>20</v>
      </c>
      <c r="L2308" t="s">
        <v>21</v>
      </c>
      <c r="M2308" t="s">
        <v>123</v>
      </c>
      <c r="N2308" t="s">
        <v>124</v>
      </c>
      <c r="O2308" t="s">
        <v>24</v>
      </c>
      <c r="P2308">
        <v>5</v>
      </c>
      <c r="Q2308" s="2">
        <f>Ventas[[#This Row],[precio_base]]*Ventas[[#This Row],[cantidad]]</f>
        <v>1749.95</v>
      </c>
      <c r="R2308" s="2">
        <f>Ventas[[#This Row],[Total bruto (antes de descuento)]]-Ventas[[#This Row],[total_venta]]</f>
        <v>0</v>
      </c>
    </row>
    <row r="2309" spans="1:18" x14ac:dyDescent="0.25">
      <c r="A2309" t="s">
        <v>2402</v>
      </c>
      <c r="B2309" s="1">
        <v>45387</v>
      </c>
      <c r="C2309" t="s">
        <v>76</v>
      </c>
      <c r="D2309" t="s">
        <v>31</v>
      </c>
      <c r="E2309">
        <v>1</v>
      </c>
      <c r="F2309" s="2">
        <v>69.989999999999995</v>
      </c>
      <c r="G2309">
        <v>5</v>
      </c>
      <c r="H2309" s="2">
        <v>66.489999999999995</v>
      </c>
      <c r="I2309" s="2">
        <v>66.489999999999995</v>
      </c>
      <c r="J2309" t="s">
        <v>51</v>
      </c>
      <c r="K2309" t="s">
        <v>44</v>
      </c>
      <c r="L2309" t="s">
        <v>28</v>
      </c>
      <c r="M2309" t="s">
        <v>33</v>
      </c>
      <c r="N2309" t="s">
        <v>34</v>
      </c>
      <c r="O2309" t="s">
        <v>35</v>
      </c>
      <c r="Q2309" s="2">
        <f>Ventas[[#This Row],[precio_base]]*Ventas[[#This Row],[cantidad]]</f>
        <v>69.989999999999995</v>
      </c>
      <c r="R2309" s="2">
        <f>Ventas[[#This Row],[Total bruto (antes de descuento)]]-Ventas[[#This Row],[total_venta]]</f>
        <v>3.5</v>
      </c>
    </row>
    <row r="2310" spans="1:18" x14ac:dyDescent="0.25">
      <c r="A2310" t="s">
        <v>2403</v>
      </c>
      <c r="B2310" s="1">
        <v>45339</v>
      </c>
      <c r="C2310" t="s">
        <v>81</v>
      </c>
      <c r="D2310" t="s">
        <v>31</v>
      </c>
      <c r="E2310">
        <v>1</v>
      </c>
      <c r="F2310" s="2">
        <v>189.99</v>
      </c>
      <c r="G2310">
        <v>5</v>
      </c>
      <c r="H2310" s="2">
        <v>180.49</v>
      </c>
      <c r="I2310" s="2">
        <v>180.49</v>
      </c>
      <c r="J2310" t="s">
        <v>19</v>
      </c>
      <c r="K2310" t="s">
        <v>20</v>
      </c>
      <c r="L2310" t="s">
        <v>152</v>
      </c>
      <c r="M2310" t="s">
        <v>46</v>
      </c>
      <c r="N2310" t="s">
        <v>47</v>
      </c>
      <c r="O2310" t="s">
        <v>48</v>
      </c>
      <c r="P2310">
        <v>2</v>
      </c>
      <c r="Q2310" s="2">
        <f>Ventas[[#This Row],[precio_base]]*Ventas[[#This Row],[cantidad]]</f>
        <v>189.99</v>
      </c>
      <c r="R2310" s="2">
        <f>Ventas[[#This Row],[Total bruto (antes de descuento)]]-Ventas[[#This Row],[total_venta]]</f>
        <v>9.5</v>
      </c>
    </row>
    <row r="2311" spans="1:18" x14ac:dyDescent="0.25">
      <c r="A2311" t="s">
        <v>2404</v>
      </c>
      <c r="B2311" s="1">
        <v>45341</v>
      </c>
      <c r="C2311" t="s">
        <v>87</v>
      </c>
      <c r="D2311" t="s">
        <v>27</v>
      </c>
      <c r="E2311">
        <v>2</v>
      </c>
      <c r="F2311" s="2">
        <v>249.99</v>
      </c>
      <c r="G2311">
        <v>20</v>
      </c>
      <c r="H2311" s="2">
        <v>199.99</v>
      </c>
      <c r="I2311" s="2">
        <v>399.98</v>
      </c>
      <c r="J2311" t="s">
        <v>51</v>
      </c>
      <c r="K2311" t="s">
        <v>52</v>
      </c>
      <c r="L2311" t="s">
        <v>45</v>
      </c>
      <c r="M2311" t="s">
        <v>123</v>
      </c>
      <c r="N2311" t="s">
        <v>124</v>
      </c>
      <c r="O2311" t="s">
        <v>24</v>
      </c>
      <c r="Q2311" s="2">
        <f>Ventas[[#This Row],[precio_base]]*Ventas[[#This Row],[cantidad]]</f>
        <v>499.98</v>
      </c>
      <c r="R2311" s="2">
        <f>Ventas[[#This Row],[Total bruto (antes de descuento)]]-Ventas[[#This Row],[total_venta]]</f>
        <v>100</v>
      </c>
    </row>
    <row r="2312" spans="1:18" x14ac:dyDescent="0.25">
      <c r="A2312" t="s">
        <v>2405</v>
      </c>
      <c r="B2312" s="1">
        <v>45074</v>
      </c>
      <c r="C2312" t="s">
        <v>56</v>
      </c>
      <c r="D2312" t="s">
        <v>18</v>
      </c>
      <c r="E2312">
        <v>2</v>
      </c>
      <c r="F2312" s="2">
        <v>89.99</v>
      </c>
      <c r="G2312">
        <v>0</v>
      </c>
      <c r="H2312" s="2">
        <v>89.99</v>
      </c>
      <c r="I2312" s="2">
        <v>179.98</v>
      </c>
      <c r="J2312" t="s">
        <v>19</v>
      </c>
      <c r="K2312" t="s">
        <v>20</v>
      </c>
      <c r="L2312" t="s">
        <v>21</v>
      </c>
      <c r="M2312" t="s">
        <v>123</v>
      </c>
      <c r="N2312" t="s">
        <v>124</v>
      </c>
      <c r="O2312" t="s">
        <v>24</v>
      </c>
      <c r="P2312">
        <v>4</v>
      </c>
      <c r="Q2312" s="2">
        <f>Ventas[[#This Row],[precio_base]]*Ventas[[#This Row],[cantidad]]</f>
        <v>179.98</v>
      </c>
      <c r="R2312" s="2">
        <f>Ventas[[#This Row],[Total bruto (antes de descuento)]]-Ventas[[#This Row],[total_venta]]</f>
        <v>0</v>
      </c>
    </row>
    <row r="2313" spans="1:18" x14ac:dyDescent="0.25">
      <c r="A2313" t="s">
        <v>2406</v>
      </c>
      <c r="B2313" s="1">
        <v>45622</v>
      </c>
      <c r="C2313" t="s">
        <v>42</v>
      </c>
      <c r="D2313" t="s">
        <v>43</v>
      </c>
      <c r="E2313">
        <v>3</v>
      </c>
      <c r="F2313" s="2">
        <v>349.99</v>
      </c>
      <c r="G2313">
        <v>0</v>
      </c>
      <c r="H2313" s="2">
        <v>349.99</v>
      </c>
      <c r="I2313" s="2">
        <v>1049.97</v>
      </c>
      <c r="J2313" t="s">
        <v>51</v>
      </c>
      <c r="K2313" t="s">
        <v>57</v>
      </c>
      <c r="L2313" t="s">
        <v>152</v>
      </c>
      <c r="M2313" t="s">
        <v>65</v>
      </c>
      <c r="N2313" t="s">
        <v>54</v>
      </c>
      <c r="O2313" t="s">
        <v>35</v>
      </c>
      <c r="Q2313" s="2">
        <f>Ventas[[#This Row],[precio_base]]*Ventas[[#This Row],[cantidad]]</f>
        <v>1049.97</v>
      </c>
      <c r="R2313" s="2">
        <f>Ventas[[#This Row],[Total bruto (antes de descuento)]]-Ventas[[#This Row],[total_venta]]</f>
        <v>0</v>
      </c>
    </row>
    <row r="2314" spans="1:18" x14ac:dyDescent="0.25">
      <c r="A2314" t="s">
        <v>2407</v>
      </c>
      <c r="B2314" s="1">
        <v>45630</v>
      </c>
      <c r="C2314" t="s">
        <v>61</v>
      </c>
      <c r="D2314" t="s">
        <v>38</v>
      </c>
      <c r="E2314">
        <v>4</v>
      </c>
      <c r="F2314" s="2">
        <v>19.989999999999998</v>
      </c>
      <c r="G2314">
        <v>10</v>
      </c>
      <c r="H2314" s="2">
        <v>17.989999999999998</v>
      </c>
      <c r="I2314" s="2">
        <v>71.959999999999994</v>
      </c>
      <c r="J2314" t="s">
        <v>19</v>
      </c>
      <c r="K2314" t="s">
        <v>44</v>
      </c>
      <c r="L2314" t="s">
        <v>28</v>
      </c>
      <c r="M2314" t="s">
        <v>95</v>
      </c>
      <c r="N2314" t="s">
        <v>96</v>
      </c>
      <c r="O2314" t="s">
        <v>48</v>
      </c>
      <c r="P2314">
        <v>2</v>
      </c>
      <c r="Q2314" s="2">
        <f>Ventas[[#This Row],[precio_base]]*Ventas[[#This Row],[cantidad]]</f>
        <v>79.959999999999994</v>
      </c>
      <c r="R2314" s="2">
        <f>Ventas[[#This Row],[Total bruto (antes de descuento)]]-Ventas[[#This Row],[total_venta]]</f>
        <v>8</v>
      </c>
    </row>
    <row r="2315" spans="1:18" x14ac:dyDescent="0.25">
      <c r="A2315" t="s">
        <v>2408</v>
      </c>
      <c r="B2315" s="1">
        <v>45001</v>
      </c>
      <c r="C2315" t="s">
        <v>26</v>
      </c>
      <c r="D2315" t="s">
        <v>27</v>
      </c>
      <c r="E2315">
        <v>2</v>
      </c>
      <c r="F2315" s="2">
        <v>399.99</v>
      </c>
      <c r="G2315">
        <v>0</v>
      </c>
      <c r="H2315" s="2">
        <v>399.99</v>
      </c>
      <c r="I2315" s="2">
        <v>799.98</v>
      </c>
      <c r="J2315" t="s">
        <v>19</v>
      </c>
      <c r="K2315" t="s">
        <v>52</v>
      </c>
      <c r="L2315" t="s">
        <v>152</v>
      </c>
      <c r="M2315" t="s">
        <v>101</v>
      </c>
      <c r="N2315" t="s">
        <v>102</v>
      </c>
      <c r="O2315" t="s">
        <v>35</v>
      </c>
      <c r="P2315">
        <v>5</v>
      </c>
      <c r="Q2315" s="2">
        <f>Ventas[[#This Row],[precio_base]]*Ventas[[#This Row],[cantidad]]</f>
        <v>799.98</v>
      </c>
      <c r="R2315" s="2">
        <f>Ventas[[#This Row],[Total bruto (antes de descuento)]]-Ventas[[#This Row],[total_venta]]</f>
        <v>0</v>
      </c>
    </row>
    <row r="2316" spans="1:18" x14ac:dyDescent="0.25">
      <c r="A2316" t="s">
        <v>2409</v>
      </c>
      <c r="B2316" s="1">
        <v>45531</v>
      </c>
      <c r="C2316" t="s">
        <v>50</v>
      </c>
      <c r="D2316" t="s">
        <v>27</v>
      </c>
      <c r="E2316">
        <v>3</v>
      </c>
      <c r="F2316" s="2">
        <v>149.99</v>
      </c>
      <c r="G2316">
        <v>0</v>
      </c>
      <c r="H2316" s="2">
        <v>149.99</v>
      </c>
      <c r="I2316" s="2">
        <v>449.97</v>
      </c>
      <c r="J2316" t="s">
        <v>19</v>
      </c>
      <c r="K2316" t="s">
        <v>44</v>
      </c>
      <c r="L2316" t="s">
        <v>28</v>
      </c>
      <c r="M2316" t="s">
        <v>33</v>
      </c>
      <c r="N2316" t="s">
        <v>34</v>
      </c>
      <c r="O2316" t="s">
        <v>35</v>
      </c>
      <c r="P2316">
        <v>1</v>
      </c>
      <c r="Q2316" s="2">
        <f>Ventas[[#This Row],[precio_base]]*Ventas[[#This Row],[cantidad]]</f>
        <v>449.97</v>
      </c>
      <c r="R2316" s="2">
        <f>Ventas[[#This Row],[Total bruto (antes de descuento)]]-Ventas[[#This Row],[total_venta]]</f>
        <v>0</v>
      </c>
    </row>
    <row r="2317" spans="1:18" x14ac:dyDescent="0.25">
      <c r="A2317" t="s">
        <v>2410</v>
      </c>
      <c r="B2317" s="1">
        <v>45089</v>
      </c>
      <c r="C2317" t="s">
        <v>78</v>
      </c>
      <c r="D2317" t="s">
        <v>18</v>
      </c>
      <c r="E2317">
        <v>1</v>
      </c>
      <c r="F2317" s="2">
        <v>349.99</v>
      </c>
      <c r="G2317">
        <v>20</v>
      </c>
      <c r="H2317" s="2">
        <v>279.99</v>
      </c>
      <c r="I2317" s="2">
        <v>279.99</v>
      </c>
      <c r="J2317" t="s">
        <v>19</v>
      </c>
      <c r="K2317" t="s">
        <v>57</v>
      </c>
      <c r="L2317" t="s">
        <v>28</v>
      </c>
      <c r="M2317" t="s">
        <v>46</v>
      </c>
      <c r="N2317" t="s">
        <v>47</v>
      </c>
      <c r="O2317" t="s">
        <v>48</v>
      </c>
      <c r="P2317">
        <v>2</v>
      </c>
      <c r="Q2317" s="2">
        <f>Ventas[[#This Row],[precio_base]]*Ventas[[#This Row],[cantidad]]</f>
        <v>349.99</v>
      </c>
      <c r="R2317" s="2">
        <f>Ventas[[#This Row],[Total bruto (antes de descuento)]]-Ventas[[#This Row],[total_venta]]</f>
        <v>70</v>
      </c>
    </row>
    <row r="2318" spans="1:18" x14ac:dyDescent="0.25">
      <c r="A2318" t="s">
        <v>2411</v>
      </c>
      <c r="B2318" s="1">
        <v>45605</v>
      </c>
      <c r="C2318" t="s">
        <v>143</v>
      </c>
      <c r="D2318" t="s">
        <v>43</v>
      </c>
      <c r="E2318">
        <v>5</v>
      </c>
      <c r="F2318" s="2">
        <v>34.99</v>
      </c>
      <c r="G2318">
        <v>5</v>
      </c>
      <c r="H2318" s="2">
        <v>33.24</v>
      </c>
      <c r="I2318" s="2">
        <v>166.2</v>
      </c>
      <c r="J2318" t="s">
        <v>116</v>
      </c>
      <c r="K2318" t="s">
        <v>44</v>
      </c>
      <c r="L2318" t="s">
        <v>21</v>
      </c>
      <c r="M2318" t="s">
        <v>33</v>
      </c>
      <c r="N2318" t="s">
        <v>34</v>
      </c>
      <c r="O2318" t="s">
        <v>35</v>
      </c>
      <c r="Q2318" s="2">
        <f>Ventas[[#This Row],[precio_base]]*Ventas[[#This Row],[cantidad]]</f>
        <v>174.95000000000002</v>
      </c>
      <c r="R2318" s="2">
        <f>Ventas[[#This Row],[Total bruto (antes de descuento)]]-Ventas[[#This Row],[total_venta]]</f>
        <v>8.7500000000000284</v>
      </c>
    </row>
    <row r="2319" spans="1:18" x14ac:dyDescent="0.25">
      <c r="A2319" t="s">
        <v>2412</v>
      </c>
      <c r="B2319" s="1">
        <v>45225</v>
      </c>
      <c r="C2319" t="s">
        <v>72</v>
      </c>
      <c r="D2319" t="s">
        <v>31</v>
      </c>
      <c r="E2319">
        <v>2</v>
      </c>
      <c r="F2319" s="2">
        <v>29.99</v>
      </c>
      <c r="G2319">
        <v>0</v>
      </c>
      <c r="H2319" s="2">
        <v>29.99</v>
      </c>
      <c r="I2319" s="2">
        <v>59.98</v>
      </c>
      <c r="J2319" t="s">
        <v>62</v>
      </c>
      <c r="K2319" t="s">
        <v>52</v>
      </c>
      <c r="L2319" t="s">
        <v>28</v>
      </c>
      <c r="M2319" t="s">
        <v>123</v>
      </c>
      <c r="N2319" t="s">
        <v>124</v>
      </c>
      <c r="O2319" t="s">
        <v>24</v>
      </c>
      <c r="Q2319" s="2">
        <f>Ventas[[#This Row],[precio_base]]*Ventas[[#This Row],[cantidad]]</f>
        <v>59.98</v>
      </c>
      <c r="R2319" s="2">
        <f>Ventas[[#This Row],[Total bruto (antes de descuento)]]-Ventas[[#This Row],[total_venta]]</f>
        <v>0</v>
      </c>
    </row>
    <row r="2320" spans="1:18" x14ac:dyDescent="0.25">
      <c r="A2320" t="s">
        <v>2413</v>
      </c>
      <c r="B2320" s="1">
        <v>45493</v>
      </c>
      <c r="C2320" t="s">
        <v>72</v>
      </c>
      <c r="D2320" t="s">
        <v>31</v>
      </c>
      <c r="E2320">
        <v>1</v>
      </c>
      <c r="F2320" s="2">
        <v>29.99</v>
      </c>
      <c r="G2320">
        <v>15</v>
      </c>
      <c r="H2320" s="2">
        <v>25.49</v>
      </c>
      <c r="I2320" s="2">
        <v>25.49</v>
      </c>
      <c r="J2320" t="s">
        <v>19</v>
      </c>
      <c r="K2320" t="s">
        <v>44</v>
      </c>
      <c r="L2320" t="s">
        <v>45</v>
      </c>
      <c r="M2320" t="s">
        <v>123</v>
      </c>
      <c r="N2320" t="s">
        <v>124</v>
      </c>
      <c r="O2320" t="s">
        <v>24</v>
      </c>
      <c r="P2320">
        <v>4</v>
      </c>
      <c r="Q2320" s="2">
        <f>Ventas[[#This Row],[precio_base]]*Ventas[[#This Row],[cantidad]]</f>
        <v>29.99</v>
      </c>
      <c r="R2320" s="2">
        <f>Ventas[[#This Row],[Total bruto (antes de descuento)]]-Ventas[[#This Row],[total_venta]]</f>
        <v>4.5</v>
      </c>
    </row>
    <row r="2321" spans="1:18" x14ac:dyDescent="0.25">
      <c r="A2321" t="s">
        <v>2414</v>
      </c>
      <c r="B2321" s="1">
        <v>44963</v>
      </c>
      <c r="C2321" t="s">
        <v>30</v>
      </c>
      <c r="D2321" t="s">
        <v>31</v>
      </c>
      <c r="E2321">
        <v>4</v>
      </c>
      <c r="F2321" s="2">
        <v>299.99</v>
      </c>
      <c r="G2321">
        <v>0</v>
      </c>
      <c r="H2321" s="2">
        <v>299.99</v>
      </c>
      <c r="I2321" s="2">
        <v>1199.96</v>
      </c>
      <c r="J2321" t="s">
        <v>19</v>
      </c>
      <c r="K2321" t="s">
        <v>20</v>
      </c>
      <c r="L2321" t="s">
        <v>45</v>
      </c>
      <c r="M2321" t="s">
        <v>63</v>
      </c>
      <c r="N2321" t="s">
        <v>34</v>
      </c>
      <c r="O2321" t="s">
        <v>24</v>
      </c>
      <c r="P2321">
        <v>4</v>
      </c>
      <c r="Q2321" s="2">
        <f>Ventas[[#This Row],[precio_base]]*Ventas[[#This Row],[cantidad]]</f>
        <v>1199.96</v>
      </c>
      <c r="R2321" s="2">
        <f>Ventas[[#This Row],[Total bruto (antes de descuento)]]-Ventas[[#This Row],[total_venta]]</f>
        <v>0</v>
      </c>
    </row>
    <row r="2322" spans="1:18" x14ac:dyDescent="0.25">
      <c r="A2322" t="s">
        <v>2415</v>
      </c>
      <c r="B2322" s="1">
        <v>45326</v>
      </c>
      <c r="C2322" t="s">
        <v>92</v>
      </c>
      <c r="D2322" t="s">
        <v>27</v>
      </c>
      <c r="E2322">
        <v>2</v>
      </c>
      <c r="F2322" s="2">
        <v>79.989999999999995</v>
      </c>
      <c r="G2322">
        <v>10</v>
      </c>
      <c r="H2322" s="2">
        <v>71.989999999999995</v>
      </c>
      <c r="I2322" s="2">
        <v>143.97999999999999</v>
      </c>
      <c r="J2322" t="s">
        <v>51</v>
      </c>
      <c r="K2322" t="s">
        <v>20</v>
      </c>
      <c r="L2322" t="s">
        <v>152</v>
      </c>
      <c r="M2322" t="s">
        <v>73</v>
      </c>
      <c r="N2322" t="s">
        <v>74</v>
      </c>
      <c r="O2322" t="s">
        <v>35</v>
      </c>
      <c r="Q2322" s="2">
        <f>Ventas[[#This Row],[precio_base]]*Ventas[[#This Row],[cantidad]]</f>
        <v>159.97999999999999</v>
      </c>
      <c r="R2322" s="2">
        <f>Ventas[[#This Row],[Total bruto (antes de descuento)]]-Ventas[[#This Row],[total_venta]]</f>
        <v>16</v>
      </c>
    </row>
    <row r="2323" spans="1:18" x14ac:dyDescent="0.25">
      <c r="A2323" t="s">
        <v>2416</v>
      </c>
      <c r="B2323" s="1">
        <v>45389</v>
      </c>
      <c r="C2323" t="s">
        <v>61</v>
      </c>
      <c r="D2323" t="s">
        <v>38</v>
      </c>
      <c r="E2323">
        <v>4</v>
      </c>
      <c r="F2323" s="2">
        <v>19.989999999999998</v>
      </c>
      <c r="G2323">
        <v>20</v>
      </c>
      <c r="H2323" s="2">
        <v>15.99</v>
      </c>
      <c r="I2323" s="2">
        <v>63.96</v>
      </c>
      <c r="J2323" t="s">
        <v>19</v>
      </c>
      <c r="K2323" t="s">
        <v>20</v>
      </c>
      <c r="L2323" t="s">
        <v>28</v>
      </c>
      <c r="M2323" t="s">
        <v>33</v>
      </c>
      <c r="N2323" t="s">
        <v>34</v>
      </c>
      <c r="O2323" t="s">
        <v>35</v>
      </c>
      <c r="P2323">
        <v>4</v>
      </c>
      <c r="Q2323" s="2">
        <f>Ventas[[#This Row],[precio_base]]*Ventas[[#This Row],[cantidad]]</f>
        <v>79.959999999999994</v>
      </c>
      <c r="R2323" s="2">
        <f>Ventas[[#This Row],[Total bruto (antes de descuento)]]-Ventas[[#This Row],[total_venta]]</f>
        <v>15.999999999999993</v>
      </c>
    </row>
    <row r="2324" spans="1:18" x14ac:dyDescent="0.25">
      <c r="A2324" t="s">
        <v>2417</v>
      </c>
      <c r="B2324" s="1">
        <v>45433</v>
      </c>
      <c r="C2324" t="s">
        <v>156</v>
      </c>
      <c r="D2324" t="s">
        <v>27</v>
      </c>
      <c r="E2324">
        <v>5</v>
      </c>
      <c r="F2324" s="2">
        <v>49.99</v>
      </c>
      <c r="G2324">
        <v>5</v>
      </c>
      <c r="H2324" s="2">
        <v>47.49</v>
      </c>
      <c r="I2324" s="2">
        <v>237.45</v>
      </c>
      <c r="J2324" t="s">
        <v>19</v>
      </c>
      <c r="K2324" t="s">
        <v>52</v>
      </c>
      <c r="L2324" t="s">
        <v>45</v>
      </c>
      <c r="M2324" t="s">
        <v>63</v>
      </c>
      <c r="N2324" t="s">
        <v>34</v>
      </c>
      <c r="O2324" t="s">
        <v>24</v>
      </c>
      <c r="P2324">
        <v>4</v>
      </c>
      <c r="Q2324" s="2">
        <f>Ventas[[#This Row],[precio_base]]*Ventas[[#This Row],[cantidad]]</f>
        <v>249.95000000000002</v>
      </c>
      <c r="R2324" s="2">
        <f>Ventas[[#This Row],[Total bruto (antes de descuento)]]-Ventas[[#This Row],[total_venta]]</f>
        <v>12.500000000000028</v>
      </c>
    </row>
    <row r="2325" spans="1:18" x14ac:dyDescent="0.25">
      <c r="A2325" t="s">
        <v>2418</v>
      </c>
      <c r="B2325" s="1">
        <v>45444</v>
      </c>
      <c r="C2325" t="s">
        <v>92</v>
      </c>
      <c r="D2325" t="s">
        <v>27</v>
      </c>
      <c r="E2325">
        <v>2</v>
      </c>
      <c r="F2325" s="2">
        <v>79.989999999999995</v>
      </c>
      <c r="G2325">
        <v>20</v>
      </c>
      <c r="H2325" s="2">
        <v>63.99</v>
      </c>
      <c r="I2325" s="2">
        <v>127.98</v>
      </c>
      <c r="J2325" t="s">
        <v>62</v>
      </c>
      <c r="K2325" t="s">
        <v>44</v>
      </c>
      <c r="L2325" t="s">
        <v>21</v>
      </c>
      <c r="M2325" t="s">
        <v>123</v>
      </c>
      <c r="N2325" t="s">
        <v>124</v>
      </c>
      <c r="O2325" t="s">
        <v>24</v>
      </c>
      <c r="Q2325" s="2">
        <f>Ventas[[#This Row],[precio_base]]*Ventas[[#This Row],[cantidad]]</f>
        <v>159.97999999999999</v>
      </c>
      <c r="R2325" s="2">
        <f>Ventas[[#This Row],[Total bruto (antes de descuento)]]-Ventas[[#This Row],[total_venta]]</f>
        <v>31.999999999999986</v>
      </c>
    </row>
    <row r="2326" spans="1:18" x14ac:dyDescent="0.25">
      <c r="A2326" t="s">
        <v>2419</v>
      </c>
      <c r="B2326" s="1">
        <v>44966</v>
      </c>
      <c r="C2326" t="s">
        <v>70</v>
      </c>
      <c r="D2326" t="s">
        <v>31</v>
      </c>
      <c r="E2326">
        <v>5</v>
      </c>
      <c r="F2326" s="2">
        <v>59.99</v>
      </c>
      <c r="G2326">
        <v>0</v>
      </c>
      <c r="H2326" s="2">
        <v>59.99</v>
      </c>
      <c r="I2326" s="2">
        <v>299.95</v>
      </c>
      <c r="J2326" t="s">
        <v>51</v>
      </c>
      <c r="K2326" t="s">
        <v>20</v>
      </c>
      <c r="L2326" t="s">
        <v>21</v>
      </c>
      <c r="M2326" t="s">
        <v>46</v>
      </c>
      <c r="N2326" t="s">
        <v>47</v>
      </c>
      <c r="O2326" t="s">
        <v>48</v>
      </c>
      <c r="Q2326" s="2">
        <f>Ventas[[#This Row],[precio_base]]*Ventas[[#This Row],[cantidad]]</f>
        <v>299.95</v>
      </c>
      <c r="R2326" s="2">
        <f>Ventas[[#This Row],[Total bruto (antes de descuento)]]-Ventas[[#This Row],[total_venta]]</f>
        <v>0</v>
      </c>
    </row>
    <row r="2327" spans="1:18" x14ac:dyDescent="0.25">
      <c r="A2327" t="s">
        <v>2420</v>
      </c>
      <c r="B2327" s="1">
        <v>45567</v>
      </c>
      <c r="C2327" t="s">
        <v>70</v>
      </c>
      <c r="D2327" t="s">
        <v>31</v>
      </c>
      <c r="E2327">
        <v>2</v>
      </c>
      <c r="F2327" s="2">
        <v>59.99</v>
      </c>
      <c r="G2327">
        <v>0</v>
      </c>
      <c r="H2327" s="2">
        <v>59.99</v>
      </c>
      <c r="I2327" s="2">
        <v>119.98</v>
      </c>
      <c r="J2327" t="s">
        <v>19</v>
      </c>
      <c r="K2327" t="s">
        <v>52</v>
      </c>
      <c r="L2327" t="s">
        <v>28</v>
      </c>
      <c r="M2327" t="s">
        <v>58</v>
      </c>
      <c r="N2327" t="s">
        <v>59</v>
      </c>
      <c r="O2327" t="s">
        <v>24</v>
      </c>
      <c r="P2327">
        <v>3</v>
      </c>
      <c r="Q2327" s="2">
        <f>Ventas[[#This Row],[precio_base]]*Ventas[[#This Row],[cantidad]]</f>
        <v>119.98</v>
      </c>
      <c r="R2327" s="2">
        <f>Ventas[[#This Row],[Total bruto (antes de descuento)]]-Ventas[[#This Row],[total_venta]]</f>
        <v>0</v>
      </c>
    </row>
    <row r="2328" spans="1:18" x14ac:dyDescent="0.25">
      <c r="A2328" t="s">
        <v>2421</v>
      </c>
      <c r="B2328" s="1">
        <v>45326</v>
      </c>
      <c r="C2328" t="s">
        <v>109</v>
      </c>
      <c r="D2328" t="s">
        <v>38</v>
      </c>
      <c r="E2328">
        <v>5</v>
      </c>
      <c r="F2328" s="2">
        <v>39.99</v>
      </c>
      <c r="G2328">
        <v>0</v>
      </c>
      <c r="H2328" s="2">
        <v>39.99</v>
      </c>
      <c r="I2328" s="2">
        <v>199.95</v>
      </c>
      <c r="J2328" t="s">
        <v>51</v>
      </c>
      <c r="K2328" t="s">
        <v>20</v>
      </c>
      <c r="L2328" t="s">
        <v>28</v>
      </c>
      <c r="M2328" t="s">
        <v>33</v>
      </c>
      <c r="N2328" t="s">
        <v>34</v>
      </c>
      <c r="O2328" t="s">
        <v>35</v>
      </c>
      <c r="Q2328" s="2">
        <f>Ventas[[#This Row],[precio_base]]*Ventas[[#This Row],[cantidad]]</f>
        <v>199.95000000000002</v>
      </c>
      <c r="R2328" s="2">
        <f>Ventas[[#This Row],[Total bruto (antes de descuento)]]-Ventas[[#This Row],[total_venta]]</f>
        <v>0</v>
      </c>
    </row>
    <row r="2329" spans="1:18" x14ac:dyDescent="0.25">
      <c r="A2329" t="s">
        <v>2422</v>
      </c>
      <c r="B2329" s="1">
        <v>45098</v>
      </c>
      <c r="C2329" t="s">
        <v>61</v>
      </c>
      <c r="D2329" t="s">
        <v>38</v>
      </c>
      <c r="E2329">
        <v>5</v>
      </c>
      <c r="F2329" s="2">
        <v>19.989999999999998</v>
      </c>
      <c r="G2329">
        <v>0</v>
      </c>
      <c r="H2329" s="2">
        <v>19.989999999999998</v>
      </c>
      <c r="I2329" s="2">
        <v>99.95</v>
      </c>
      <c r="J2329" t="s">
        <v>51</v>
      </c>
      <c r="K2329" t="s">
        <v>52</v>
      </c>
      <c r="L2329" t="s">
        <v>21</v>
      </c>
      <c r="M2329" t="s">
        <v>123</v>
      </c>
      <c r="N2329" t="s">
        <v>124</v>
      </c>
      <c r="O2329" t="s">
        <v>24</v>
      </c>
      <c r="Q2329" s="2">
        <f>Ventas[[#This Row],[precio_base]]*Ventas[[#This Row],[cantidad]]</f>
        <v>99.949999999999989</v>
      </c>
      <c r="R2329" s="2">
        <f>Ventas[[#This Row],[Total bruto (antes de descuento)]]-Ventas[[#This Row],[total_venta]]</f>
        <v>0</v>
      </c>
    </row>
    <row r="2330" spans="1:18" x14ac:dyDescent="0.25">
      <c r="A2330" t="s">
        <v>2423</v>
      </c>
      <c r="B2330" s="1">
        <v>45113</v>
      </c>
      <c r="C2330" t="s">
        <v>122</v>
      </c>
      <c r="D2330" t="s">
        <v>43</v>
      </c>
      <c r="E2330">
        <v>5</v>
      </c>
      <c r="F2330" s="2">
        <v>44.99</v>
      </c>
      <c r="G2330">
        <v>5</v>
      </c>
      <c r="H2330" s="2">
        <v>42.74</v>
      </c>
      <c r="I2330" s="2">
        <v>213.7</v>
      </c>
      <c r="J2330" t="s">
        <v>19</v>
      </c>
      <c r="K2330" t="s">
        <v>20</v>
      </c>
      <c r="L2330" t="s">
        <v>45</v>
      </c>
      <c r="M2330" t="s">
        <v>120</v>
      </c>
      <c r="N2330" t="s">
        <v>23</v>
      </c>
      <c r="O2330" t="s">
        <v>24</v>
      </c>
      <c r="P2330">
        <v>5</v>
      </c>
      <c r="Q2330" s="2">
        <f>Ventas[[#This Row],[precio_base]]*Ventas[[#This Row],[cantidad]]</f>
        <v>224.95000000000002</v>
      </c>
      <c r="R2330" s="2">
        <f>Ventas[[#This Row],[Total bruto (antes de descuento)]]-Ventas[[#This Row],[total_venta]]</f>
        <v>11.250000000000028</v>
      </c>
    </row>
    <row r="2331" spans="1:18" x14ac:dyDescent="0.25">
      <c r="A2331" t="s">
        <v>2424</v>
      </c>
      <c r="B2331" s="1">
        <v>45228</v>
      </c>
      <c r="C2331" t="s">
        <v>205</v>
      </c>
      <c r="D2331" t="s">
        <v>18</v>
      </c>
      <c r="E2331">
        <v>2</v>
      </c>
      <c r="F2331" s="2">
        <v>129.99</v>
      </c>
      <c r="G2331">
        <v>15</v>
      </c>
      <c r="H2331" s="2">
        <v>110.49</v>
      </c>
      <c r="I2331" s="2">
        <v>220.98</v>
      </c>
      <c r="J2331" t="s">
        <v>90</v>
      </c>
      <c r="K2331" t="s">
        <v>44</v>
      </c>
      <c r="L2331" t="s">
        <v>45</v>
      </c>
      <c r="M2331" t="s">
        <v>73</v>
      </c>
      <c r="N2331" t="s">
        <v>74</v>
      </c>
      <c r="O2331" t="s">
        <v>35</v>
      </c>
      <c r="Q2331" s="2">
        <f>Ventas[[#This Row],[precio_base]]*Ventas[[#This Row],[cantidad]]</f>
        <v>259.98</v>
      </c>
      <c r="R2331" s="2">
        <f>Ventas[[#This Row],[Total bruto (antes de descuento)]]-Ventas[[#This Row],[total_venta]]</f>
        <v>39.000000000000028</v>
      </c>
    </row>
    <row r="2332" spans="1:18" x14ac:dyDescent="0.25">
      <c r="A2332" t="s">
        <v>2425</v>
      </c>
      <c r="B2332" s="1">
        <v>45202</v>
      </c>
      <c r="C2332" t="s">
        <v>70</v>
      </c>
      <c r="D2332" t="s">
        <v>31</v>
      </c>
      <c r="E2332">
        <v>4</v>
      </c>
      <c r="F2332" s="2">
        <v>59.99</v>
      </c>
      <c r="G2332">
        <v>20</v>
      </c>
      <c r="H2332" s="2">
        <v>47.99</v>
      </c>
      <c r="I2332" s="2">
        <v>191.96</v>
      </c>
      <c r="J2332" t="s">
        <v>62</v>
      </c>
      <c r="K2332" t="s">
        <v>52</v>
      </c>
      <c r="L2332" t="s">
        <v>45</v>
      </c>
      <c r="M2332" t="s">
        <v>67</v>
      </c>
      <c r="N2332" t="s">
        <v>68</v>
      </c>
      <c r="O2332" t="s">
        <v>35</v>
      </c>
      <c r="Q2332" s="2">
        <f>Ventas[[#This Row],[precio_base]]*Ventas[[#This Row],[cantidad]]</f>
        <v>239.96</v>
      </c>
      <c r="R2332" s="2">
        <f>Ventas[[#This Row],[Total bruto (antes de descuento)]]-Ventas[[#This Row],[total_venta]]</f>
        <v>48</v>
      </c>
    </row>
    <row r="2333" spans="1:18" x14ac:dyDescent="0.25">
      <c r="A2333" t="s">
        <v>2426</v>
      </c>
      <c r="B2333" s="1">
        <v>45513</v>
      </c>
      <c r="C2333" t="s">
        <v>122</v>
      </c>
      <c r="D2333" t="s">
        <v>43</v>
      </c>
      <c r="E2333">
        <v>1</v>
      </c>
      <c r="F2333" s="2">
        <v>44.99</v>
      </c>
      <c r="G2333">
        <v>0</v>
      </c>
      <c r="H2333" s="2">
        <v>44.99</v>
      </c>
      <c r="I2333" s="2">
        <v>44.99</v>
      </c>
      <c r="J2333" t="s">
        <v>19</v>
      </c>
      <c r="K2333" t="s">
        <v>20</v>
      </c>
      <c r="L2333" t="s">
        <v>28</v>
      </c>
      <c r="M2333" t="s">
        <v>58</v>
      </c>
      <c r="N2333" t="s">
        <v>59</v>
      </c>
      <c r="O2333" t="s">
        <v>24</v>
      </c>
      <c r="P2333">
        <v>3</v>
      </c>
      <c r="Q2333" s="2">
        <f>Ventas[[#This Row],[precio_base]]*Ventas[[#This Row],[cantidad]]</f>
        <v>44.99</v>
      </c>
      <c r="R2333" s="2">
        <f>Ventas[[#This Row],[Total bruto (antes de descuento)]]-Ventas[[#This Row],[total_venta]]</f>
        <v>0</v>
      </c>
    </row>
    <row r="2334" spans="1:18" x14ac:dyDescent="0.25">
      <c r="A2334" t="s">
        <v>2427</v>
      </c>
      <c r="B2334" s="1">
        <v>45118</v>
      </c>
      <c r="C2334" t="s">
        <v>50</v>
      </c>
      <c r="D2334" t="s">
        <v>27</v>
      </c>
      <c r="E2334">
        <v>3</v>
      </c>
      <c r="F2334" s="2">
        <v>149.99</v>
      </c>
      <c r="G2334">
        <v>15</v>
      </c>
      <c r="H2334" s="2">
        <v>127.49</v>
      </c>
      <c r="I2334" s="2">
        <v>382.47</v>
      </c>
      <c r="J2334" t="s">
        <v>116</v>
      </c>
      <c r="K2334" t="s">
        <v>20</v>
      </c>
      <c r="L2334" t="s">
        <v>152</v>
      </c>
      <c r="M2334" t="s">
        <v>101</v>
      </c>
      <c r="N2334" t="s">
        <v>102</v>
      </c>
      <c r="O2334" t="s">
        <v>35</v>
      </c>
      <c r="Q2334" s="2">
        <f>Ventas[[#This Row],[precio_base]]*Ventas[[#This Row],[cantidad]]</f>
        <v>449.97</v>
      </c>
      <c r="R2334" s="2">
        <f>Ventas[[#This Row],[Total bruto (antes de descuento)]]-Ventas[[#This Row],[total_venta]]</f>
        <v>67.5</v>
      </c>
    </row>
    <row r="2335" spans="1:18" x14ac:dyDescent="0.25">
      <c r="A2335" t="s">
        <v>2428</v>
      </c>
      <c r="B2335" s="1">
        <v>45325</v>
      </c>
      <c r="C2335" t="s">
        <v>205</v>
      </c>
      <c r="D2335" t="s">
        <v>18</v>
      </c>
      <c r="E2335">
        <v>5</v>
      </c>
      <c r="F2335" s="2">
        <v>129.99</v>
      </c>
      <c r="G2335">
        <v>0</v>
      </c>
      <c r="H2335" s="2">
        <v>129.99</v>
      </c>
      <c r="I2335" s="2">
        <v>649.95000000000005</v>
      </c>
      <c r="J2335" t="s">
        <v>19</v>
      </c>
      <c r="K2335" t="s">
        <v>20</v>
      </c>
      <c r="L2335" t="s">
        <v>28</v>
      </c>
      <c r="M2335" t="s">
        <v>33</v>
      </c>
      <c r="N2335" t="s">
        <v>34</v>
      </c>
      <c r="O2335" t="s">
        <v>35</v>
      </c>
      <c r="P2335">
        <v>3</v>
      </c>
      <c r="Q2335" s="2">
        <f>Ventas[[#This Row],[precio_base]]*Ventas[[#This Row],[cantidad]]</f>
        <v>649.95000000000005</v>
      </c>
      <c r="R2335" s="2">
        <f>Ventas[[#This Row],[Total bruto (antes de descuento)]]-Ventas[[#This Row],[total_venta]]</f>
        <v>0</v>
      </c>
    </row>
    <row r="2336" spans="1:18" x14ac:dyDescent="0.25">
      <c r="A2336" t="s">
        <v>2429</v>
      </c>
      <c r="B2336" s="1">
        <v>45469</v>
      </c>
      <c r="C2336" t="s">
        <v>156</v>
      </c>
      <c r="D2336" t="s">
        <v>27</v>
      </c>
      <c r="E2336">
        <v>3</v>
      </c>
      <c r="F2336" s="2">
        <v>49.99</v>
      </c>
      <c r="G2336">
        <v>0</v>
      </c>
      <c r="H2336" s="2">
        <v>49.99</v>
      </c>
      <c r="I2336" s="2">
        <v>149.97</v>
      </c>
      <c r="J2336" t="s">
        <v>19</v>
      </c>
      <c r="K2336" t="s">
        <v>20</v>
      </c>
      <c r="L2336" t="s">
        <v>28</v>
      </c>
      <c r="M2336" t="s">
        <v>65</v>
      </c>
      <c r="N2336" t="s">
        <v>54</v>
      </c>
      <c r="O2336" t="s">
        <v>35</v>
      </c>
      <c r="P2336">
        <v>3</v>
      </c>
      <c r="Q2336" s="2">
        <f>Ventas[[#This Row],[precio_base]]*Ventas[[#This Row],[cantidad]]</f>
        <v>149.97</v>
      </c>
      <c r="R2336" s="2">
        <f>Ventas[[#This Row],[Total bruto (antes de descuento)]]-Ventas[[#This Row],[total_venta]]</f>
        <v>0</v>
      </c>
    </row>
    <row r="2337" spans="1:18" x14ac:dyDescent="0.25">
      <c r="A2337" t="s">
        <v>2430</v>
      </c>
      <c r="B2337" s="1">
        <v>45301</v>
      </c>
      <c r="C2337" t="s">
        <v>104</v>
      </c>
      <c r="D2337" t="s">
        <v>18</v>
      </c>
      <c r="E2337">
        <v>4</v>
      </c>
      <c r="F2337" s="2">
        <v>1199.99</v>
      </c>
      <c r="G2337">
        <v>10</v>
      </c>
      <c r="H2337" s="2">
        <v>1079.99</v>
      </c>
      <c r="I2337" s="2">
        <v>4319.96</v>
      </c>
      <c r="J2337" t="s">
        <v>19</v>
      </c>
      <c r="K2337" t="s">
        <v>52</v>
      </c>
      <c r="L2337" t="s">
        <v>45</v>
      </c>
      <c r="M2337" t="s">
        <v>120</v>
      </c>
      <c r="N2337" t="s">
        <v>23</v>
      </c>
      <c r="O2337" t="s">
        <v>24</v>
      </c>
      <c r="P2337">
        <v>1</v>
      </c>
      <c r="Q2337" s="2">
        <f>Ventas[[#This Row],[precio_base]]*Ventas[[#This Row],[cantidad]]</f>
        <v>4799.96</v>
      </c>
      <c r="R2337" s="2">
        <f>Ventas[[#This Row],[Total bruto (antes de descuento)]]-Ventas[[#This Row],[total_venta]]</f>
        <v>480</v>
      </c>
    </row>
    <row r="2338" spans="1:18" x14ac:dyDescent="0.25">
      <c r="A2338" t="s">
        <v>2431</v>
      </c>
      <c r="B2338" s="1">
        <v>45551</v>
      </c>
      <c r="C2338" t="s">
        <v>141</v>
      </c>
      <c r="D2338" t="s">
        <v>38</v>
      </c>
      <c r="E2338">
        <v>4</v>
      </c>
      <c r="F2338" s="2">
        <v>89.99</v>
      </c>
      <c r="G2338">
        <v>20</v>
      </c>
      <c r="H2338" s="2">
        <v>71.989999999999995</v>
      </c>
      <c r="I2338" s="2">
        <v>287.95999999999998</v>
      </c>
      <c r="J2338" t="s">
        <v>51</v>
      </c>
      <c r="K2338" t="s">
        <v>20</v>
      </c>
      <c r="L2338" t="s">
        <v>21</v>
      </c>
      <c r="M2338" t="s">
        <v>67</v>
      </c>
      <c r="N2338" t="s">
        <v>68</v>
      </c>
      <c r="O2338" t="s">
        <v>35</v>
      </c>
      <c r="Q2338" s="2">
        <f>Ventas[[#This Row],[precio_base]]*Ventas[[#This Row],[cantidad]]</f>
        <v>359.96</v>
      </c>
      <c r="R2338" s="2">
        <f>Ventas[[#This Row],[Total bruto (antes de descuento)]]-Ventas[[#This Row],[total_venta]]</f>
        <v>72</v>
      </c>
    </row>
    <row r="2339" spans="1:18" x14ac:dyDescent="0.25">
      <c r="A2339" t="s">
        <v>2432</v>
      </c>
      <c r="B2339" s="1">
        <v>45240</v>
      </c>
      <c r="C2339" t="s">
        <v>72</v>
      </c>
      <c r="D2339" t="s">
        <v>31</v>
      </c>
      <c r="E2339">
        <v>5</v>
      </c>
      <c r="F2339" s="2">
        <v>29.99</v>
      </c>
      <c r="G2339">
        <v>0</v>
      </c>
      <c r="H2339" s="2">
        <v>29.99</v>
      </c>
      <c r="I2339" s="2">
        <v>149.94999999999999</v>
      </c>
      <c r="J2339" t="s">
        <v>62</v>
      </c>
      <c r="K2339" t="s">
        <v>44</v>
      </c>
      <c r="L2339" t="s">
        <v>45</v>
      </c>
      <c r="M2339" t="s">
        <v>53</v>
      </c>
      <c r="N2339" t="s">
        <v>54</v>
      </c>
      <c r="O2339" t="s">
        <v>35</v>
      </c>
      <c r="Q2339" s="2">
        <f>Ventas[[#This Row],[precio_base]]*Ventas[[#This Row],[cantidad]]</f>
        <v>149.94999999999999</v>
      </c>
      <c r="R2339" s="2">
        <f>Ventas[[#This Row],[Total bruto (antes de descuento)]]-Ventas[[#This Row],[total_venta]]</f>
        <v>0</v>
      </c>
    </row>
    <row r="2340" spans="1:18" x14ac:dyDescent="0.25">
      <c r="A2340" t="s">
        <v>2433</v>
      </c>
      <c r="B2340" s="1">
        <v>45042</v>
      </c>
      <c r="C2340" t="s">
        <v>122</v>
      </c>
      <c r="D2340" t="s">
        <v>43</v>
      </c>
      <c r="E2340">
        <v>4</v>
      </c>
      <c r="F2340" s="2">
        <v>44.99</v>
      </c>
      <c r="G2340">
        <v>10</v>
      </c>
      <c r="H2340" s="2">
        <v>40.49</v>
      </c>
      <c r="I2340" s="2">
        <v>161.96</v>
      </c>
      <c r="J2340" t="s">
        <v>19</v>
      </c>
      <c r="K2340" t="s">
        <v>20</v>
      </c>
      <c r="L2340" t="s">
        <v>32</v>
      </c>
      <c r="M2340" t="s">
        <v>46</v>
      </c>
      <c r="N2340" t="s">
        <v>47</v>
      </c>
      <c r="O2340" t="s">
        <v>48</v>
      </c>
      <c r="P2340">
        <v>3</v>
      </c>
      <c r="Q2340" s="2">
        <f>Ventas[[#This Row],[precio_base]]*Ventas[[#This Row],[cantidad]]</f>
        <v>179.96</v>
      </c>
      <c r="R2340" s="2">
        <f>Ventas[[#This Row],[Total bruto (antes de descuento)]]-Ventas[[#This Row],[total_venta]]</f>
        <v>18</v>
      </c>
    </row>
    <row r="2341" spans="1:18" x14ac:dyDescent="0.25">
      <c r="A2341" t="s">
        <v>2434</v>
      </c>
      <c r="B2341" s="1">
        <v>45522</v>
      </c>
      <c r="C2341" t="s">
        <v>163</v>
      </c>
      <c r="D2341" t="s">
        <v>18</v>
      </c>
      <c r="E2341">
        <v>3</v>
      </c>
      <c r="F2341" s="2">
        <v>499.99</v>
      </c>
      <c r="G2341">
        <v>20</v>
      </c>
      <c r="H2341" s="2">
        <v>399.99</v>
      </c>
      <c r="I2341" s="2">
        <v>1199.97</v>
      </c>
      <c r="J2341" t="s">
        <v>19</v>
      </c>
      <c r="K2341" t="s">
        <v>20</v>
      </c>
      <c r="L2341" t="s">
        <v>45</v>
      </c>
      <c r="M2341" t="s">
        <v>67</v>
      </c>
      <c r="N2341" t="s">
        <v>68</v>
      </c>
      <c r="O2341" t="s">
        <v>35</v>
      </c>
      <c r="P2341">
        <v>1</v>
      </c>
      <c r="Q2341" s="2">
        <f>Ventas[[#This Row],[precio_base]]*Ventas[[#This Row],[cantidad]]</f>
        <v>1499.97</v>
      </c>
      <c r="R2341" s="2">
        <f>Ventas[[#This Row],[Total bruto (antes de descuento)]]-Ventas[[#This Row],[total_venta]]</f>
        <v>300</v>
      </c>
    </row>
    <row r="2342" spans="1:18" x14ac:dyDescent="0.25">
      <c r="A2342" t="s">
        <v>2435</v>
      </c>
      <c r="B2342" s="1">
        <v>45260</v>
      </c>
      <c r="C2342" t="s">
        <v>83</v>
      </c>
      <c r="D2342" t="s">
        <v>38</v>
      </c>
      <c r="E2342">
        <v>4</v>
      </c>
      <c r="F2342" s="2">
        <v>49.99</v>
      </c>
      <c r="G2342">
        <v>0</v>
      </c>
      <c r="H2342" s="2">
        <v>49.99</v>
      </c>
      <c r="I2342" s="2">
        <v>199.96</v>
      </c>
      <c r="J2342" t="s">
        <v>19</v>
      </c>
      <c r="K2342" t="s">
        <v>20</v>
      </c>
      <c r="L2342" t="s">
        <v>21</v>
      </c>
      <c r="M2342" t="s">
        <v>123</v>
      </c>
      <c r="N2342" t="s">
        <v>124</v>
      </c>
      <c r="O2342" t="s">
        <v>24</v>
      </c>
      <c r="P2342">
        <v>2</v>
      </c>
      <c r="Q2342" s="2">
        <f>Ventas[[#This Row],[precio_base]]*Ventas[[#This Row],[cantidad]]</f>
        <v>199.96</v>
      </c>
      <c r="R2342" s="2">
        <f>Ventas[[#This Row],[Total bruto (antes de descuento)]]-Ventas[[#This Row],[total_venta]]</f>
        <v>0</v>
      </c>
    </row>
    <row r="2343" spans="1:18" x14ac:dyDescent="0.25">
      <c r="A2343" t="s">
        <v>2436</v>
      </c>
      <c r="B2343" s="1">
        <v>45301</v>
      </c>
      <c r="C2343" t="s">
        <v>156</v>
      </c>
      <c r="D2343" t="s">
        <v>27</v>
      </c>
      <c r="E2343">
        <v>2</v>
      </c>
      <c r="F2343" s="2">
        <v>49.99</v>
      </c>
      <c r="G2343">
        <v>20</v>
      </c>
      <c r="H2343" s="2">
        <v>39.99</v>
      </c>
      <c r="I2343" s="2">
        <v>79.98</v>
      </c>
      <c r="J2343" t="s">
        <v>19</v>
      </c>
      <c r="K2343" t="s">
        <v>52</v>
      </c>
      <c r="L2343" t="s">
        <v>45</v>
      </c>
      <c r="M2343" t="s">
        <v>84</v>
      </c>
      <c r="N2343" t="s">
        <v>85</v>
      </c>
      <c r="O2343" t="s">
        <v>35</v>
      </c>
      <c r="P2343">
        <v>2</v>
      </c>
      <c r="Q2343" s="2">
        <f>Ventas[[#This Row],[precio_base]]*Ventas[[#This Row],[cantidad]]</f>
        <v>99.98</v>
      </c>
      <c r="R2343" s="2">
        <f>Ventas[[#This Row],[Total bruto (antes de descuento)]]-Ventas[[#This Row],[total_venta]]</f>
        <v>20</v>
      </c>
    </row>
    <row r="2344" spans="1:18" x14ac:dyDescent="0.25">
      <c r="A2344" t="s">
        <v>2437</v>
      </c>
      <c r="B2344" s="1">
        <v>45363</v>
      </c>
      <c r="C2344" t="s">
        <v>151</v>
      </c>
      <c r="D2344" t="s">
        <v>27</v>
      </c>
      <c r="E2344">
        <v>3</v>
      </c>
      <c r="F2344" s="2">
        <v>599.99</v>
      </c>
      <c r="G2344">
        <v>0</v>
      </c>
      <c r="H2344" s="2">
        <v>599.99</v>
      </c>
      <c r="I2344" s="2">
        <v>1799.97</v>
      </c>
      <c r="J2344" t="s">
        <v>19</v>
      </c>
      <c r="K2344" t="s">
        <v>20</v>
      </c>
      <c r="L2344" t="s">
        <v>32</v>
      </c>
      <c r="M2344" t="s">
        <v>33</v>
      </c>
      <c r="N2344" t="s">
        <v>34</v>
      </c>
      <c r="O2344" t="s">
        <v>35</v>
      </c>
      <c r="P2344">
        <v>1</v>
      </c>
      <c r="Q2344" s="2">
        <f>Ventas[[#This Row],[precio_base]]*Ventas[[#This Row],[cantidad]]</f>
        <v>1799.97</v>
      </c>
      <c r="R2344" s="2">
        <f>Ventas[[#This Row],[Total bruto (antes de descuento)]]-Ventas[[#This Row],[total_venta]]</f>
        <v>0</v>
      </c>
    </row>
    <row r="2345" spans="1:18" x14ac:dyDescent="0.25">
      <c r="A2345" t="s">
        <v>2438</v>
      </c>
      <c r="B2345" s="1">
        <v>45217</v>
      </c>
      <c r="C2345" t="s">
        <v>98</v>
      </c>
      <c r="D2345" t="s">
        <v>31</v>
      </c>
      <c r="E2345">
        <v>1</v>
      </c>
      <c r="F2345" s="2">
        <v>99.99</v>
      </c>
      <c r="G2345">
        <v>0</v>
      </c>
      <c r="H2345" s="2">
        <v>99.99</v>
      </c>
      <c r="I2345" s="2">
        <v>99.99</v>
      </c>
      <c r="J2345" t="s">
        <v>51</v>
      </c>
      <c r="K2345" t="s">
        <v>44</v>
      </c>
      <c r="L2345" t="s">
        <v>28</v>
      </c>
      <c r="M2345" t="s">
        <v>63</v>
      </c>
      <c r="N2345" t="s">
        <v>34</v>
      </c>
      <c r="O2345" t="s">
        <v>24</v>
      </c>
      <c r="Q2345" s="2">
        <f>Ventas[[#This Row],[precio_base]]*Ventas[[#This Row],[cantidad]]</f>
        <v>99.99</v>
      </c>
      <c r="R2345" s="2">
        <f>Ventas[[#This Row],[Total bruto (antes de descuento)]]-Ventas[[#This Row],[total_venta]]</f>
        <v>0</v>
      </c>
    </row>
    <row r="2346" spans="1:18" x14ac:dyDescent="0.25">
      <c r="A2346" t="s">
        <v>2439</v>
      </c>
      <c r="B2346" s="1">
        <v>45051</v>
      </c>
      <c r="C2346" t="s">
        <v>30</v>
      </c>
      <c r="D2346" t="s">
        <v>31</v>
      </c>
      <c r="E2346">
        <v>5</v>
      </c>
      <c r="F2346" s="2">
        <v>299.99</v>
      </c>
      <c r="G2346">
        <v>10</v>
      </c>
      <c r="H2346" s="2">
        <v>269.99</v>
      </c>
      <c r="I2346" s="2">
        <v>1349.95</v>
      </c>
      <c r="J2346" t="s">
        <v>19</v>
      </c>
      <c r="K2346" t="s">
        <v>44</v>
      </c>
      <c r="L2346" t="s">
        <v>32</v>
      </c>
      <c r="M2346" t="s">
        <v>46</v>
      </c>
      <c r="N2346" t="s">
        <v>47</v>
      </c>
      <c r="O2346" t="s">
        <v>48</v>
      </c>
      <c r="P2346">
        <v>4</v>
      </c>
      <c r="Q2346" s="2">
        <f>Ventas[[#This Row],[precio_base]]*Ventas[[#This Row],[cantidad]]</f>
        <v>1499.95</v>
      </c>
      <c r="R2346" s="2">
        <f>Ventas[[#This Row],[Total bruto (antes de descuento)]]-Ventas[[#This Row],[total_venta]]</f>
        <v>150</v>
      </c>
    </row>
    <row r="2347" spans="1:18" x14ac:dyDescent="0.25">
      <c r="A2347" t="s">
        <v>2440</v>
      </c>
      <c r="B2347" s="1">
        <v>44933</v>
      </c>
      <c r="C2347" t="s">
        <v>61</v>
      </c>
      <c r="D2347" t="s">
        <v>38</v>
      </c>
      <c r="E2347">
        <v>3</v>
      </c>
      <c r="F2347" s="2">
        <v>19.989999999999998</v>
      </c>
      <c r="G2347">
        <v>0</v>
      </c>
      <c r="H2347" s="2">
        <v>19.989999999999998</v>
      </c>
      <c r="I2347" s="2">
        <v>59.97</v>
      </c>
      <c r="J2347" t="s">
        <v>19</v>
      </c>
      <c r="K2347" t="s">
        <v>44</v>
      </c>
      <c r="L2347" t="s">
        <v>32</v>
      </c>
      <c r="M2347" t="s">
        <v>65</v>
      </c>
      <c r="N2347" t="s">
        <v>54</v>
      </c>
      <c r="O2347" t="s">
        <v>35</v>
      </c>
      <c r="P2347">
        <v>3</v>
      </c>
      <c r="Q2347" s="2">
        <f>Ventas[[#This Row],[precio_base]]*Ventas[[#This Row],[cantidad]]</f>
        <v>59.97</v>
      </c>
      <c r="R2347" s="2">
        <f>Ventas[[#This Row],[Total bruto (antes de descuento)]]-Ventas[[#This Row],[total_venta]]</f>
        <v>0</v>
      </c>
    </row>
    <row r="2348" spans="1:18" x14ac:dyDescent="0.25">
      <c r="A2348" t="s">
        <v>2441</v>
      </c>
      <c r="B2348" s="1">
        <v>45338</v>
      </c>
      <c r="C2348" t="s">
        <v>205</v>
      </c>
      <c r="D2348" t="s">
        <v>18</v>
      </c>
      <c r="E2348">
        <v>2</v>
      </c>
      <c r="F2348" s="2">
        <v>129.99</v>
      </c>
      <c r="G2348">
        <v>0</v>
      </c>
      <c r="H2348" s="2">
        <v>129.99</v>
      </c>
      <c r="I2348" s="2">
        <v>259.98</v>
      </c>
      <c r="J2348" t="s">
        <v>19</v>
      </c>
      <c r="K2348" t="s">
        <v>52</v>
      </c>
      <c r="L2348" t="s">
        <v>45</v>
      </c>
      <c r="M2348" t="s">
        <v>53</v>
      </c>
      <c r="N2348" t="s">
        <v>54</v>
      </c>
      <c r="O2348" t="s">
        <v>35</v>
      </c>
      <c r="P2348">
        <v>1</v>
      </c>
      <c r="Q2348" s="2">
        <f>Ventas[[#This Row],[precio_base]]*Ventas[[#This Row],[cantidad]]</f>
        <v>259.98</v>
      </c>
      <c r="R2348" s="2">
        <f>Ventas[[#This Row],[Total bruto (antes de descuento)]]-Ventas[[#This Row],[total_venta]]</f>
        <v>0</v>
      </c>
    </row>
    <row r="2349" spans="1:18" x14ac:dyDescent="0.25">
      <c r="A2349" t="s">
        <v>2442</v>
      </c>
      <c r="B2349" s="1">
        <v>45259</v>
      </c>
      <c r="C2349" t="s">
        <v>42</v>
      </c>
      <c r="D2349" t="s">
        <v>43</v>
      </c>
      <c r="E2349">
        <v>5</v>
      </c>
      <c r="F2349" s="2">
        <v>349.99</v>
      </c>
      <c r="G2349">
        <v>10</v>
      </c>
      <c r="H2349" s="2">
        <v>314.99</v>
      </c>
      <c r="I2349" s="2">
        <v>1574.95</v>
      </c>
      <c r="J2349" t="s">
        <v>19</v>
      </c>
      <c r="K2349" t="s">
        <v>20</v>
      </c>
      <c r="L2349" t="s">
        <v>45</v>
      </c>
      <c r="M2349" t="s">
        <v>39</v>
      </c>
      <c r="N2349" t="s">
        <v>40</v>
      </c>
      <c r="O2349" t="s">
        <v>35</v>
      </c>
      <c r="P2349">
        <v>3</v>
      </c>
      <c r="Q2349" s="2">
        <f>Ventas[[#This Row],[precio_base]]*Ventas[[#This Row],[cantidad]]</f>
        <v>1749.95</v>
      </c>
      <c r="R2349" s="2">
        <f>Ventas[[#This Row],[Total bruto (antes de descuento)]]-Ventas[[#This Row],[total_venta]]</f>
        <v>175</v>
      </c>
    </row>
    <row r="2350" spans="1:18" x14ac:dyDescent="0.25">
      <c r="A2350" t="s">
        <v>2443</v>
      </c>
      <c r="B2350" s="1">
        <v>45098</v>
      </c>
      <c r="C2350" t="s">
        <v>78</v>
      </c>
      <c r="D2350" t="s">
        <v>18</v>
      </c>
      <c r="E2350">
        <v>4</v>
      </c>
      <c r="F2350" s="2">
        <v>349.99</v>
      </c>
      <c r="G2350">
        <v>15</v>
      </c>
      <c r="H2350" s="2">
        <v>297.49</v>
      </c>
      <c r="I2350" s="2">
        <v>1189.96</v>
      </c>
      <c r="J2350" t="s">
        <v>19</v>
      </c>
      <c r="K2350" t="s">
        <v>57</v>
      </c>
      <c r="L2350" t="s">
        <v>32</v>
      </c>
      <c r="M2350" t="s">
        <v>123</v>
      </c>
      <c r="N2350" t="s">
        <v>124</v>
      </c>
      <c r="O2350" t="s">
        <v>24</v>
      </c>
      <c r="P2350">
        <v>3</v>
      </c>
      <c r="Q2350" s="2">
        <f>Ventas[[#This Row],[precio_base]]*Ventas[[#This Row],[cantidad]]</f>
        <v>1399.96</v>
      </c>
      <c r="R2350" s="2">
        <f>Ventas[[#This Row],[Total bruto (antes de descuento)]]-Ventas[[#This Row],[total_venta]]</f>
        <v>210</v>
      </c>
    </row>
    <row r="2351" spans="1:18" x14ac:dyDescent="0.25">
      <c r="A2351" t="s">
        <v>2444</v>
      </c>
      <c r="B2351" s="1">
        <v>45481</v>
      </c>
      <c r="C2351" t="s">
        <v>72</v>
      </c>
      <c r="D2351" t="s">
        <v>31</v>
      </c>
      <c r="E2351">
        <v>3</v>
      </c>
      <c r="F2351" s="2">
        <v>29.99</v>
      </c>
      <c r="G2351">
        <v>15</v>
      </c>
      <c r="H2351" s="2">
        <v>25.49</v>
      </c>
      <c r="I2351" s="2">
        <v>76.47</v>
      </c>
      <c r="J2351" t="s">
        <v>19</v>
      </c>
      <c r="K2351" t="s">
        <v>52</v>
      </c>
      <c r="L2351" t="s">
        <v>21</v>
      </c>
      <c r="M2351" t="s">
        <v>123</v>
      </c>
      <c r="N2351" t="s">
        <v>124</v>
      </c>
      <c r="O2351" t="s">
        <v>24</v>
      </c>
      <c r="P2351">
        <v>5</v>
      </c>
      <c r="Q2351" s="2">
        <f>Ventas[[#This Row],[precio_base]]*Ventas[[#This Row],[cantidad]]</f>
        <v>89.97</v>
      </c>
      <c r="R2351" s="2">
        <f>Ventas[[#This Row],[Total bruto (antes de descuento)]]-Ventas[[#This Row],[total_venta]]</f>
        <v>13.5</v>
      </c>
    </row>
    <row r="2352" spans="1:18" x14ac:dyDescent="0.25">
      <c r="A2352" t="s">
        <v>2445</v>
      </c>
      <c r="B2352" s="1">
        <v>45221</v>
      </c>
      <c r="C2352" t="s">
        <v>205</v>
      </c>
      <c r="D2352" t="s">
        <v>18</v>
      </c>
      <c r="E2352">
        <v>5</v>
      </c>
      <c r="F2352" s="2">
        <v>129.99</v>
      </c>
      <c r="G2352">
        <v>0</v>
      </c>
      <c r="H2352" s="2">
        <v>129.99</v>
      </c>
      <c r="I2352" s="2">
        <v>649.95000000000005</v>
      </c>
      <c r="J2352" t="s">
        <v>19</v>
      </c>
      <c r="K2352" t="s">
        <v>52</v>
      </c>
      <c r="L2352" t="s">
        <v>152</v>
      </c>
      <c r="M2352" t="s">
        <v>33</v>
      </c>
      <c r="N2352" t="s">
        <v>34</v>
      </c>
      <c r="O2352" t="s">
        <v>35</v>
      </c>
      <c r="P2352">
        <v>4</v>
      </c>
      <c r="Q2352" s="2">
        <f>Ventas[[#This Row],[precio_base]]*Ventas[[#This Row],[cantidad]]</f>
        <v>649.95000000000005</v>
      </c>
      <c r="R2352" s="2">
        <f>Ventas[[#This Row],[Total bruto (antes de descuento)]]-Ventas[[#This Row],[total_venta]]</f>
        <v>0</v>
      </c>
    </row>
    <row r="2353" spans="1:18" x14ac:dyDescent="0.25">
      <c r="A2353" t="s">
        <v>2446</v>
      </c>
      <c r="B2353" s="1">
        <v>45267</v>
      </c>
      <c r="C2353" t="s">
        <v>104</v>
      </c>
      <c r="D2353" t="s">
        <v>18</v>
      </c>
      <c r="E2353">
        <v>2</v>
      </c>
      <c r="F2353" s="2">
        <v>1199.99</v>
      </c>
      <c r="G2353">
        <v>20</v>
      </c>
      <c r="H2353" s="2">
        <v>959.99</v>
      </c>
      <c r="I2353" s="2">
        <v>1919.98</v>
      </c>
      <c r="J2353" t="s">
        <v>19</v>
      </c>
      <c r="K2353" t="s">
        <v>20</v>
      </c>
      <c r="L2353" t="s">
        <v>32</v>
      </c>
      <c r="M2353" t="s">
        <v>46</v>
      </c>
      <c r="N2353" t="s">
        <v>47</v>
      </c>
      <c r="O2353" t="s">
        <v>48</v>
      </c>
      <c r="P2353">
        <v>3</v>
      </c>
      <c r="Q2353" s="2">
        <f>Ventas[[#This Row],[precio_base]]*Ventas[[#This Row],[cantidad]]</f>
        <v>2399.98</v>
      </c>
      <c r="R2353" s="2">
        <f>Ventas[[#This Row],[Total bruto (antes de descuento)]]-Ventas[[#This Row],[total_venta]]</f>
        <v>480</v>
      </c>
    </row>
    <row r="2354" spans="1:18" x14ac:dyDescent="0.25">
      <c r="A2354" t="s">
        <v>2447</v>
      </c>
      <c r="B2354" s="1">
        <v>45581</v>
      </c>
      <c r="C2354" t="s">
        <v>163</v>
      </c>
      <c r="D2354" t="s">
        <v>18</v>
      </c>
      <c r="E2354">
        <v>5</v>
      </c>
      <c r="F2354" s="2">
        <v>499.99</v>
      </c>
      <c r="G2354">
        <v>15</v>
      </c>
      <c r="H2354" s="2">
        <v>424.99</v>
      </c>
      <c r="I2354" s="2">
        <v>2124.9499999999998</v>
      </c>
      <c r="J2354" t="s">
        <v>62</v>
      </c>
      <c r="K2354" t="s">
        <v>57</v>
      </c>
      <c r="L2354" t="s">
        <v>21</v>
      </c>
      <c r="M2354" t="s">
        <v>95</v>
      </c>
      <c r="N2354" t="s">
        <v>96</v>
      </c>
      <c r="O2354" t="s">
        <v>48</v>
      </c>
      <c r="Q2354" s="2">
        <f>Ventas[[#This Row],[precio_base]]*Ventas[[#This Row],[cantidad]]</f>
        <v>2499.9499999999998</v>
      </c>
      <c r="R2354" s="2">
        <f>Ventas[[#This Row],[Total bruto (antes de descuento)]]-Ventas[[#This Row],[total_venta]]</f>
        <v>375</v>
      </c>
    </row>
    <row r="2355" spans="1:18" x14ac:dyDescent="0.25">
      <c r="A2355" t="s">
        <v>2448</v>
      </c>
      <c r="B2355" s="1">
        <v>45045</v>
      </c>
      <c r="C2355" t="s">
        <v>70</v>
      </c>
      <c r="D2355" t="s">
        <v>31</v>
      </c>
      <c r="E2355">
        <v>3</v>
      </c>
      <c r="F2355" s="2">
        <v>59.99</v>
      </c>
      <c r="G2355">
        <v>20</v>
      </c>
      <c r="H2355" s="2">
        <v>47.99</v>
      </c>
      <c r="I2355" s="2">
        <v>143.97</v>
      </c>
      <c r="J2355" t="s">
        <v>19</v>
      </c>
      <c r="K2355" t="s">
        <v>20</v>
      </c>
      <c r="L2355" t="s">
        <v>21</v>
      </c>
      <c r="M2355" t="s">
        <v>22</v>
      </c>
      <c r="N2355" t="s">
        <v>23</v>
      </c>
      <c r="O2355" t="s">
        <v>24</v>
      </c>
      <c r="P2355">
        <v>1</v>
      </c>
      <c r="Q2355" s="2">
        <f>Ventas[[#This Row],[precio_base]]*Ventas[[#This Row],[cantidad]]</f>
        <v>179.97</v>
      </c>
      <c r="R2355" s="2">
        <f>Ventas[[#This Row],[Total bruto (antes de descuento)]]-Ventas[[#This Row],[total_venta]]</f>
        <v>36</v>
      </c>
    </row>
    <row r="2356" spans="1:18" x14ac:dyDescent="0.25">
      <c r="A2356" t="s">
        <v>2449</v>
      </c>
      <c r="B2356" s="1">
        <v>45461</v>
      </c>
      <c r="C2356" t="s">
        <v>115</v>
      </c>
      <c r="D2356" t="s">
        <v>18</v>
      </c>
      <c r="E2356">
        <v>4</v>
      </c>
      <c r="F2356" s="2">
        <v>799.99</v>
      </c>
      <c r="G2356">
        <v>10</v>
      </c>
      <c r="H2356" s="2">
        <v>719.99</v>
      </c>
      <c r="I2356" s="2">
        <v>2879.96</v>
      </c>
      <c r="J2356" t="s">
        <v>51</v>
      </c>
      <c r="K2356" t="s">
        <v>20</v>
      </c>
      <c r="L2356" t="s">
        <v>21</v>
      </c>
      <c r="M2356" t="s">
        <v>73</v>
      </c>
      <c r="N2356" t="s">
        <v>74</v>
      </c>
      <c r="O2356" t="s">
        <v>35</v>
      </c>
      <c r="Q2356" s="2">
        <f>Ventas[[#This Row],[precio_base]]*Ventas[[#This Row],[cantidad]]</f>
        <v>3199.96</v>
      </c>
      <c r="R2356" s="2">
        <f>Ventas[[#This Row],[Total bruto (antes de descuento)]]-Ventas[[#This Row],[total_venta]]</f>
        <v>320</v>
      </c>
    </row>
    <row r="2357" spans="1:18" x14ac:dyDescent="0.25">
      <c r="A2357" t="s">
        <v>2450</v>
      </c>
      <c r="B2357" s="1">
        <v>45459</v>
      </c>
      <c r="C2357" t="s">
        <v>87</v>
      </c>
      <c r="D2357" t="s">
        <v>27</v>
      </c>
      <c r="E2357">
        <v>5</v>
      </c>
      <c r="F2357" s="2">
        <v>249.99</v>
      </c>
      <c r="G2357">
        <v>5</v>
      </c>
      <c r="H2357" s="2">
        <v>237.49</v>
      </c>
      <c r="I2357" s="2">
        <v>1187.45</v>
      </c>
      <c r="J2357" t="s">
        <v>19</v>
      </c>
      <c r="K2357" t="s">
        <v>57</v>
      </c>
      <c r="L2357" t="s">
        <v>45</v>
      </c>
      <c r="M2357" t="s">
        <v>33</v>
      </c>
      <c r="N2357" t="s">
        <v>34</v>
      </c>
      <c r="O2357" t="s">
        <v>35</v>
      </c>
      <c r="P2357">
        <v>4</v>
      </c>
      <c r="Q2357" s="2">
        <f>Ventas[[#This Row],[precio_base]]*Ventas[[#This Row],[cantidad]]</f>
        <v>1249.95</v>
      </c>
      <c r="R2357" s="2">
        <f>Ventas[[#This Row],[Total bruto (antes de descuento)]]-Ventas[[#This Row],[total_venta]]</f>
        <v>62.5</v>
      </c>
    </row>
    <row r="2358" spans="1:18" x14ac:dyDescent="0.25">
      <c r="A2358" t="s">
        <v>2451</v>
      </c>
      <c r="B2358" s="1">
        <v>45633</v>
      </c>
      <c r="C2358" t="s">
        <v>122</v>
      </c>
      <c r="D2358" t="s">
        <v>43</v>
      </c>
      <c r="E2358">
        <v>2</v>
      </c>
      <c r="F2358" s="2">
        <v>44.99</v>
      </c>
      <c r="G2358">
        <v>5</v>
      </c>
      <c r="H2358" s="2">
        <v>42.74</v>
      </c>
      <c r="I2358" s="2">
        <v>85.48</v>
      </c>
      <c r="J2358" t="s">
        <v>19</v>
      </c>
      <c r="K2358" t="s">
        <v>52</v>
      </c>
      <c r="L2358" t="s">
        <v>28</v>
      </c>
      <c r="M2358" t="s">
        <v>73</v>
      </c>
      <c r="N2358" t="s">
        <v>74</v>
      </c>
      <c r="O2358" t="s">
        <v>35</v>
      </c>
      <c r="P2358">
        <v>3</v>
      </c>
      <c r="Q2358" s="2">
        <f>Ventas[[#This Row],[precio_base]]*Ventas[[#This Row],[cantidad]]</f>
        <v>89.98</v>
      </c>
      <c r="R2358" s="2">
        <f>Ventas[[#This Row],[Total bruto (antes de descuento)]]-Ventas[[#This Row],[total_venta]]</f>
        <v>4.5</v>
      </c>
    </row>
    <row r="2359" spans="1:18" x14ac:dyDescent="0.25">
      <c r="A2359" t="s">
        <v>2452</v>
      </c>
      <c r="B2359" s="1">
        <v>45585</v>
      </c>
      <c r="C2359" t="s">
        <v>37</v>
      </c>
      <c r="D2359" t="s">
        <v>38</v>
      </c>
      <c r="E2359">
        <v>2</v>
      </c>
      <c r="F2359" s="2">
        <v>34.99</v>
      </c>
      <c r="G2359">
        <v>15</v>
      </c>
      <c r="H2359" s="2">
        <v>29.74</v>
      </c>
      <c r="I2359" s="2">
        <v>59.48</v>
      </c>
      <c r="J2359" t="s">
        <v>19</v>
      </c>
      <c r="K2359" t="s">
        <v>52</v>
      </c>
      <c r="L2359" t="s">
        <v>152</v>
      </c>
      <c r="M2359" t="s">
        <v>123</v>
      </c>
      <c r="N2359" t="s">
        <v>124</v>
      </c>
      <c r="O2359" t="s">
        <v>24</v>
      </c>
      <c r="P2359">
        <v>2</v>
      </c>
      <c r="Q2359" s="2">
        <f>Ventas[[#This Row],[precio_base]]*Ventas[[#This Row],[cantidad]]</f>
        <v>69.98</v>
      </c>
      <c r="R2359" s="2">
        <f>Ventas[[#This Row],[Total bruto (antes de descuento)]]-Ventas[[#This Row],[total_venta]]</f>
        <v>10.500000000000007</v>
      </c>
    </row>
    <row r="2360" spans="1:18" x14ac:dyDescent="0.25">
      <c r="A2360" t="s">
        <v>2453</v>
      </c>
      <c r="B2360" s="1">
        <v>45304</v>
      </c>
      <c r="C2360" t="s">
        <v>83</v>
      </c>
      <c r="D2360" t="s">
        <v>38</v>
      </c>
      <c r="E2360">
        <v>2</v>
      </c>
      <c r="F2360" s="2">
        <v>49.99</v>
      </c>
      <c r="G2360">
        <v>0</v>
      </c>
      <c r="H2360" s="2">
        <v>49.99</v>
      </c>
      <c r="I2360" s="2">
        <v>99.98</v>
      </c>
      <c r="J2360" t="s">
        <v>19</v>
      </c>
      <c r="K2360" t="s">
        <v>52</v>
      </c>
      <c r="L2360" t="s">
        <v>28</v>
      </c>
      <c r="M2360" t="s">
        <v>39</v>
      </c>
      <c r="N2360" t="s">
        <v>40</v>
      </c>
      <c r="O2360" t="s">
        <v>35</v>
      </c>
      <c r="P2360">
        <v>1</v>
      </c>
      <c r="Q2360" s="2">
        <f>Ventas[[#This Row],[precio_base]]*Ventas[[#This Row],[cantidad]]</f>
        <v>99.98</v>
      </c>
      <c r="R2360" s="2">
        <f>Ventas[[#This Row],[Total bruto (antes de descuento)]]-Ventas[[#This Row],[total_venta]]</f>
        <v>0</v>
      </c>
    </row>
    <row r="2361" spans="1:18" x14ac:dyDescent="0.25">
      <c r="A2361" t="s">
        <v>2454</v>
      </c>
      <c r="B2361" s="1">
        <v>45063</v>
      </c>
      <c r="C2361" t="s">
        <v>115</v>
      </c>
      <c r="D2361" t="s">
        <v>18</v>
      </c>
      <c r="E2361">
        <v>1</v>
      </c>
      <c r="F2361" s="2">
        <v>799.99</v>
      </c>
      <c r="G2361">
        <v>0</v>
      </c>
      <c r="H2361" s="2">
        <v>799.99</v>
      </c>
      <c r="I2361" s="2">
        <v>799.99</v>
      </c>
      <c r="J2361" t="s">
        <v>19</v>
      </c>
      <c r="K2361" t="s">
        <v>52</v>
      </c>
      <c r="L2361" t="s">
        <v>28</v>
      </c>
      <c r="M2361" t="s">
        <v>63</v>
      </c>
      <c r="N2361" t="s">
        <v>34</v>
      </c>
      <c r="O2361" t="s">
        <v>24</v>
      </c>
      <c r="P2361">
        <v>3</v>
      </c>
      <c r="Q2361" s="2">
        <f>Ventas[[#This Row],[precio_base]]*Ventas[[#This Row],[cantidad]]</f>
        <v>799.99</v>
      </c>
      <c r="R2361" s="2">
        <f>Ventas[[#This Row],[Total bruto (antes de descuento)]]-Ventas[[#This Row],[total_venta]]</f>
        <v>0</v>
      </c>
    </row>
    <row r="2362" spans="1:18" x14ac:dyDescent="0.25">
      <c r="A2362" t="s">
        <v>2455</v>
      </c>
      <c r="B2362" s="1">
        <v>45566</v>
      </c>
      <c r="C2362" t="s">
        <v>56</v>
      </c>
      <c r="D2362" t="s">
        <v>18</v>
      </c>
      <c r="E2362">
        <v>1</v>
      </c>
      <c r="F2362" s="2">
        <v>89.99</v>
      </c>
      <c r="G2362">
        <v>5</v>
      </c>
      <c r="H2362" s="2">
        <v>85.49</v>
      </c>
      <c r="I2362" s="2">
        <v>85.49</v>
      </c>
      <c r="J2362" t="s">
        <v>51</v>
      </c>
      <c r="K2362" t="s">
        <v>20</v>
      </c>
      <c r="L2362" t="s">
        <v>21</v>
      </c>
      <c r="M2362" t="s">
        <v>53</v>
      </c>
      <c r="N2362" t="s">
        <v>54</v>
      </c>
      <c r="O2362" t="s">
        <v>35</v>
      </c>
      <c r="Q2362" s="2">
        <f>Ventas[[#This Row],[precio_base]]*Ventas[[#This Row],[cantidad]]</f>
        <v>89.99</v>
      </c>
      <c r="R2362" s="2">
        <f>Ventas[[#This Row],[Total bruto (antes de descuento)]]-Ventas[[#This Row],[total_venta]]</f>
        <v>4.5</v>
      </c>
    </row>
    <row r="2363" spans="1:18" x14ac:dyDescent="0.25">
      <c r="A2363" t="s">
        <v>2456</v>
      </c>
      <c r="B2363" s="1">
        <v>45195</v>
      </c>
      <c r="C2363" t="s">
        <v>92</v>
      </c>
      <c r="D2363" t="s">
        <v>27</v>
      </c>
      <c r="E2363">
        <v>2</v>
      </c>
      <c r="F2363" s="2">
        <v>79.989999999999995</v>
      </c>
      <c r="G2363">
        <v>0</v>
      </c>
      <c r="H2363" s="2">
        <v>79.989999999999995</v>
      </c>
      <c r="I2363" s="2">
        <v>159.97999999999999</v>
      </c>
      <c r="J2363" t="s">
        <v>51</v>
      </c>
      <c r="K2363" t="s">
        <v>20</v>
      </c>
      <c r="L2363" t="s">
        <v>45</v>
      </c>
      <c r="M2363" t="s">
        <v>101</v>
      </c>
      <c r="N2363" t="s">
        <v>102</v>
      </c>
      <c r="O2363" t="s">
        <v>35</v>
      </c>
      <c r="Q2363" s="2">
        <f>Ventas[[#This Row],[precio_base]]*Ventas[[#This Row],[cantidad]]</f>
        <v>159.97999999999999</v>
      </c>
      <c r="R2363" s="2">
        <f>Ventas[[#This Row],[Total bruto (antes de descuento)]]-Ventas[[#This Row],[total_venta]]</f>
        <v>0</v>
      </c>
    </row>
    <row r="2364" spans="1:18" x14ac:dyDescent="0.25">
      <c r="A2364" t="s">
        <v>2457</v>
      </c>
      <c r="B2364" s="1">
        <v>45409</v>
      </c>
      <c r="C2364" t="s">
        <v>109</v>
      </c>
      <c r="D2364" t="s">
        <v>38</v>
      </c>
      <c r="E2364">
        <v>5</v>
      </c>
      <c r="F2364" s="2">
        <v>39.99</v>
      </c>
      <c r="G2364">
        <v>15</v>
      </c>
      <c r="H2364" s="2">
        <v>33.99</v>
      </c>
      <c r="I2364" s="2">
        <v>169.95</v>
      </c>
      <c r="J2364" t="s">
        <v>19</v>
      </c>
      <c r="K2364" t="s">
        <v>20</v>
      </c>
      <c r="L2364" t="s">
        <v>21</v>
      </c>
      <c r="M2364" t="s">
        <v>101</v>
      </c>
      <c r="N2364" t="s">
        <v>102</v>
      </c>
      <c r="O2364" t="s">
        <v>35</v>
      </c>
      <c r="P2364">
        <v>3</v>
      </c>
      <c r="Q2364" s="2">
        <f>Ventas[[#This Row],[precio_base]]*Ventas[[#This Row],[cantidad]]</f>
        <v>199.95000000000002</v>
      </c>
      <c r="R2364" s="2">
        <f>Ventas[[#This Row],[Total bruto (antes de descuento)]]-Ventas[[#This Row],[total_venta]]</f>
        <v>30.000000000000028</v>
      </c>
    </row>
    <row r="2365" spans="1:18" x14ac:dyDescent="0.25">
      <c r="A2365" t="s">
        <v>2458</v>
      </c>
      <c r="B2365" s="1">
        <v>45418</v>
      </c>
      <c r="C2365" t="s">
        <v>151</v>
      </c>
      <c r="D2365" t="s">
        <v>27</v>
      </c>
      <c r="E2365">
        <v>3</v>
      </c>
      <c r="F2365" s="2">
        <v>599.99</v>
      </c>
      <c r="G2365">
        <v>0</v>
      </c>
      <c r="H2365" s="2">
        <v>599.99</v>
      </c>
      <c r="I2365" s="2">
        <v>1799.97</v>
      </c>
      <c r="J2365" t="s">
        <v>51</v>
      </c>
      <c r="K2365" t="s">
        <v>44</v>
      </c>
      <c r="L2365" t="s">
        <v>21</v>
      </c>
      <c r="M2365" t="s">
        <v>123</v>
      </c>
      <c r="N2365" t="s">
        <v>124</v>
      </c>
      <c r="O2365" t="s">
        <v>24</v>
      </c>
      <c r="Q2365" s="2">
        <f>Ventas[[#This Row],[precio_base]]*Ventas[[#This Row],[cantidad]]</f>
        <v>1799.97</v>
      </c>
      <c r="R2365" s="2">
        <f>Ventas[[#This Row],[Total bruto (antes de descuento)]]-Ventas[[#This Row],[total_venta]]</f>
        <v>0</v>
      </c>
    </row>
    <row r="2366" spans="1:18" x14ac:dyDescent="0.25">
      <c r="A2366" t="s">
        <v>2459</v>
      </c>
      <c r="B2366" s="1">
        <v>45065</v>
      </c>
      <c r="C2366" t="s">
        <v>109</v>
      </c>
      <c r="D2366" t="s">
        <v>38</v>
      </c>
      <c r="E2366">
        <v>2</v>
      </c>
      <c r="F2366" s="2">
        <v>39.99</v>
      </c>
      <c r="G2366">
        <v>20</v>
      </c>
      <c r="H2366" s="2">
        <v>31.99</v>
      </c>
      <c r="I2366" s="2">
        <v>63.98</v>
      </c>
      <c r="J2366" t="s">
        <v>19</v>
      </c>
      <c r="K2366" t="s">
        <v>20</v>
      </c>
      <c r="L2366" t="s">
        <v>28</v>
      </c>
      <c r="M2366" t="s">
        <v>46</v>
      </c>
      <c r="N2366" t="s">
        <v>47</v>
      </c>
      <c r="O2366" t="s">
        <v>48</v>
      </c>
      <c r="P2366">
        <v>5</v>
      </c>
      <c r="Q2366" s="2">
        <f>Ventas[[#This Row],[precio_base]]*Ventas[[#This Row],[cantidad]]</f>
        <v>79.98</v>
      </c>
      <c r="R2366" s="2">
        <f>Ventas[[#This Row],[Total bruto (antes de descuento)]]-Ventas[[#This Row],[total_venta]]</f>
        <v>16.000000000000007</v>
      </c>
    </row>
    <row r="2367" spans="1:18" x14ac:dyDescent="0.25">
      <c r="A2367" t="s">
        <v>2460</v>
      </c>
      <c r="B2367" s="1">
        <v>45612</v>
      </c>
      <c r="C2367" t="s">
        <v>76</v>
      </c>
      <c r="D2367" t="s">
        <v>31</v>
      </c>
      <c r="E2367">
        <v>4</v>
      </c>
      <c r="F2367" s="2">
        <v>69.989999999999995</v>
      </c>
      <c r="G2367">
        <v>5</v>
      </c>
      <c r="H2367" s="2">
        <v>66.489999999999995</v>
      </c>
      <c r="I2367" s="2">
        <v>265.95999999999998</v>
      </c>
      <c r="J2367" t="s">
        <v>62</v>
      </c>
      <c r="K2367" t="s">
        <v>20</v>
      </c>
      <c r="L2367" t="s">
        <v>21</v>
      </c>
      <c r="M2367" t="s">
        <v>65</v>
      </c>
      <c r="N2367" t="s">
        <v>54</v>
      </c>
      <c r="O2367" t="s">
        <v>35</v>
      </c>
      <c r="Q2367" s="2">
        <f>Ventas[[#This Row],[precio_base]]*Ventas[[#This Row],[cantidad]]</f>
        <v>279.95999999999998</v>
      </c>
      <c r="R2367" s="2">
        <f>Ventas[[#This Row],[Total bruto (antes de descuento)]]-Ventas[[#This Row],[total_venta]]</f>
        <v>14</v>
      </c>
    </row>
    <row r="2368" spans="1:18" x14ac:dyDescent="0.25">
      <c r="A2368" t="s">
        <v>2461</v>
      </c>
      <c r="B2368" s="1">
        <v>44981</v>
      </c>
      <c r="C2368" t="s">
        <v>50</v>
      </c>
      <c r="D2368" t="s">
        <v>27</v>
      </c>
      <c r="E2368">
        <v>2</v>
      </c>
      <c r="F2368" s="2">
        <v>149.99</v>
      </c>
      <c r="G2368">
        <v>15</v>
      </c>
      <c r="H2368" s="2">
        <v>127.49</v>
      </c>
      <c r="I2368" s="2">
        <v>254.98</v>
      </c>
      <c r="J2368" t="s">
        <v>19</v>
      </c>
      <c r="K2368" t="s">
        <v>44</v>
      </c>
      <c r="L2368" t="s">
        <v>21</v>
      </c>
      <c r="M2368" t="s">
        <v>95</v>
      </c>
      <c r="N2368" t="s">
        <v>96</v>
      </c>
      <c r="O2368" t="s">
        <v>48</v>
      </c>
      <c r="P2368">
        <v>4</v>
      </c>
      <c r="Q2368" s="2">
        <f>Ventas[[#This Row],[precio_base]]*Ventas[[#This Row],[cantidad]]</f>
        <v>299.98</v>
      </c>
      <c r="R2368" s="2">
        <f>Ventas[[#This Row],[Total bruto (antes de descuento)]]-Ventas[[#This Row],[total_venta]]</f>
        <v>45.000000000000028</v>
      </c>
    </row>
    <row r="2369" spans="1:18" x14ac:dyDescent="0.25">
      <c r="A2369" t="s">
        <v>2462</v>
      </c>
      <c r="B2369" s="1">
        <v>45630</v>
      </c>
      <c r="C2369" t="s">
        <v>115</v>
      </c>
      <c r="D2369" t="s">
        <v>18</v>
      </c>
      <c r="E2369">
        <v>2</v>
      </c>
      <c r="F2369" s="2">
        <v>799.99</v>
      </c>
      <c r="G2369">
        <v>5</v>
      </c>
      <c r="H2369" s="2">
        <v>759.99</v>
      </c>
      <c r="I2369" s="2">
        <v>1519.98</v>
      </c>
      <c r="J2369" t="s">
        <v>51</v>
      </c>
      <c r="K2369" t="s">
        <v>20</v>
      </c>
      <c r="L2369" t="s">
        <v>45</v>
      </c>
      <c r="M2369" t="s">
        <v>84</v>
      </c>
      <c r="N2369" t="s">
        <v>85</v>
      </c>
      <c r="O2369" t="s">
        <v>35</v>
      </c>
      <c r="Q2369" s="2">
        <f>Ventas[[#This Row],[precio_base]]*Ventas[[#This Row],[cantidad]]</f>
        <v>1599.98</v>
      </c>
      <c r="R2369" s="2">
        <f>Ventas[[#This Row],[Total bruto (antes de descuento)]]-Ventas[[#This Row],[total_venta]]</f>
        <v>80</v>
      </c>
    </row>
    <row r="2370" spans="1:18" x14ac:dyDescent="0.25">
      <c r="A2370" t="s">
        <v>2463</v>
      </c>
      <c r="B2370" s="1">
        <v>45523</v>
      </c>
      <c r="C2370" t="s">
        <v>205</v>
      </c>
      <c r="D2370" t="s">
        <v>18</v>
      </c>
      <c r="E2370">
        <v>1</v>
      </c>
      <c r="F2370" s="2">
        <v>129.99</v>
      </c>
      <c r="G2370">
        <v>0</v>
      </c>
      <c r="H2370" s="2">
        <v>129.99</v>
      </c>
      <c r="I2370" s="2">
        <v>129.99</v>
      </c>
      <c r="J2370" t="s">
        <v>19</v>
      </c>
      <c r="K2370" t="s">
        <v>44</v>
      </c>
      <c r="L2370" t="s">
        <v>45</v>
      </c>
      <c r="M2370" t="s">
        <v>63</v>
      </c>
      <c r="N2370" t="s">
        <v>34</v>
      </c>
      <c r="O2370" t="s">
        <v>24</v>
      </c>
      <c r="P2370">
        <v>5</v>
      </c>
      <c r="Q2370" s="2">
        <f>Ventas[[#This Row],[precio_base]]*Ventas[[#This Row],[cantidad]]</f>
        <v>129.99</v>
      </c>
      <c r="R2370" s="2">
        <f>Ventas[[#This Row],[Total bruto (antes de descuento)]]-Ventas[[#This Row],[total_venta]]</f>
        <v>0</v>
      </c>
    </row>
    <row r="2371" spans="1:18" x14ac:dyDescent="0.25">
      <c r="A2371" t="s">
        <v>2464</v>
      </c>
      <c r="B2371" s="1">
        <v>45146</v>
      </c>
      <c r="C2371" t="s">
        <v>76</v>
      </c>
      <c r="D2371" t="s">
        <v>31</v>
      </c>
      <c r="E2371">
        <v>4</v>
      </c>
      <c r="F2371" s="2">
        <v>69.989999999999995</v>
      </c>
      <c r="G2371">
        <v>0</v>
      </c>
      <c r="H2371" s="2">
        <v>69.989999999999995</v>
      </c>
      <c r="I2371" s="2">
        <v>279.95999999999998</v>
      </c>
      <c r="J2371" t="s">
        <v>90</v>
      </c>
      <c r="K2371" t="s">
        <v>20</v>
      </c>
      <c r="L2371" t="s">
        <v>21</v>
      </c>
      <c r="M2371" t="s">
        <v>84</v>
      </c>
      <c r="N2371" t="s">
        <v>85</v>
      </c>
      <c r="O2371" t="s">
        <v>35</v>
      </c>
      <c r="Q2371" s="2">
        <f>Ventas[[#This Row],[precio_base]]*Ventas[[#This Row],[cantidad]]</f>
        <v>279.95999999999998</v>
      </c>
      <c r="R2371" s="2">
        <f>Ventas[[#This Row],[Total bruto (antes de descuento)]]-Ventas[[#This Row],[total_venta]]</f>
        <v>0</v>
      </c>
    </row>
    <row r="2372" spans="1:18" x14ac:dyDescent="0.25">
      <c r="A2372" t="s">
        <v>2465</v>
      </c>
      <c r="B2372" s="1">
        <v>45526</v>
      </c>
      <c r="C2372" t="s">
        <v>56</v>
      </c>
      <c r="D2372" t="s">
        <v>18</v>
      </c>
      <c r="E2372">
        <v>3</v>
      </c>
      <c r="F2372" s="2">
        <v>89.99</v>
      </c>
      <c r="G2372">
        <v>0</v>
      </c>
      <c r="H2372" s="2">
        <v>89.99</v>
      </c>
      <c r="I2372" s="2">
        <v>269.97000000000003</v>
      </c>
      <c r="J2372" t="s">
        <v>19</v>
      </c>
      <c r="K2372" t="s">
        <v>20</v>
      </c>
      <c r="L2372" t="s">
        <v>21</v>
      </c>
      <c r="M2372" t="s">
        <v>63</v>
      </c>
      <c r="N2372" t="s">
        <v>34</v>
      </c>
      <c r="O2372" t="s">
        <v>24</v>
      </c>
      <c r="P2372">
        <v>3</v>
      </c>
      <c r="Q2372" s="2">
        <f>Ventas[[#This Row],[precio_base]]*Ventas[[#This Row],[cantidad]]</f>
        <v>269.96999999999997</v>
      </c>
      <c r="R2372" s="2">
        <f>Ventas[[#This Row],[Total bruto (antes de descuento)]]-Ventas[[#This Row],[total_venta]]</f>
        <v>0</v>
      </c>
    </row>
    <row r="2373" spans="1:18" x14ac:dyDescent="0.25">
      <c r="A2373" t="s">
        <v>2466</v>
      </c>
      <c r="B2373" s="1">
        <v>45646</v>
      </c>
      <c r="C2373" t="s">
        <v>163</v>
      </c>
      <c r="D2373" t="s">
        <v>18</v>
      </c>
      <c r="E2373">
        <v>5</v>
      </c>
      <c r="F2373" s="2">
        <v>499.99</v>
      </c>
      <c r="G2373">
        <v>20</v>
      </c>
      <c r="H2373" s="2">
        <v>399.99</v>
      </c>
      <c r="I2373" s="2">
        <v>1999.95</v>
      </c>
      <c r="J2373" t="s">
        <v>62</v>
      </c>
      <c r="K2373" t="s">
        <v>20</v>
      </c>
      <c r="L2373" t="s">
        <v>152</v>
      </c>
      <c r="M2373" t="s">
        <v>22</v>
      </c>
      <c r="N2373" t="s">
        <v>23</v>
      </c>
      <c r="O2373" t="s">
        <v>24</v>
      </c>
      <c r="Q2373" s="2">
        <f>Ventas[[#This Row],[precio_base]]*Ventas[[#This Row],[cantidad]]</f>
        <v>2499.9499999999998</v>
      </c>
      <c r="R2373" s="2">
        <f>Ventas[[#This Row],[Total bruto (antes de descuento)]]-Ventas[[#This Row],[total_venta]]</f>
        <v>499.99999999999977</v>
      </c>
    </row>
    <row r="2374" spans="1:18" x14ac:dyDescent="0.25">
      <c r="A2374" t="s">
        <v>2467</v>
      </c>
      <c r="B2374" s="1">
        <v>45200</v>
      </c>
      <c r="C2374" t="s">
        <v>37</v>
      </c>
      <c r="D2374" t="s">
        <v>38</v>
      </c>
      <c r="E2374">
        <v>1</v>
      </c>
      <c r="F2374" s="2">
        <v>34.99</v>
      </c>
      <c r="G2374">
        <v>5</v>
      </c>
      <c r="H2374" s="2">
        <v>33.24</v>
      </c>
      <c r="I2374" s="2">
        <v>33.24</v>
      </c>
      <c r="J2374" t="s">
        <v>51</v>
      </c>
      <c r="K2374" t="s">
        <v>44</v>
      </c>
      <c r="L2374" t="s">
        <v>32</v>
      </c>
      <c r="M2374" t="s">
        <v>101</v>
      </c>
      <c r="N2374" t="s">
        <v>102</v>
      </c>
      <c r="O2374" t="s">
        <v>35</v>
      </c>
      <c r="Q2374" s="2">
        <f>Ventas[[#This Row],[precio_base]]*Ventas[[#This Row],[cantidad]]</f>
        <v>34.99</v>
      </c>
      <c r="R2374" s="2">
        <f>Ventas[[#This Row],[Total bruto (antes de descuento)]]-Ventas[[#This Row],[total_venta]]</f>
        <v>1.75</v>
      </c>
    </row>
    <row r="2375" spans="1:18" x14ac:dyDescent="0.25">
      <c r="A2375" t="s">
        <v>2468</v>
      </c>
      <c r="B2375" s="1">
        <v>45151</v>
      </c>
      <c r="C2375" t="s">
        <v>205</v>
      </c>
      <c r="D2375" t="s">
        <v>18</v>
      </c>
      <c r="E2375">
        <v>4</v>
      </c>
      <c r="F2375" s="2">
        <v>129.99</v>
      </c>
      <c r="G2375">
        <v>0</v>
      </c>
      <c r="H2375" s="2">
        <v>129.99</v>
      </c>
      <c r="I2375" s="2">
        <v>519.96</v>
      </c>
      <c r="J2375" t="s">
        <v>19</v>
      </c>
      <c r="K2375" t="s">
        <v>44</v>
      </c>
      <c r="L2375" t="s">
        <v>21</v>
      </c>
      <c r="M2375" t="s">
        <v>46</v>
      </c>
      <c r="N2375" t="s">
        <v>47</v>
      </c>
      <c r="O2375" t="s">
        <v>48</v>
      </c>
      <c r="P2375">
        <v>3</v>
      </c>
      <c r="Q2375" s="2">
        <f>Ventas[[#This Row],[precio_base]]*Ventas[[#This Row],[cantidad]]</f>
        <v>519.96</v>
      </c>
      <c r="R2375" s="2">
        <f>Ventas[[#This Row],[Total bruto (antes de descuento)]]-Ventas[[#This Row],[total_venta]]</f>
        <v>0</v>
      </c>
    </row>
    <row r="2376" spans="1:18" x14ac:dyDescent="0.25">
      <c r="A2376" t="s">
        <v>2469</v>
      </c>
      <c r="B2376" s="1">
        <v>45518</v>
      </c>
      <c r="C2376" t="s">
        <v>70</v>
      </c>
      <c r="D2376" t="s">
        <v>31</v>
      </c>
      <c r="E2376">
        <v>4</v>
      </c>
      <c r="F2376" s="2">
        <v>59.99</v>
      </c>
      <c r="G2376">
        <v>10</v>
      </c>
      <c r="H2376" s="2">
        <v>53.99</v>
      </c>
      <c r="I2376" s="2">
        <v>215.96</v>
      </c>
      <c r="J2376" t="s">
        <v>51</v>
      </c>
      <c r="K2376" t="s">
        <v>20</v>
      </c>
      <c r="L2376" t="s">
        <v>45</v>
      </c>
      <c r="M2376" t="s">
        <v>95</v>
      </c>
      <c r="N2376" t="s">
        <v>96</v>
      </c>
      <c r="O2376" t="s">
        <v>48</v>
      </c>
      <c r="Q2376" s="2">
        <f>Ventas[[#This Row],[precio_base]]*Ventas[[#This Row],[cantidad]]</f>
        <v>239.96</v>
      </c>
      <c r="R2376" s="2">
        <f>Ventas[[#This Row],[Total bruto (antes de descuento)]]-Ventas[[#This Row],[total_venta]]</f>
        <v>24</v>
      </c>
    </row>
    <row r="2377" spans="1:18" x14ac:dyDescent="0.25">
      <c r="A2377" t="s">
        <v>2470</v>
      </c>
      <c r="B2377" s="1">
        <v>45523</v>
      </c>
      <c r="C2377" t="s">
        <v>151</v>
      </c>
      <c r="D2377" t="s">
        <v>27</v>
      </c>
      <c r="E2377">
        <v>1</v>
      </c>
      <c r="F2377" s="2">
        <v>599.99</v>
      </c>
      <c r="G2377">
        <v>0</v>
      </c>
      <c r="H2377" s="2">
        <v>599.99</v>
      </c>
      <c r="I2377" s="2">
        <v>599.99</v>
      </c>
      <c r="J2377" t="s">
        <v>19</v>
      </c>
      <c r="K2377" t="s">
        <v>20</v>
      </c>
      <c r="L2377" t="s">
        <v>21</v>
      </c>
      <c r="M2377" t="s">
        <v>101</v>
      </c>
      <c r="N2377" t="s">
        <v>102</v>
      </c>
      <c r="O2377" t="s">
        <v>35</v>
      </c>
      <c r="P2377">
        <v>2</v>
      </c>
      <c r="Q2377" s="2">
        <f>Ventas[[#This Row],[precio_base]]*Ventas[[#This Row],[cantidad]]</f>
        <v>599.99</v>
      </c>
      <c r="R2377" s="2">
        <f>Ventas[[#This Row],[Total bruto (antes de descuento)]]-Ventas[[#This Row],[total_venta]]</f>
        <v>0</v>
      </c>
    </row>
    <row r="2378" spans="1:18" x14ac:dyDescent="0.25">
      <c r="A2378" t="s">
        <v>2471</v>
      </c>
      <c r="B2378" s="1">
        <v>45609</v>
      </c>
      <c r="C2378" t="s">
        <v>130</v>
      </c>
      <c r="D2378" t="s">
        <v>43</v>
      </c>
      <c r="E2378">
        <v>5</v>
      </c>
      <c r="F2378" s="2">
        <v>24.99</v>
      </c>
      <c r="G2378">
        <v>5</v>
      </c>
      <c r="H2378" s="2">
        <v>23.74</v>
      </c>
      <c r="I2378" s="2">
        <v>118.7</v>
      </c>
      <c r="J2378" t="s">
        <v>51</v>
      </c>
      <c r="K2378" t="s">
        <v>44</v>
      </c>
      <c r="L2378" t="s">
        <v>21</v>
      </c>
      <c r="M2378" t="s">
        <v>53</v>
      </c>
      <c r="N2378" t="s">
        <v>54</v>
      </c>
      <c r="O2378" t="s">
        <v>35</v>
      </c>
      <c r="Q2378" s="2">
        <f>Ventas[[#This Row],[precio_base]]*Ventas[[#This Row],[cantidad]]</f>
        <v>124.94999999999999</v>
      </c>
      <c r="R2378" s="2">
        <f>Ventas[[#This Row],[Total bruto (antes de descuento)]]-Ventas[[#This Row],[total_venta]]</f>
        <v>6.2499999999999858</v>
      </c>
    </row>
    <row r="2379" spans="1:18" x14ac:dyDescent="0.25">
      <c r="A2379" t="s">
        <v>2472</v>
      </c>
      <c r="B2379" s="1">
        <v>45429</v>
      </c>
      <c r="C2379" t="s">
        <v>30</v>
      </c>
      <c r="D2379" t="s">
        <v>31</v>
      </c>
      <c r="E2379">
        <v>3</v>
      </c>
      <c r="F2379" s="2">
        <v>299.99</v>
      </c>
      <c r="G2379">
        <v>0</v>
      </c>
      <c r="H2379" s="2">
        <v>299.99</v>
      </c>
      <c r="I2379" s="2">
        <v>899.97</v>
      </c>
      <c r="J2379" t="s">
        <v>19</v>
      </c>
      <c r="K2379" t="s">
        <v>52</v>
      </c>
      <c r="L2379" t="s">
        <v>45</v>
      </c>
      <c r="M2379" t="s">
        <v>65</v>
      </c>
      <c r="N2379" t="s">
        <v>54</v>
      </c>
      <c r="O2379" t="s">
        <v>35</v>
      </c>
      <c r="P2379">
        <v>2</v>
      </c>
      <c r="Q2379" s="2">
        <f>Ventas[[#This Row],[precio_base]]*Ventas[[#This Row],[cantidad]]</f>
        <v>899.97</v>
      </c>
      <c r="R2379" s="2">
        <f>Ventas[[#This Row],[Total bruto (antes de descuento)]]-Ventas[[#This Row],[total_venta]]</f>
        <v>0</v>
      </c>
    </row>
    <row r="2380" spans="1:18" x14ac:dyDescent="0.25">
      <c r="A2380" t="s">
        <v>2473</v>
      </c>
      <c r="B2380" s="1">
        <v>45079</v>
      </c>
      <c r="C2380" t="s">
        <v>104</v>
      </c>
      <c r="D2380" t="s">
        <v>18</v>
      </c>
      <c r="E2380">
        <v>1</v>
      </c>
      <c r="F2380" s="2">
        <v>1199.99</v>
      </c>
      <c r="G2380">
        <v>0</v>
      </c>
      <c r="H2380" s="2">
        <v>1199.99</v>
      </c>
      <c r="I2380" s="2">
        <v>1199.99</v>
      </c>
      <c r="J2380" t="s">
        <v>51</v>
      </c>
      <c r="K2380" t="s">
        <v>44</v>
      </c>
      <c r="L2380" t="s">
        <v>28</v>
      </c>
      <c r="M2380" t="s">
        <v>120</v>
      </c>
      <c r="N2380" t="s">
        <v>23</v>
      </c>
      <c r="O2380" t="s">
        <v>24</v>
      </c>
      <c r="Q2380" s="2">
        <f>Ventas[[#This Row],[precio_base]]*Ventas[[#This Row],[cantidad]]</f>
        <v>1199.99</v>
      </c>
      <c r="R2380" s="2">
        <f>Ventas[[#This Row],[Total bruto (antes de descuento)]]-Ventas[[#This Row],[total_venta]]</f>
        <v>0</v>
      </c>
    </row>
    <row r="2381" spans="1:18" x14ac:dyDescent="0.25">
      <c r="A2381" t="s">
        <v>2474</v>
      </c>
      <c r="B2381" s="1">
        <v>44982</v>
      </c>
      <c r="C2381" t="s">
        <v>50</v>
      </c>
      <c r="D2381" t="s">
        <v>27</v>
      </c>
      <c r="E2381">
        <v>2</v>
      </c>
      <c r="F2381" s="2">
        <v>149.99</v>
      </c>
      <c r="G2381">
        <v>0</v>
      </c>
      <c r="H2381" s="2">
        <v>149.99</v>
      </c>
      <c r="I2381" s="2">
        <v>299.98</v>
      </c>
      <c r="J2381" t="s">
        <v>19</v>
      </c>
      <c r="K2381" t="s">
        <v>20</v>
      </c>
      <c r="L2381" t="s">
        <v>45</v>
      </c>
      <c r="M2381" t="s">
        <v>46</v>
      </c>
      <c r="N2381" t="s">
        <v>47</v>
      </c>
      <c r="O2381" t="s">
        <v>48</v>
      </c>
      <c r="P2381">
        <v>5</v>
      </c>
      <c r="Q2381" s="2">
        <f>Ventas[[#This Row],[precio_base]]*Ventas[[#This Row],[cantidad]]</f>
        <v>299.98</v>
      </c>
      <c r="R2381" s="2">
        <f>Ventas[[#This Row],[Total bruto (antes de descuento)]]-Ventas[[#This Row],[total_venta]]</f>
        <v>0</v>
      </c>
    </row>
    <row r="2382" spans="1:18" x14ac:dyDescent="0.25">
      <c r="A2382" t="s">
        <v>2475</v>
      </c>
      <c r="B2382" s="1">
        <v>45629</v>
      </c>
      <c r="C2382" t="s">
        <v>130</v>
      </c>
      <c r="D2382" t="s">
        <v>43</v>
      </c>
      <c r="E2382">
        <v>4</v>
      </c>
      <c r="F2382" s="2">
        <v>24.99</v>
      </c>
      <c r="G2382">
        <v>10</v>
      </c>
      <c r="H2382" s="2">
        <v>22.49</v>
      </c>
      <c r="I2382" s="2">
        <v>89.96</v>
      </c>
      <c r="J2382" t="s">
        <v>19</v>
      </c>
      <c r="K2382" t="s">
        <v>44</v>
      </c>
      <c r="L2382" t="s">
        <v>21</v>
      </c>
      <c r="M2382" t="s">
        <v>67</v>
      </c>
      <c r="N2382" t="s">
        <v>68</v>
      </c>
      <c r="O2382" t="s">
        <v>35</v>
      </c>
      <c r="P2382">
        <v>2</v>
      </c>
      <c r="Q2382" s="2">
        <f>Ventas[[#This Row],[precio_base]]*Ventas[[#This Row],[cantidad]]</f>
        <v>99.96</v>
      </c>
      <c r="R2382" s="2">
        <f>Ventas[[#This Row],[Total bruto (antes de descuento)]]-Ventas[[#This Row],[total_venta]]</f>
        <v>10</v>
      </c>
    </row>
    <row r="2383" spans="1:18" x14ac:dyDescent="0.25">
      <c r="A2383" t="s">
        <v>2476</v>
      </c>
      <c r="B2383" s="1">
        <v>45636</v>
      </c>
      <c r="C2383" t="s">
        <v>76</v>
      </c>
      <c r="D2383" t="s">
        <v>31</v>
      </c>
      <c r="E2383">
        <v>3</v>
      </c>
      <c r="F2383" s="2">
        <v>69.989999999999995</v>
      </c>
      <c r="G2383">
        <v>15</v>
      </c>
      <c r="H2383" s="2">
        <v>59.49</v>
      </c>
      <c r="I2383" s="2">
        <v>178.47</v>
      </c>
      <c r="J2383" t="s">
        <v>19</v>
      </c>
      <c r="K2383" t="s">
        <v>20</v>
      </c>
      <c r="L2383" t="s">
        <v>45</v>
      </c>
      <c r="M2383" t="s">
        <v>63</v>
      </c>
      <c r="N2383" t="s">
        <v>34</v>
      </c>
      <c r="O2383" t="s">
        <v>24</v>
      </c>
      <c r="P2383">
        <v>1</v>
      </c>
      <c r="Q2383" s="2">
        <f>Ventas[[#This Row],[precio_base]]*Ventas[[#This Row],[cantidad]]</f>
        <v>209.96999999999997</v>
      </c>
      <c r="R2383" s="2">
        <f>Ventas[[#This Row],[Total bruto (antes de descuento)]]-Ventas[[#This Row],[total_venta]]</f>
        <v>31.499999999999972</v>
      </c>
    </row>
    <row r="2384" spans="1:18" x14ac:dyDescent="0.25">
      <c r="A2384" t="s">
        <v>2477</v>
      </c>
      <c r="B2384" s="1">
        <v>44968</v>
      </c>
      <c r="C2384" t="s">
        <v>115</v>
      </c>
      <c r="D2384" t="s">
        <v>18</v>
      </c>
      <c r="E2384">
        <v>1</v>
      </c>
      <c r="F2384" s="2">
        <v>799.99</v>
      </c>
      <c r="G2384">
        <v>0</v>
      </c>
      <c r="H2384" s="2">
        <v>799.99</v>
      </c>
      <c r="I2384" s="2">
        <v>799.99</v>
      </c>
      <c r="J2384" t="s">
        <v>116</v>
      </c>
      <c r="K2384" t="s">
        <v>52</v>
      </c>
      <c r="L2384" t="s">
        <v>28</v>
      </c>
      <c r="M2384" t="s">
        <v>22</v>
      </c>
      <c r="N2384" t="s">
        <v>23</v>
      </c>
      <c r="O2384" t="s">
        <v>24</v>
      </c>
      <c r="Q2384" s="2">
        <f>Ventas[[#This Row],[precio_base]]*Ventas[[#This Row],[cantidad]]</f>
        <v>799.99</v>
      </c>
      <c r="R2384" s="2">
        <f>Ventas[[#This Row],[Total bruto (antes de descuento)]]-Ventas[[#This Row],[total_venta]]</f>
        <v>0</v>
      </c>
    </row>
    <row r="2385" spans="1:18" x14ac:dyDescent="0.25">
      <c r="A2385" t="s">
        <v>2478</v>
      </c>
      <c r="B2385" s="1">
        <v>45513</v>
      </c>
      <c r="C2385" t="s">
        <v>42</v>
      </c>
      <c r="D2385" t="s">
        <v>43</v>
      </c>
      <c r="E2385">
        <v>5</v>
      </c>
      <c r="F2385" s="2">
        <v>349.99</v>
      </c>
      <c r="G2385">
        <v>0</v>
      </c>
      <c r="H2385" s="2">
        <v>349.99</v>
      </c>
      <c r="I2385" s="2">
        <v>1749.95</v>
      </c>
      <c r="J2385" t="s">
        <v>19</v>
      </c>
      <c r="K2385" t="s">
        <v>20</v>
      </c>
      <c r="L2385" t="s">
        <v>32</v>
      </c>
      <c r="M2385" t="s">
        <v>95</v>
      </c>
      <c r="N2385" t="s">
        <v>96</v>
      </c>
      <c r="O2385" t="s">
        <v>48</v>
      </c>
      <c r="P2385">
        <v>2</v>
      </c>
      <c r="Q2385" s="2">
        <f>Ventas[[#This Row],[precio_base]]*Ventas[[#This Row],[cantidad]]</f>
        <v>1749.95</v>
      </c>
      <c r="R2385" s="2">
        <f>Ventas[[#This Row],[Total bruto (antes de descuento)]]-Ventas[[#This Row],[total_venta]]</f>
        <v>0</v>
      </c>
    </row>
    <row r="2386" spans="1:18" x14ac:dyDescent="0.25">
      <c r="A2386" t="s">
        <v>2479</v>
      </c>
      <c r="B2386" s="1">
        <v>45511</v>
      </c>
      <c r="C2386" t="s">
        <v>130</v>
      </c>
      <c r="D2386" t="s">
        <v>43</v>
      </c>
      <c r="E2386">
        <v>1</v>
      </c>
      <c r="F2386" s="2">
        <v>24.99</v>
      </c>
      <c r="G2386">
        <v>0</v>
      </c>
      <c r="H2386" s="2">
        <v>24.99</v>
      </c>
      <c r="I2386" s="2">
        <v>24.99</v>
      </c>
      <c r="J2386" t="s">
        <v>51</v>
      </c>
      <c r="K2386" t="s">
        <v>44</v>
      </c>
      <c r="L2386" t="s">
        <v>28</v>
      </c>
      <c r="M2386" t="s">
        <v>73</v>
      </c>
      <c r="N2386" t="s">
        <v>74</v>
      </c>
      <c r="O2386" t="s">
        <v>35</v>
      </c>
      <c r="Q2386" s="2">
        <f>Ventas[[#This Row],[precio_base]]*Ventas[[#This Row],[cantidad]]</f>
        <v>24.99</v>
      </c>
      <c r="R2386" s="2">
        <f>Ventas[[#This Row],[Total bruto (antes de descuento)]]-Ventas[[#This Row],[total_venta]]</f>
        <v>0</v>
      </c>
    </row>
    <row r="2387" spans="1:18" x14ac:dyDescent="0.25">
      <c r="A2387" t="s">
        <v>2480</v>
      </c>
      <c r="B2387" s="1">
        <v>45527</v>
      </c>
      <c r="C2387" t="s">
        <v>76</v>
      </c>
      <c r="D2387" t="s">
        <v>31</v>
      </c>
      <c r="E2387">
        <v>3</v>
      </c>
      <c r="F2387" s="2">
        <v>69.989999999999995</v>
      </c>
      <c r="G2387">
        <v>15</v>
      </c>
      <c r="H2387" s="2">
        <v>59.49</v>
      </c>
      <c r="I2387" s="2">
        <v>178.47</v>
      </c>
      <c r="J2387" t="s">
        <v>19</v>
      </c>
      <c r="K2387" t="s">
        <v>20</v>
      </c>
      <c r="L2387" t="s">
        <v>21</v>
      </c>
      <c r="M2387" t="s">
        <v>58</v>
      </c>
      <c r="N2387" t="s">
        <v>59</v>
      </c>
      <c r="O2387" t="s">
        <v>24</v>
      </c>
      <c r="P2387">
        <v>5</v>
      </c>
      <c r="Q2387" s="2">
        <f>Ventas[[#This Row],[precio_base]]*Ventas[[#This Row],[cantidad]]</f>
        <v>209.96999999999997</v>
      </c>
      <c r="R2387" s="2">
        <f>Ventas[[#This Row],[Total bruto (antes de descuento)]]-Ventas[[#This Row],[total_venta]]</f>
        <v>31.499999999999972</v>
      </c>
    </row>
    <row r="2388" spans="1:18" x14ac:dyDescent="0.25">
      <c r="A2388" t="s">
        <v>2481</v>
      </c>
      <c r="B2388" s="1">
        <v>45124</v>
      </c>
      <c r="C2388" t="s">
        <v>94</v>
      </c>
      <c r="D2388" t="s">
        <v>18</v>
      </c>
      <c r="E2388">
        <v>5</v>
      </c>
      <c r="F2388" s="2">
        <v>899.99</v>
      </c>
      <c r="G2388">
        <v>20</v>
      </c>
      <c r="H2388" s="2">
        <v>719.99</v>
      </c>
      <c r="I2388" s="2">
        <v>3599.95</v>
      </c>
      <c r="J2388" t="s">
        <v>19</v>
      </c>
      <c r="K2388" t="s">
        <v>44</v>
      </c>
      <c r="L2388" t="s">
        <v>152</v>
      </c>
      <c r="M2388" t="s">
        <v>46</v>
      </c>
      <c r="N2388" t="s">
        <v>47</v>
      </c>
      <c r="O2388" t="s">
        <v>48</v>
      </c>
      <c r="P2388">
        <v>1</v>
      </c>
      <c r="Q2388" s="2">
        <f>Ventas[[#This Row],[precio_base]]*Ventas[[#This Row],[cantidad]]</f>
        <v>4499.95</v>
      </c>
      <c r="R2388" s="2">
        <f>Ventas[[#This Row],[Total bruto (antes de descuento)]]-Ventas[[#This Row],[total_venta]]</f>
        <v>900</v>
      </c>
    </row>
    <row r="2389" spans="1:18" x14ac:dyDescent="0.25">
      <c r="A2389" t="s">
        <v>2482</v>
      </c>
      <c r="B2389" s="1">
        <v>45142</v>
      </c>
      <c r="C2389" t="s">
        <v>81</v>
      </c>
      <c r="D2389" t="s">
        <v>31</v>
      </c>
      <c r="E2389">
        <v>5</v>
      </c>
      <c r="F2389" s="2">
        <v>189.99</v>
      </c>
      <c r="G2389">
        <v>5</v>
      </c>
      <c r="H2389" s="2">
        <v>180.49</v>
      </c>
      <c r="I2389" s="2">
        <v>902.45</v>
      </c>
      <c r="J2389" t="s">
        <v>19</v>
      </c>
      <c r="K2389" t="s">
        <v>20</v>
      </c>
      <c r="L2389" t="s">
        <v>21</v>
      </c>
      <c r="M2389" t="s">
        <v>95</v>
      </c>
      <c r="N2389" t="s">
        <v>96</v>
      </c>
      <c r="O2389" t="s">
        <v>48</v>
      </c>
      <c r="P2389">
        <v>2</v>
      </c>
      <c r="Q2389" s="2">
        <f>Ventas[[#This Row],[precio_base]]*Ventas[[#This Row],[cantidad]]</f>
        <v>949.95</v>
      </c>
      <c r="R2389" s="2">
        <f>Ventas[[#This Row],[Total bruto (antes de descuento)]]-Ventas[[#This Row],[total_venta]]</f>
        <v>47.5</v>
      </c>
    </row>
    <row r="2390" spans="1:18" x14ac:dyDescent="0.25">
      <c r="A2390" t="s">
        <v>2483</v>
      </c>
      <c r="B2390" s="1">
        <v>45082</v>
      </c>
      <c r="C2390" t="s">
        <v>17</v>
      </c>
      <c r="D2390" t="s">
        <v>18</v>
      </c>
      <c r="E2390">
        <v>2</v>
      </c>
      <c r="F2390" s="2">
        <v>45.99</v>
      </c>
      <c r="G2390">
        <v>0</v>
      </c>
      <c r="H2390" s="2">
        <v>45.99</v>
      </c>
      <c r="I2390" s="2">
        <v>91.98</v>
      </c>
      <c r="J2390" t="s">
        <v>19</v>
      </c>
      <c r="K2390" t="s">
        <v>52</v>
      </c>
      <c r="L2390" t="s">
        <v>152</v>
      </c>
      <c r="M2390" t="s">
        <v>73</v>
      </c>
      <c r="N2390" t="s">
        <v>74</v>
      </c>
      <c r="O2390" t="s">
        <v>35</v>
      </c>
      <c r="P2390">
        <v>4</v>
      </c>
      <c r="Q2390" s="2">
        <f>Ventas[[#This Row],[precio_base]]*Ventas[[#This Row],[cantidad]]</f>
        <v>91.98</v>
      </c>
      <c r="R2390" s="2">
        <f>Ventas[[#This Row],[Total bruto (antes de descuento)]]-Ventas[[#This Row],[total_venta]]</f>
        <v>0</v>
      </c>
    </row>
    <row r="2391" spans="1:18" x14ac:dyDescent="0.25">
      <c r="A2391" t="s">
        <v>2484</v>
      </c>
      <c r="B2391" s="1">
        <v>45404</v>
      </c>
      <c r="C2391" t="s">
        <v>98</v>
      </c>
      <c r="D2391" t="s">
        <v>31</v>
      </c>
      <c r="E2391">
        <v>2</v>
      </c>
      <c r="F2391" s="2">
        <v>99.99</v>
      </c>
      <c r="G2391">
        <v>0</v>
      </c>
      <c r="H2391" s="2">
        <v>99.99</v>
      </c>
      <c r="I2391" s="2">
        <v>199.98</v>
      </c>
      <c r="J2391" t="s">
        <v>19</v>
      </c>
      <c r="K2391" t="s">
        <v>44</v>
      </c>
      <c r="L2391" t="s">
        <v>21</v>
      </c>
      <c r="M2391" t="s">
        <v>39</v>
      </c>
      <c r="N2391" t="s">
        <v>40</v>
      </c>
      <c r="O2391" t="s">
        <v>35</v>
      </c>
      <c r="P2391">
        <v>1</v>
      </c>
      <c r="Q2391" s="2">
        <f>Ventas[[#This Row],[precio_base]]*Ventas[[#This Row],[cantidad]]</f>
        <v>199.98</v>
      </c>
      <c r="R2391" s="2">
        <f>Ventas[[#This Row],[Total bruto (antes de descuento)]]-Ventas[[#This Row],[total_venta]]</f>
        <v>0</v>
      </c>
    </row>
    <row r="2392" spans="1:18" x14ac:dyDescent="0.25">
      <c r="A2392" t="s">
        <v>2485</v>
      </c>
      <c r="B2392" s="1">
        <v>45318</v>
      </c>
      <c r="C2392" t="s">
        <v>109</v>
      </c>
      <c r="D2392" t="s">
        <v>38</v>
      </c>
      <c r="E2392">
        <v>1</v>
      </c>
      <c r="F2392" s="2">
        <v>39.99</v>
      </c>
      <c r="G2392">
        <v>0</v>
      </c>
      <c r="H2392" s="2">
        <v>39.99</v>
      </c>
      <c r="I2392" s="2">
        <v>39.99</v>
      </c>
      <c r="J2392" t="s">
        <v>90</v>
      </c>
      <c r="K2392" t="s">
        <v>20</v>
      </c>
      <c r="L2392" t="s">
        <v>28</v>
      </c>
      <c r="M2392" t="s">
        <v>46</v>
      </c>
      <c r="N2392" t="s">
        <v>47</v>
      </c>
      <c r="O2392" t="s">
        <v>48</v>
      </c>
      <c r="Q2392" s="2">
        <f>Ventas[[#This Row],[precio_base]]*Ventas[[#This Row],[cantidad]]</f>
        <v>39.99</v>
      </c>
      <c r="R2392" s="2">
        <f>Ventas[[#This Row],[Total bruto (antes de descuento)]]-Ventas[[#This Row],[total_venta]]</f>
        <v>0</v>
      </c>
    </row>
    <row r="2393" spans="1:18" x14ac:dyDescent="0.25">
      <c r="A2393" t="s">
        <v>2486</v>
      </c>
      <c r="B2393" s="1">
        <v>45384</v>
      </c>
      <c r="C2393" t="s">
        <v>78</v>
      </c>
      <c r="D2393" t="s">
        <v>18</v>
      </c>
      <c r="E2393">
        <v>3</v>
      </c>
      <c r="F2393" s="2">
        <v>349.99</v>
      </c>
      <c r="G2393">
        <v>15</v>
      </c>
      <c r="H2393" s="2">
        <v>297.49</v>
      </c>
      <c r="I2393" s="2">
        <v>892.47</v>
      </c>
      <c r="J2393" t="s">
        <v>51</v>
      </c>
      <c r="K2393" t="s">
        <v>52</v>
      </c>
      <c r="L2393" t="s">
        <v>152</v>
      </c>
      <c r="M2393" t="s">
        <v>65</v>
      </c>
      <c r="N2393" t="s">
        <v>54</v>
      </c>
      <c r="O2393" t="s">
        <v>35</v>
      </c>
      <c r="Q2393" s="2">
        <f>Ventas[[#This Row],[precio_base]]*Ventas[[#This Row],[cantidad]]</f>
        <v>1049.97</v>
      </c>
      <c r="R2393" s="2">
        <f>Ventas[[#This Row],[Total bruto (antes de descuento)]]-Ventas[[#This Row],[total_venta]]</f>
        <v>157.5</v>
      </c>
    </row>
    <row r="2394" spans="1:18" x14ac:dyDescent="0.25">
      <c r="A2394" t="s">
        <v>2487</v>
      </c>
      <c r="B2394" s="1">
        <v>45129</v>
      </c>
      <c r="C2394" t="s">
        <v>122</v>
      </c>
      <c r="D2394" t="s">
        <v>43</v>
      </c>
      <c r="E2394">
        <v>5</v>
      </c>
      <c r="F2394" s="2">
        <v>44.99</v>
      </c>
      <c r="G2394">
        <v>15</v>
      </c>
      <c r="H2394" s="2">
        <v>38.24</v>
      </c>
      <c r="I2394" s="2">
        <v>191.2</v>
      </c>
      <c r="J2394" t="s">
        <v>51</v>
      </c>
      <c r="K2394" t="s">
        <v>20</v>
      </c>
      <c r="L2394" t="s">
        <v>21</v>
      </c>
      <c r="M2394" t="s">
        <v>46</v>
      </c>
      <c r="N2394" t="s">
        <v>47</v>
      </c>
      <c r="O2394" t="s">
        <v>48</v>
      </c>
      <c r="Q2394" s="2">
        <f>Ventas[[#This Row],[precio_base]]*Ventas[[#This Row],[cantidad]]</f>
        <v>224.95000000000002</v>
      </c>
      <c r="R2394" s="2">
        <f>Ventas[[#This Row],[Total bruto (antes de descuento)]]-Ventas[[#This Row],[total_venta]]</f>
        <v>33.750000000000028</v>
      </c>
    </row>
    <row r="2395" spans="1:18" x14ac:dyDescent="0.25">
      <c r="A2395" t="s">
        <v>2488</v>
      </c>
      <c r="B2395" s="1">
        <v>45316</v>
      </c>
      <c r="C2395" t="s">
        <v>141</v>
      </c>
      <c r="D2395" t="s">
        <v>38</v>
      </c>
      <c r="E2395">
        <v>2</v>
      </c>
      <c r="F2395" s="2">
        <v>89.99</v>
      </c>
      <c r="G2395">
        <v>10</v>
      </c>
      <c r="H2395" s="2">
        <v>80.989999999999995</v>
      </c>
      <c r="I2395" s="2">
        <v>161.97999999999999</v>
      </c>
      <c r="J2395" t="s">
        <v>19</v>
      </c>
      <c r="K2395" t="s">
        <v>44</v>
      </c>
      <c r="L2395" t="s">
        <v>32</v>
      </c>
      <c r="M2395" t="s">
        <v>63</v>
      </c>
      <c r="N2395" t="s">
        <v>34</v>
      </c>
      <c r="O2395" t="s">
        <v>24</v>
      </c>
      <c r="P2395">
        <v>3</v>
      </c>
      <c r="Q2395" s="2">
        <f>Ventas[[#This Row],[precio_base]]*Ventas[[#This Row],[cantidad]]</f>
        <v>179.98</v>
      </c>
      <c r="R2395" s="2">
        <f>Ventas[[#This Row],[Total bruto (antes de descuento)]]-Ventas[[#This Row],[total_venta]]</f>
        <v>18</v>
      </c>
    </row>
    <row r="2396" spans="1:18" x14ac:dyDescent="0.25">
      <c r="A2396" t="s">
        <v>2489</v>
      </c>
      <c r="B2396" s="1">
        <v>45460</v>
      </c>
      <c r="C2396" t="s">
        <v>17</v>
      </c>
      <c r="D2396" t="s">
        <v>18</v>
      </c>
      <c r="E2396">
        <v>2</v>
      </c>
      <c r="F2396" s="2">
        <v>45.99</v>
      </c>
      <c r="G2396">
        <v>20</v>
      </c>
      <c r="H2396" s="2">
        <v>36.79</v>
      </c>
      <c r="I2396" s="2">
        <v>73.58</v>
      </c>
      <c r="J2396" t="s">
        <v>51</v>
      </c>
      <c r="K2396" t="s">
        <v>20</v>
      </c>
      <c r="L2396" t="s">
        <v>21</v>
      </c>
      <c r="M2396" t="s">
        <v>63</v>
      </c>
      <c r="N2396" t="s">
        <v>34</v>
      </c>
      <c r="O2396" t="s">
        <v>24</v>
      </c>
      <c r="Q2396" s="2">
        <f>Ventas[[#This Row],[precio_base]]*Ventas[[#This Row],[cantidad]]</f>
        <v>91.98</v>
      </c>
      <c r="R2396" s="2">
        <f>Ventas[[#This Row],[Total bruto (antes de descuento)]]-Ventas[[#This Row],[total_venta]]</f>
        <v>18.400000000000006</v>
      </c>
    </row>
    <row r="2397" spans="1:18" x14ac:dyDescent="0.25">
      <c r="A2397" t="s">
        <v>2490</v>
      </c>
      <c r="B2397" s="1">
        <v>45498</v>
      </c>
      <c r="C2397" t="s">
        <v>81</v>
      </c>
      <c r="D2397" t="s">
        <v>31</v>
      </c>
      <c r="E2397">
        <v>4</v>
      </c>
      <c r="F2397" s="2">
        <v>189.99</v>
      </c>
      <c r="G2397">
        <v>15</v>
      </c>
      <c r="H2397" s="2">
        <v>161.49</v>
      </c>
      <c r="I2397" s="2">
        <v>645.96</v>
      </c>
      <c r="J2397" t="s">
        <v>19</v>
      </c>
      <c r="K2397" t="s">
        <v>20</v>
      </c>
      <c r="L2397" t="s">
        <v>21</v>
      </c>
      <c r="M2397" t="s">
        <v>53</v>
      </c>
      <c r="N2397" t="s">
        <v>54</v>
      </c>
      <c r="O2397" t="s">
        <v>35</v>
      </c>
      <c r="P2397">
        <v>3</v>
      </c>
      <c r="Q2397" s="2">
        <f>Ventas[[#This Row],[precio_base]]*Ventas[[#This Row],[cantidad]]</f>
        <v>759.96</v>
      </c>
      <c r="R2397" s="2">
        <f>Ventas[[#This Row],[Total bruto (antes de descuento)]]-Ventas[[#This Row],[total_venta]]</f>
        <v>114</v>
      </c>
    </row>
    <row r="2398" spans="1:18" x14ac:dyDescent="0.25">
      <c r="A2398" t="s">
        <v>2491</v>
      </c>
      <c r="B2398" s="1">
        <v>45064</v>
      </c>
      <c r="C2398" t="s">
        <v>78</v>
      </c>
      <c r="D2398" t="s">
        <v>18</v>
      </c>
      <c r="E2398">
        <v>5</v>
      </c>
      <c r="F2398" s="2">
        <v>349.99</v>
      </c>
      <c r="G2398">
        <v>0</v>
      </c>
      <c r="H2398" s="2">
        <v>349.99</v>
      </c>
      <c r="I2398" s="2">
        <v>1749.95</v>
      </c>
      <c r="J2398" t="s">
        <v>19</v>
      </c>
      <c r="K2398" t="s">
        <v>52</v>
      </c>
      <c r="L2398" t="s">
        <v>45</v>
      </c>
      <c r="M2398" t="s">
        <v>46</v>
      </c>
      <c r="N2398" t="s">
        <v>47</v>
      </c>
      <c r="O2398" t="s">
        <v>48</v>
      </c>
      <c r="P2398">
        <v>3</v>
      </c>
      <c r="Q2398" s="2">
        <f>Ventas[[#This Row],[precio_base]]*Ventas[[#This Row],[cantidad]]</f>
        <v>1749.95</v>
      </c>
      <c r="R2398" s="2">
        <f>Ventas[[#This Row],[Total bruto (antes de descuento)]]-Ventas[[#This Row],[total_venta]]</f>
        <v>0</v>
      </c>
    </row>
    <row r="2399" spans="1:18" x14ac:dyDescent="0.25">
      <c r="A2399" t="s">
        <v>2492</v>
      </c>
      <c r="B2399" s="1">
        <v>45285</v>
      </c>
      <c r="C2399" t="s">
        <v>76</v>
      </c>
      <c r="D2399" t="s">
        <v>31</v>
      </c>
      <c r="E2399">
        <v>4</v>
      </c>
      <c r="F2399" s="2">
        <v>69.989999999999995</v>
      </c>
      <c r="G2399">
        <v>20</v>
      </c>
      <c r="H2399" s="2">
        <v>55.99</v>
      </c>
      <c r="I2399" s="2">
        <v>223.96</v>
      </c>
      <c r="J2399" t="s">
        <v>51</v>
      </c>
      <c r="K2399" t="s">
        <v>44</v>
      </c>
      <c r="L2399" t="s">
        <v>28</v>
      </c>
      <c r="M2399" t="s">
        <v>39</v>
      </c>
      <c r="N2399" t="s">
        <v>40</v>
      </c>
      <c r="O2399" t="s">
        <v>35</v>
      </c>
      <c r="Q2399" s="2">
        <f>Ventas[[#This Row],[precio_base]]*Ventas[[#This Row],[cantidad]]</f>
        <v>279.95999999999998</v>
      </c>
      <c r="R2399" s="2">
        <f>Ventas[[#This Row],[Total bruto (antes de descuento)]]-Ventas[[#This Row],[total_venta]]</f>
        <v>55.999999999999972</v>
      </c>
    </row>
    <row r="2400" spans="1:18" x14ac:dyDescent="0.25">
      <c r="A2400" t="s">
        <v>2493</v>
      </c>
      <c r="B2400" s="1">
        <v>45146</v>
      </c>
      <c r="C2400" t="s">
        <v>30</v>
      </c>
      <c r="D2400" t="s">
        <v>31</v>
      </c>
      <c r="E2400">
        <v>5</v>
      </c>
      <c r="F2400" s="2">
        <v>299.99</v>
      </c>
      <c r="G2400">
        <v>10</v>
      </c>
      <c r="H2400" s="2">
        <v>269.99</v>
      </c>
      <c r="I2400" s="2">
        <v>1349.95</v>
      </c>
      <c r="J2400" t="s">
        <v>19</v>
      </c>
      <c r="K2400" t="s">
        <v>44</v>
      </c>
      <c r="L2400" t="s">
        <v>45</v>
      </c>
      <c r="M2400" t="s">
        <v>39</v>
      </c>
      <c r="N2400" t="s">
        <v>40</v>
      </c>
      <c r="O2400" t="s">
        <v>35</v>
      </c>
      <c r="P2400">
        <v>1</v>
      </c>
      <c r="Q2400" s="2">
        <f>Ventas[[#This Row],[precio_base]]*Ventas[[#This Row],[cantidad]]</f>
        <v>1499.95</v>
      </c>
      <c r="R2400" s="2">
        <f>Ventas[[#This Row],[Total bruto (antes de descuento)]]-Ventas[[#This Row],[total_venta]]</f>
        <v>150</v>
      </c>
    </row>
    <row r="2401" spans="1:18" x14ac:dyDescent="0.25">
      <c r="A2401" t="s">
        <v>2494</v>
      </c>
      <c r="B2401" s="1">
        <v>45026</v>
      </c>
      <c r="C2401" t="s">
        <v>163</v>
      </c>
      <c r="D2401" t="s">
        <v>18</v>
      </c>
      <c r="E2401">
        <v>4</v>
      </c>
      <c r="F2401" s="2">
        <v>499.99</v>
      </c>
      <c r="G2401">
        <v>0</v>
      </c>
      <c r="H2401" s="2">
        <v>499.99</v>
      </c>
      <c r="I2401" s="2">
        <v>1999.96</v>
      </c>
      <c r="J2401" t="s">
        <v>19</v>
      </c>
      <c r="K2401" t="s">
        <v>20</v>
      </c>
      <c r="L2401" t="s">
        <v>45</v>
      </c>
      <c r="M2401" t="s">
        <v>22</v>
      </c>
      <c r="N2401" t="s">
        <v>23</v>
      </c>
      <c r="O2401" t="s">
        <v>24</v>
      </c>
      <c r="P2401">
        <v>3</v>
      </c>
      <c r="Q2401" s="2">
        <f>Ventas[[#This Row],[precio_base]]*Ventas[[#This Row],[cantidad]]</f>
        <v>1999.96</v>
      </c>
      <c r="R2401" s="2">
        <f>Ventas[[#This Row],[Total bruto (antes de descuento)]]-Ventas[[#This Row],[total_venta]]</f>
        <v>0</v>
      </c>
    </row>
    <row r="2402" spans="1:18" x14ac:dyDescent="0.25">
      <c r="A2402" t="s">
        <v>2495</v>
      </c>
      <c r="B2402" s="1">
        <v>45479</v>
      </c>
      <c r="C2402" t="s">
        <v>89</v>
      </c>
      <c r="D2402" t="s">
        <v>38</v>
      </c>
      <c r="E2402">
        <v>4</v>
      </c>
      <c r="F2402" s="2">
        <v>69.989999999999995</v>
      </c>
      <c r="G2402">
        <v>0</v>
      </c>
      <c r="H2402" s="2">
        <v>69.989999999999995</v>
      </c>
      <c r="I2402" s="2">
        <v>279.95999999999998</v>
      </c>
      <c r="J2402" t="s">
        <v>51</v>
      </c>
      <c r="K2402" t="s">
        <v>20</v>
      </c>
      <c r="L2402" t="s">
        <v>21</v>
      </c>
      <c r="M2402" t="s">
        <v>63</v>
      </c>
      <c r="N2402" t="s">
        <v>34</v>
      </c>
      <c r="O2402" t="s">
        <v>24</v>
      </c>
      <c r="Q2402" s="2">
        <f>Ventas[[#This Row],[precio_base]]*Ventas[[#This Row],[cantidad]]</f>
        <v>279.95999999999998</v>
      </c>
      <c r="R2402" s="2">
        <f>Ventas[[#This Row],[Total bruto (antes de descuento)]]-Ventas[[#This Row],[total_venta]]</f>
        <v>0</v>
      </c>
    </row>
    <row r="2403" spans="1:18" x14ac:dyDescent="0.25">
      <c r="A2403" t="s">
        <v>2496</v>
      </c>
      <c r="B2403" s="1">
        <v>45003</v>
      </c>
      <c r="C2403" t="s">
        <v>130</v>
      </c>
      <c r="D2403" t="s">
        <v>43</v>
      </c>
      <c r="E2403">
        <v>2</v>
      </c>
      <c r="F2403" s="2">
        <v>24.99</v>
      </c>
      <c r="G2403">
        <v>0</v>
      </c>
      <c r="H2403" s="2">
        <v>24.99</v>
      </c>
      <c r="I2403" s="2">
        <v>49.98</v>
      </c>
      <c r="J2403" t="s">
        <v>19</v>
      </c>
      <c r="K2403" t="s">
        <v>52</v>
      </c>
      <c r="L2403" t="s">
        <v>45</v>
      </c>
      <c r="M2403" t="s">
        <v>101</v>
      </c>
      <c r="N2403" t="s">
        <v>102</v>
      </c>
      <c r="O2403" t="s">
        <v>35</v>
      </c>
      <c r="P2403">
        <v>3</v>
      </c>
      <c r="Q2403" s="2">
        <f>Ventas[[#This Row],[precio_base]]*Ventas[[#This Row],[cantidad]]</f>
        <v>49.98</v>
      </c>
      <c r="R2403" s="2">
        <f>Ventas[[#This Row],[Total bruto (antes de descuento)]]-Ventas[[#This Row],[total_venta]]</f>
        <v>0</v>
      </c>
    </row>
    <row r="2404" spans="1:18" x14ac:dyDescent="0.25">
      <c r="A2404" t="s">
        <v>2497</v>
      </c>
      <c r="B2404" s="1">
        <v>45555</v>
      </c>
      <c r="C2404" t="s">
        <v>205</v>
      </c>
      <c r="D2404" t="s">
        <v>18</v>
      </c>
      <c r="E2404">
        <v>4</v>
      </c>
      <c r="F2404" s="2">
        <v>129.99</v>
      </c>
      <c r="G2404">
        <v>0</v>
      </c>
      <c r="H2404" s="2">
        <v>129.99</v>
      </c>
      <c r="I2404" s="2">
        <v>519.96</v>
      </c>
      <c r="J2404" t="s">
        <v>19</v>
      </c>
      <c r="K2404" t="s">
        <v>20</v>
      </c>
      <c r="L2404" t="s">
        <v>45</v>
      </c>
      <c r="M2404" t="s">
        <v>58</v>
      </c>
      <c r="N2404" t="s">
        <v>59</v>
      </c>
      <c r="O2404" t="s">
        <v>24</v>
      </c>
      <c r="P2404">
        <v>1</v>
      </c>
      <c r="Q2404" s="2">
        <f>Ventas[[#This Row],[precio_base]]*Ventas[[#This Row],[cantidad]]</f>
        <v>519.96</v>
      </c>
      <c r="R2404" s="2">
        <f>Ventas[[#This Row],[Total bruto (antes de descuento)]]-Ventas[[#This Row],[total_venta]]</f>
        <v>0</v>
      </c>
    </row>
    <row r="2405" spans="1:18" x14ac:dyDescent="0.25">
      <c r="A2405" t="s">
        <v>2498</v>
      </c>
      <c r="B2405" s="1">
        <v>45380</v>
      </c>
      <c r="C2405" t="s">
        <v>76</v>
      </c>
      <c r="D2405" t="s">
        <v>31</v>
      </c>
      <c r="E2405">
        <v>1</v>
      </c>
      <c r="F2405" s="2">
        <v>69.989999999999995</v>
      </c>
      <c r="G2405">
        <v>5</v>
      </c>
      <c r="H2405" s="2">
        <v>66.489999999999995</v>
      </c>
      <c r="I2405" s="2">
        <v>66.489999999999995</v>
      </c>
      <c r="J2405" t="s">
        <v>19</v>
      </c>
      <c r="K2405" t="s">
        <v>20</v>
      </c>
      <c r="L2405" t="s">
        <v>21</v>
      </c>
      <c r="M2405" t="s">
        <v>33</v>
      </c>
      <c r="N2405" t="s">
        <v>34</v>
      </c>
      <c r="O2405" t="s">
        <v>35</v>
      </c>
      <c r="P2405">
        <v>2</v>
      </c>
      <c r="Q2405" s="2">
        <f>Ventas[[#This Row],[precio_base]]*Ventas[[#This Row],[cantidad]]</f>
        <v>69.989999999999995</v>
      </c>
      <c r="R2405" s="2">
        <f>Ventas[[#This Row],[Total bruto (antes de descuento)]]-Ventas[[#This Row],[total_venta]]</f>
        <v>3.5</v>
      </c>
    </row>
    <row r="2406" spans="1:18" x14ac:dyDescent="0.25">
      <c r="A2406" t="s">
        <v>2499</v>
      </c>
      <c r="B2406" s="1">
        <v>45215</v>
      </c>
      <c r="C2406" t="s">
        <v>87</v>
      </c>
      <c r="D2406" t="s">
        <v>27</v>
      </c>
      <c r="E2406">
        <v>1</v>
      </c>
      <c r="F2406" s="2">
        <v>249.99</v>
      </c>
      <c r="G2406">
        <v>0</v>
      </c>
      <c r="H2406" s="2">
        <v>249.99</v>
      </c>
      <c r="I2406" s="2">
        <v>249.99</v>
      </c>
      <c r="J2406" t="s">
        <v>19</v>
      </c>
      <c r="K2406" t="s">
        <v>20</v>
      </c>
      <c r="L2406" t="s">
        <v>32</v>
      </c>
      <c r="M2406" t="s">
        <v>67</v>
      </c>
      <c r="N2406" t="s">
        <v>68</v>
      </c>
      <c r="O2406" t="s">
        <v>35</v>
      </c>
      <c r="P2406">
        <v>1</v>
      </c>
      <c r="Q2406" s="2">
        <f>Ventas[[#This Row],[precio_base]]*Ventas[[#This Row],[cantidad]]</f>
        <v>249.99</v>
      </c>
      <c r="R2406" s="2">
        <f>Ventas[[#This Row],[Total bruto (antes de descuento)]]-Ventas[[#This Row],[total_venta]]</f>
        <v>0</v>
      </c>
    </row>
    <row r="2407" spans="1:18" x14ac:dyDescent="0.25">
      <c r="A2407" t="s">
        <v>2500</v>
      </c>
      <c r="B2407" s="1">
        <v>45154</v>
      </c>
      <c r="C2407" t="s">
        <v>30</v>
      </c>
      <c r="D2407" t="s">
        <v>31</v>
      </c>
      <c r="E2407">
        <v>3</v>
      </c>
      <c r="F2407" s="2">
        <v>299.99</v>
      </c>
      <c r="G2407">
        <v>0</v>
      </c>
      <c r="H2407" s="2">
        <v>299.99</v>
      </c>
      <c r="I2407" s="2">
        <v>899.97</v>
      </c>
      <c r="J2407" t="s">
        <v>19</v>
      </c>
      <c r="K2407" t="s">
        <v>20</v>
      </c>
      <c r="L2407" t="s">
        <v>45</v>
      </c>
      <c r="M2407" t="s">
        <v>95</v>
      </c>
      <c r="N2407" t="s">
        <v>96</v>
      </c>
      <c r="O2407" t="s">
        <v>48</v>
      </c>
      <c r="P2407">
        <v>4</v>
      </c>
      <c r="Q2407" s="2">
        <f>Ventas[[#This Row],[precio_base]]*Ventas[[#This Row],[cantidad]]</f>
        <v>899.97</v>
      </c>
      <c r="R2407" s="2">
        <f>Ventas[[#This Row],[Total bruto (antes de descuento)]]-Ventas[[#This Row],[total_venta]]</f>
        <v>0</v>
      </c>
    </row>
    <row r="2408" spans="1:18" x14ac:dyDescent="0.25">
      <c r="A2408" t="s">
        <v>2501</v>
      </c>
      <c r="B2408" s="1">
        <v>45435</v>
      </c>
      <c r="C2408" t="s">
        <v>26</v>
      </c>
      <c r="D2408" t="s">
        <v>27</v>
      </c>
      <c r="E2408">
        <v>4</v>
      </c>
      <c r="F2408" s="2">
        <v>399.99</v>
      </c>
      <c r="G2408">
        <v>0</v>
      </c>
      <c r="H2408" s="2">
        <v>399.99</v>
      </c>
      <c r="I2408" s="2">
        <v>1599.96</v>
      </c>
      <c r="J2408" t="s">
        <v>19</v>
      </c>
      <c r="K2408" t="s">
        <v>20</v>
      </c>
      <c r="L2408" t="s">
        <v>21</v>
      </c>
      <c r="M2408" t="s">
        <v>39</v>
      </c>
      <c r="N2408" t="s">
        <v>40</v>
      </c>
      <c r="O2408" t="s">
        <v>35</v>
      </c>
      <c r="P2408">
        <v>4</v>
      </c>
      <c r="Q2408" s="2">
        <f>Ventas[[#This Row],[precio_base]]*Ventas[[#This Row],[cantidad]]</f>
        <v>1599.96</v>
      </c>
      <c r="R2408" s="2">
        <f>Ventas[[#This Row],[Total bruto (antes de descuento)]]-Ventas[[#This Row],[total_venta]]</f>
        <v>0</v>
      </c>
    </row>
    <row r="2409" spans="1:18" x14ac:dyDescent="0.25">
      <c r="A2409" t="s">
        <v>2502</v>
      </c>
      <c r="B2409" s="1">
        <v>45531</v>
      </c>
      <c r="C2409" t="s">
        <v>81</v>
      </c>
      <c r="D2409" t="s">
        <v>31</v>
      </c>
      <c r="E2409">
        <v>3</v>
      </c>
      <c r="F2409" s="2">
        <v>189.99</v>
      </c>
      <c r="G2409">
        <v>0</v>
      </c>
      <c r="H2409" s="2">
        <v>189.99</v>
      </c>
      <c r="I2409" s="2">
        <v>569.97</v>
      </c>
      <c r="J2409" t="s">
        <v>19</v>
      </c>
      <c r="K2409" t="s">
        <v>20</v>
      </c>
      <c r="L2409" t="s">
        <v>21</v>
      </c>
      <c r="M2409" t="s">
        <v>67</v>
      </c>
      <c r="N2409" t="s">
        <v>68</v>
      </c>
      <c r="O2409" t="s">
        <v>35</v>
      </c>
      <c r="P2409">
        <v>4</v>
      </c>
      <c r="Q2409" s="2">
        <f>Ventas[[#This Row],[precio_base]]*Ventas[[#This Row],[cantidad]]</f>
        <v>569.97</v>
      </c>
      <c r="R2409" s="2">
        <f>Ventas[[#This Row],[Total bruto (antes de descuento)]]-Ventas[[#This Row],[total_venta]]</f>
        <v>0</v>
      </c>
    </row>
    <row r="2410" spans="1:18" x14ac:dyDescent="0.25">
      <c r="A2410" t="s">
        <v>2503</v>
      </c>
      <c r="B2410" s="1">
        <v>45035</v>
      </c>
      <c r="C2410" t="s">
        <v>78</v>
      </c>
      <c r="D2410" t="s">
        <v>18</v>
      </c>
      <c r="E2410">
        <v>3</v>
      </c>
      <c r="F2410" s="2">
        <v>349.99</v>
      </c>
      <c r="G2410">
        <v>5</v>
      </c>
      <c r="H2410" s="2">
        <v>332.49</v>
      </c>
      <c r="I2410" s="2">
        <v>997.47</v>
      </c>
      <c r="J2410" t="s">
        <v>19</v>
      </c>
      <c r="K2410" t="s">
        <v>20</v>
      </c>
      <c r="L2410" t="s">
        <v>21</v>
      </c>
      <c r="M2410" t="s">
        <v>95</v>
      </c>
      <c r="N2410" t="s">
        <v>96</v>
      </c>
      <c r="O2410" t="s">
        <v>48</v>
      </c>
      <c r="P2410">
        <v>1</v>
      </c>
      <c r="Q2410" s="2">
        <f>Ventas[[#This Row],[precio_base]]*Ventas[[#This Row],[cantidad]]</f>
        <v>1049.97</v>
      </c>
      <c r="R2410" s="2">
        <f>Ventas[[#This Row],[Total bruto (antes de descuento)]]-Ventas[[#This Row],[total_venta]]</f>
        <v>52.5</v>
      </c>
    </row>
    <row r="2411" spans="1:18" x14ac:dyDescent="0.25">
      <c r="A2411" t="s">
        <v>2504</v>
      </c>
      <c r="B2411" s="1">
        <v>45453</v>
      </c>
      <c r="C2411" t="s">
        <v>17</v>
      </c>
      <c r="D2411" t="s">
        <v>18</v>
      </c>
      <c r="E2411">
        <v>1</v>
      </c>
      <c r="F2411" s="2">
        <v>45.99</v>
      </c>
      <c r="G2411">
        <v>0</v>
      </c>
      <c r="H2411" s="2">
        <v>45.99</v>
      </c>
      <c r="I2411" s="2">
        <v>45.99</v>
      </c>
      <c r="J2411" t="s">
        <v>19</v>
      </c>
      <c r="K2411" t="s">
        <v>44</v>
      </c>
      <c r="L2411" t="s">
        <v>45</v>
      </c>
      <c r="M2411" t="s">
        <v>53</v>
      </c>
      <c r="N2411" t="s">
        <v>54</v>
      </c>
      <c r="O2411" t="s">
        <v>35</v>
      </c>
      <c r="P2411">
        <v>2</v>
      </c>
      <c r="Q2411" s="2">
        <f>Ventas[[#This Row],[precio_base]]*Ventas[[#This Row],[cantidad]]</f>
        <v>45.99</v>
      </c>
      <c r="R2411" s="2">
        <f>Ventas[[#This Row],[Total bruto (antes de descuento)]]-Ventas[[#This Row],[total_venta]]</f>
        <v>0</v>
      </c>
    </row>
    <row r="2412" spans="1:18" x14ac:dyDescent="0.25">
      <c r="A2412" t="s">
        <v>2505</v>
      </c>
      <c r="B2412" s="1">
        <v>45029</v>
      </c>
      <c r="C2412" t="s">
        <v>151</v>
      </c>
      <c r="D2412" t="s">
        <v>27</v>
      </c>
      <c r="E2412">
        <v>4</v>
      </c>
      <c r="F2412" s="2">
        <v>599.99</v>
      </c>
      <c r="G2412">
        <v>0</v>
      </c>
      <c r="H2412" s="2">
        <v>599.99</v>
      </c>
      <c r="I2412" s="2">
        <v>2399.96</v>
      </c>
      <c r="J2412" t="s">
        <v>51</v>
      </c>
      <c r="K2412" t="s">
        <v>44</v>
      </c>
      <c r="L2412" t="s">
        <v>45</v>
      </c>
      <c r="M2412" t="s">
        <v>95</v>
      </c>
      <c r="N2412" t="s">
        <v>96</v>
      </c>
      <c r="O2412" t="s">
        <v>48</v>
      </c>
      <c r="Q2412" s="2">
        <f>Ventas[[#This Row],[precio_base]]*Ventas[[#This Row],[cantidad]]</f>
        <v>2399.96</v>
      </c>
      <c r="R2412" s="2">
        <f>Ventas[[#This Row],[Total bruto (antes de descuento)]]-Ventas[[#This Row],[total_venta]]</f>
        <v>0</v>
      </c>
    </row>
    <row r="2413" spans="1:18" x14ac:dyDescent="0.25">
      <c r="A2413" t="s">
        <v>2506</v>
      </c>
      <c r="B2413" s="1">
        <v>44970</v>
      </c>
      <c r="C2413" t="s">
        <v>50</v>
      </c>
      <c r="D2413" t="s">
        <v>27</v>
      </c>
      <c r="E2413">
        <v>1</v>
      </c>
      <c r="F2413" s="2">
        <v>149.99</v>
      </c>
      <c r="G2413">
        <v>10</v>
      </c>
      <c r="H2413" s="2">
        <v>134.99</v>
      </c>
      <c r="I2413" s="2">
        <v>134.99</v>
      </c>
      <c r="J2413" t="s">
        <v>19</v>
      </c>
      <c r="K2413" t="s">
        <v>44</v>
      </c>
      <c r="L2413" t="s">
        <v>45</v>
      </c>
      <c r="M2413" t="s">
        <v>84</v>
      </c>
      <c r="N2413" t="s">
        <v>85</v>
      </c>
      <c r="O2413" t="s">
        <v>35</v>
      </c>
      <c r="P2413">
        <v>2</v>
      </c>
      <c r="Q2413" s="2">
        <f>Ventas[[#This Row],[precio_base]]*Ventas[[#This Row],[cantidad]]</f>
        <v>149.99</v>
      </c>
      <c r="R2413" s="2">
        <f>Ventas[[#This Row],[Total bruto (antes de descuento)]]-Ventas[[#This Row],[total_venta]]</f>
        <v>15</v>
      </c>
    </row>
    <row r="2414" spans="1:18" x14ac:dyDescent="0.25">
      <c r="A2414" t="s">
        <v>2507</v>
      </c>
      <c r="B2414" s="1">
        <v>45533</v>
      </c>
      <c r="C2414" t="s">
        <v>104</v>
      </c>
      <c r="D2414" t="s">
        <v>18</v>
      </c>
      <c r="E2414">
        <v>1</v>
      </c>
      <c r="F2414" s="2">
        <v>1199.99</v>
      </c>
      <c r="G2414">
        <v>0</v>
      </c>
      <c r="H2414" s="2">
        <v>1199.99</v>
      </c>
      <c r="I2414" s="2">
        <v>1199.99</v>
      </c>
      <c r="J2414" t="s">
        <v>51</v>
      </c>
      <c r="K2414" t="s">
        <v>20</v>
      </c>
      <c r="L2414" t="s">
        <v>45</v>
      </c>
      <c r="M2414" t="s">
        <v>101</v>
      </c>
      <c r="N2414" t="s">
        <v>102</v>
      </c>
      <c r="O2414" t="s">
        <v>35</v>
      </c>
      <c r="Q2414" s="2">
        <f>Ventas[[#This Row],[precio_base]]*Ventas[[#This Row],[cantidad]]</f>
        <v>1199.99</v>
      </c>
      <c r="R2414" s="2">
        <f>Ventas[[#This Row],[Total bruto (antes de descuento)]]-Ventas[[#This Row],[total_venta]]</f>
        <v>0</v>
      </c>
    </row>
    <row r="2415" spans="1:18" x14ac:dyDescent="0.25">
      <c r="A2415" t="s">
        <v>2508</v>
      </c>
      <c r="B2415" s="1">
        <v>45345</v>
      </c>
      <c r="C2415" t="s">
        <v>151</v>
      </c>
      <c r="D2415" t="s">
        <v>27</v>
      </c>
      <c r="E2415">
        <v>1</v>
      </c>
      <c r="F2415" s="2">
        <v>599.99</v>
      </c>
      <c r="G2415">
        <v>0</v>
      </c>
      <c r="H2415" s="2">
        <v>599.99</v>
      </c>
      <c r="I2415" s="2">
        <v>599.99</v>
      </c>
      <c r="J2415" t="s">
        <v>19</v>
      </c>
      <c r="K2415" t="s">
        <v>20</v>
      </c>
      <c r="L2415" t="s">
        <v>21</v>
      </c>
      <c r="M2415" t="s">
        <v>84</v>
      </c>
      <c r="N2415" t="s">
        <v>85</v>
      </c>
      <c r="O2415" t="s">
        <v>35</v>
      </c>
      <c r="P2415">
        <v>1</v>
      </c>
      <c r="Q2415" s="2">
        <f>Ventas[[#This Row],[precio_base]]*Ventas[[#This Row],[cantidad]]</f>
        <v>599.99</v>
      </c>
      <c r="R2415" s="2">
        <f>Ventas[[#This Row],[Total bruto (antes de descuento)]]-Ventas[[#This Row],[total_venta]]</f>
        <v>0</v>
      </c>
    </row>
    <row r="2416" spans="1:18" x14ac:dyDescent="0.25">
      <c r="A2416" t="s">
        <v>2509</v>
      </c>
      <c r="B2416" s="1">
        <v>45221</v>
      </c>
      <c r="C2416" t="s">
        <v>89</v>
      </c>
      <c r="D2416" t="s">
        <v>38</v>
      </c>
      <c r="E2416">
        <v>5</v>
      </c>
      <c r="F2416" s="2">
        <v>69.989999999999995</v>
      </c>
      <c r="G2416">
        <v>0</v>
      </c>
      <c r="H2416" s="2">
        <v>69.989999999999995</v>
      </c>
      <c r="I2416" s="2">
        <v>349.95</v>
      </c>
      <c r="J2416" t="s">
        <v>19</v>
      </c>
      <c r="K2416" t="s">
        <v>52</v>
      </c>
      <c r="L2416" t="s">
        <v>21</v>
      </c>
      <c r="M2416" t="s">
        <v>22</v>
      </c>
      <c r="N2416" t="s">
        <v>23</v>
      </c>
      <c r="O2416" t="s">
        <v>24</v>
      </c>
      <c r="P2416">
        <v>2</v>
      </c>
      <c r="Q2416" s="2">
        <f>Ventas[[#This Row],[precio_base]]*Ventas[[#This Row],[cantidad]]</f>
        <v>349.95</v>
      </c>
      <c r="R2416" s="2">
        <f>Ventas[[#This Row],[Total bruto (antes de descuento)]]-Ventas[[#This Row],[total_venta]]</f>
        <v>0</v>
      </c>
    </row>
    <row r="2417" spans="1:18" x14ac:dyDescent="0.25">
      <c r="A2417" t="s">
        <v>2510</v>
      </c>
      <c r="B2417" s="1">
        <v>44952</v>
      </c>
      <c r="C2417" t="s">
        <v>104</v>
      </c>
      <c r="D2417" t="s">
        <v>18</v>
      </c>
      <c r="E2417">
        <v>5</v>
      </c>
      <c r="F2417" s="2">
        <v>1199.99</v>
      </c>
      <c r="G2417">
        <v>5</v>
      </c>
      <c r="H2417" s="2">
        <v>1139.99</v>
      </c>
      <c r="I2417" s="2">
        <v>5699.95</v>
      </c>
      <c r="J2417" t="s">
        <v>19</v>
      </c>
      <c r="K2417" t="s">
        <v>52</v>
      </c>
      <c r="L2417" t="s">
        <v>28</v>
      </c>
      <c r="M2417" t="s">
        <v>65</v>
      </c>
      <c r="N2417" t="s">
        <v>54</v>
      </c>
      <c r="O2417" t="s">
        <v>35</v>
      </c>
      <c r="P2417">
        <v>4</v>
      </c>
      <c r="Q2417" s="2">
        <f>Ventas[[#This Row],[precio_base]]*Ventas[[#This Row],[cantidad]]</f>
        <v>5999.95</v>
      </c>
      <c r="R2417" s="2">
        <f>Ventas[[#This Row],[Total bruto (antes de descuento)]]-Ventas[[#This Row],[total_venta]]</f>
        <v>300</v>
      </c>
    </row>
    <row r="2418" spans="1:18" x14ac:dyDescent="0.25">
      <c r="A2418" t="s">
        <v>2511</v>
      </c>
      <c r="B2418" s="1">
        <v>45363</v>
      </c>
      <c r="C2418" t="s">
        <v>30</v>
      </c>
      <c r="D2418" t="s">
        <v>31</v>
      </c>
      <c r="E2418">
        <v>4</v>
      </c>
      <c r="F2418" s="2">
        <v>299.99</v>
      </c>
      <c r="G2418">
        <v>10</v>
      </c>
      <c r="H2418" s="2">
        <v>269.99</v>
      </c>
      <c r="I2418" s="2">
        <v>1079.96</v>
      </c>
      <c r="J2418" t="s">
        <v>19</v>
      </c>
      <c r="K2418" t="s">
        <v>20</v>
      </c>
      <c r="L2418" t="s">
        <v>45</v>
      </c>
      <c r="M2418" t="s">
        <v>46</v>
      </c>
      <c r="N2418" t="s">
        <v>47</v>
      </c>
      <c r="O2418" t="s">
        <v>48</v>
      </c>
      <c r="P2418">
        <v>3</v>
      </c>
      <c r="Q2418" s="2">
        <f>Ventas[[#This Row],[precio_base]]*Ventas[[#This Row],[cantidad]]</f>
        <v>1199.96</v>
      </c>
      <c r="R2418" s="2">
        <f>Ventas[[#This Row],[Total bruto (antes de descuento)]]-Ventas[[#This Row],[total_venta]]</f>
        <v>120</v>
      </c>
    </row>
    <row r="2419" spans="1:18" x14ac:dyDescent="0.25">
      <c r="A2419" t="s">
        <v>2512</v>
      </c>
      <c r="B2419" s="1">
        <v>45130</v>
      </c>
      <c r="C2419" t="s">
        <v>81</v>
      </c>
      <c r="D2419" t="s">
        <v>31</v>
      </c>
      <c r="E2419">
        <v>2</v>
      </c>
      <c r="F2419" s="2">
        <v>189.99</v>
      </c>
      <c r="G2419">
        <v>10</v>
      </c>
      <c r="H2419" s="2">
        <v>170.99</v>
      </c>
      <c r="I2419" s="2">
        <v>341.98</v>
      </c>
      <c r="J2419" t="s">
        <v>19</v>
      </c>
      <c r="K2419" t="s">
        <v>52</v>
      </c>
      <c r="L2419" t="s">
        <v>152</v>
      </c>
      <c r="M2419" t="s">
        <v>67</v>
      </c>
      <c r="N2419" t="s">
        <v>68</v>
      </c>
      <c r="O2419" t="s">
        <v>35</v>
      </c>
      <c r="P2419">
        <v>3</v>
      </c>
      <c r="Q2419" s="2">
        <f>Ventas[[#This Row],[precio_base]]*Ventas[[#This Row],[cantidad]]</f>
        <v>379.98</v>
      </c>
      <c r="R2419" s="2">
        <f>Ventas[[#This Row],[Total bruto (antes de descuento)]]-Ventas[[#This Row],[total_venta]]</f>
        <v>38</v>
      </c>
    </row>
    <row r="2420" spans="1:18" x14ac:dyDescent="0.25">
      <c r="A2420" t="s">
        <v>2513</v>
      </c>
      <c r="B2420" s="1">
        <v>45374</v>
      </c>
      <c r="C2420" t="s">
        <v>130</v>
      </c>
      <c r="D2420" t="s">
        <v>43</v>
      </c>
      <c r="E2420">
        <v>4</v>
      </c>
      <c r="F2420" s="2">
        <v>24.99</v>
      </c>
      <c r="G2420">
        <v>5</v>
      </c>
      <c r="H2420" s="2">
        <v>23.74</v>
      </c>
      <c r="I2420" s="2">
        <v>94.96</v>
      </c>
      <c r="J2420" t="s">
        <v>62</v>
      </c>
      <c r="K2420" t="s">
        <v>20</v>
      </c>
      <c r="L2420" t="s">
        <v>21</v>
      </c>
      <c r="M2420" t="s">
        <v>95</v>
      </c>
      <c r="N2420" t="s">
        <v>96</v>
      </c>
      <c r="O2420" t="s">
        <v>48</v>
      </c>
      <c r="Q2420" s="2">
        <f>Ventas[[#This Row],[precio_base]]*Ventas[[#This Row],[cantidad]]</f>
        <v>99.96</v>
      </c>
      <c r="R2420" s="2">
        <f>Ventas[[#This Row],[Total bruto (antes de descuento)]]-Ventas[[#This Row],[total_venta]]</f>
        <v>5</v>
      </c>
    </row>
    <row r="2421" spans="1:18" x14ac:dyDescent="0.25">
      <c r="A2421" t="s">
        <v>2514</v>
      </c>
      <c r="B2421" s="1">
        <v>45173</v>
      </c>
      <c r="C2421" t="s">
        <v>143</v>
      </c>
      <c r="D2421" t="s">
        <v>43</v>
      </c>
      <c r="E2421">
        <v>2</v>
      </c>
      <c r="F2421" s="2">
        <v>34.99</v>
      </c>
      <c r="G2421">
        <v>15</v>
      </c>
      <c r="H2421" s="2">
        <v>29.74</v>
      </c>
      <c r="I2421" s="2">
        <v>59.48</v>
      </c>
      <c r="J2421" t="s">
        <v>62</v>
      </c>
      <c r="K2421" t="s">
        <v>20</v>
      </c>
      <c r="L2421" t="s">
        <v>152</v>
      </c>
      <c r="M2421" t="s">
        <v>46</v>
      </c>
      <c r="N2421" t="s">
        <v>47</v>
      </c>
      <c r="O2421" t="s">
        <v>48</v>
      </c>
      <c r="Q2421" s="2">
        <f>Ventas[[#This Row],[precio_base]]*Ventas[[#This Row],[cantidad]]</f>
        <v>69.98</v>
      </c>
      <c r="R2421" s="2">
        <f>Ventas[[#This Row],[Total bruto (antes de descuento)]]-Ventas[[#This Row],[total_venta]]</f>
        <v>10.500000000000007</v>
      </c>
    </row>
    <row r="2422" spans="1:18" x14ac:dyDescent="0.25">
      <c r="A2422" t="s">
        <v>2515</v>
      </c>
      <c r="B2422" s="1">
        <v>45339</v>
      </c>
      <c r="C2422" t="s">
        <v>37</v>
      </c>
      <c r="D2422" t="s">
        <v>38</v>
      </c>
      <c r="E2422">
        <v>4</v>
      </c>
      <c r="F2422" s="2">
        <v>34.99</v>
      </c>
      <c r="G2422">
        <v>0</v>
      </c>
      <c r="H2422" s="2">
        <v>34.99</v>
      </c>
      <c r="I2422" s="2">
        <v>139.96</v>
      </c>
      <c r="J2422" t="s">
        <v>19</v>
      </c>
      <c r="K2422" t="s">
        <v>44</v>
      </c>
      <c r="L2422" t="s">
        <v>21</v>
      </c>
      <c r="M2422" t="s">
        <v>123</v>
      </c>
      <c r="N2422" t="s">
        <v>124</v>
      </c>
      <c r="O2422" t="s">
        <v>24</v>
      </c>
      <c r="P2422">
        <v>1</v>
      </c>
      <c r="Q2422" s="2">
        <f>Ventas[[#This Row],[precio_base]]*Ventas[[#This Row],[cantidad]]</f>
        <v>139.96</v>
      </c>
      <c r="R2422" s="2">
        <f>Ventas[[#This Row],[Total bruto (antes de descuento)]]-Ventas[[#This Row],[total_venta]]</f>
        <v>0</v>
      </c>
    </row>
    <row r="2423" spans="1:18" x14ac:dyDescent="0.25">
      <c r="A2423" t="s">
        <v>2516</v>
      </c>
      <c r="B2423" s="1">
        <v>45046</v>
      </c>
      <c r="C2423" t="s">
        <v>94</v>
      </c>
      <c r="D2423" t="s">
        <v>18</v>
      </c>
      <c r="E2423">
        <v>4</v>
      </c>
      <c r="F2423" s="2">
        <v>899.99</v>
      </c>
      <c r="G2423">
        <v>10</v>
      </c>
      <c r="H2423" s="2">
        <v>809.99</v>
      </c>
      <c r="I2423" s="2">
        <v>3239.96</v>
      </c>
      <c r="J2423" t="s">
        <v>19</v>
      </c>
      <c r="K2423" t="s">
        <v>20</v>
      </c>
      <c r="L2423" t="s">
        <v>21</v>
      </c>
      <c r="M2423" t="s">
        <v>101</v>
      </c>
      <c r="N2423" t="s">
        <v>102</v>
      </c>
      <c r="O2423" t="s">
        <v>35</v>
      </c>
      <c r="P2423">
        <v>1</v>
      </c>
      <c r="Q2423" s="2">
        <f>Ventas[[#This Row],[precio_base]]*Ventas[[#This Row],[cantidad]]</f>
        <v>3599.96</v>
      </c>
      <c r="R2423" s="2">
        <f>Ventas[[#This Row],[Total bruto (antes de descuento)]]-Ventas[[#This Row],[total_venta]]</f>
        <v>360</v>
      </c>
    </row>
    <row r="2424" spans="1:18" x14ac:dyDescent="0.25">
      <c r="A2424" t="s">
        <v>2517</v>
      </c>
      <c r="B2424" s="1">
        <v>45597</v>
      </c>
      <c r="C2424" t="s">
        <v>61</v>
      </c>
      <c r="D2424" t="s">
        <v>38</v>
      </c>
      <c r="E2424">
        <v>5</v>
      </c>
      <c r="F2424" s="2">
        <v>19.989999999999998</v>
      </c>
      <c r="G2424">
        <v>0</v>
      </c>
      <c r="H2424" s="2">
        <v>19.989999999999998</v>
      </c>
      <c r="I2424" s="2">
        <v>99.95</v>
      </c>
      <c r="J2424" t="s">
        <v>19</v>
      </c>
      <c r="K2424" t="s">
        <v>20</v>
      </c>
      <c r="L2424" t="s">
        <v>28</v>
      </c>
      <c r="M2424" t="s">
        <v>65</v>
      </c>
      <c r="N2424" t="s">
        <v>54</v>
      </c>
      <c r="O2424" t="s">
        <v>35</v>
      </c>
      <c r="P2424">
        <v>3</v>
      </c>
      <c r="Q2424" s="2">
        <f>Ventas[[#This Row],[precio_base]]*Ventas[[#This Row],[cantidad]]</f>
        <v>99.949999999999989</v>
      </c>
      <c r="R2424" s="2">
        <f>Ventas[[#This Row],[Total bruto (antes de descuento)]]-Ventas[[#This Row],[total_venta]]</f>
        <v>0</v>
      </c>
    </row>
    <row r="2425" spans="1:18" x14ac:dyDescent="0.25">
      <c r="A2425" t="s">
        <v>2518</v>
      </c>
      <c r="B2425" s="1">
        <v>45514</v>
      </c>
      <c r="C2425" t="s">
        <v>104</v>
      </c>
      <c r="D2425" t="s">
        <v>18</v>
      </c>
      <c r="E2425">
        <v>3</v>
      </c>
      <c r="F2425" s="2">
        <v>1199.99</v>
      </c>
      <c r="G2425">
        <v>0</v>
      </c>
      <c r="H2425" s="2">
        <v>1199.99</v>
      </c>
      <c r="I2425" s="2">
        <v>3599.97</v>
      </c>
      <c r="J2425" t="s">
        <v>51</v>
      </c>
      <c r="K2425" t="s">
        <v>20</v>
      </c>
      <c r="L2425" t="s">
        <v>28</v>
      </c>
      <c r="M2425" t="s">
        <v>84</v>
      </c>
      <c r="N2425" t="s">
        <v>85</v>
      </c>
      <c r="O2425" t="s">
        <v>35</v>
      </c>
      <c r="Q2425" s="2">
        <f>Ventas[[#This Row],[precio_base]]*Ventas[[#This Row],[cantidad]]</f>
        <v>3599.9700000000003</v>
      </c>
      <c r="R2425" s="2">
        <f>Ventas[[#This Row],[Total bruto (antes de descuento)]]-Ventas[[#This Row],[total_venta]]</f>
        <v>0</v>
      </c>
    </row>
    <row r="2426" spans="1:18" x14ac:dyDescent="0.25">
      <c r="A2426" t="s">
        <v>2519</v>
      </c>
      <c r="B2426" s="1">
        <v>44970</v>
      </c>
      <c r="C2426" t="s">
        <v>61</v>
      </c>
      <c r="D2426" t="s">
        <v>38</v>
      </c>
      <c r="E2426">
        <v>5</v>
      </c>
      <c r="F2426" s="2">
        <v>19.989999999999998</v>
      </c>
      <c r="G2426">
        <v>10</v>
      </c>
      <c r="H2426" s="2">
        <v>17.989999999999998</v>
      </c>
      <c r="I2426" s="2">
        <v>89.95</v>
      </c>
      <c r="J2426" t="s">
        <v>19</v>
      </c>
      <c r="K2426" t="s">
        <v>44</v>
      </c>
      <c r="L2426" t="s">
        <v>28</v>
      </c>
      <c r="M2426" t="s">
        <v>39</v>
      </c>
      <c r="N2426" t="s">
        <v>40</v>
      </c>
      <c r="O2426" t="s">
        <v>35</v>
      </c>
      <c r="P2426">
        <v>5</v>
      </c>
      <c r="Q2426" s="2">
        <f>Ventas[[#This Row],[precio_base]]*Ventas[[#This Row],[cantidad]]</f>
        <v>99.949999999999989</v>
      </c>
      <c r="R2426" s="2">
        <f>Ventas[[#This Row],[Total bruto (antes de descuento)]]-Ventas[[#This Row],[total_venta]]</f>
        <v>9.9999999999999858</v>
      </c>
    </row>
    <row r="2427" spans="1:18" x14ac:dyDescent="0.25">
      <c r="A2427" t="s">
        <v>2520</v>
      </c>
      <c r="B2427" s="1">
        <v>45435</v>
      </c>
      <c r="C2427" t="s">
        <v>122</v>
      </c>
      <c r="D2427" t="s">
        <v>43</v>
      </c>
      <c r="E2427">
        <v>4</v>
      </c>
      <c r="F2427" s="2">
        <v>44.99</v>
      </c>
      <c r="G2427">
        <v>20</v>
      </c>
      <c r="H2427" s="2">
        <v>35.99</v>
      </c>
      <c r="I2427" s="2">
        <v>143.96</v>
      </c>
      <c r="J2427" t="s">
        <v>51</v>
      </c>
      <c r="K2427" t="s">
        <v>44</v>
      </c>
      <c r="L2427" t="s">
        <v>28</v>
      </c>
      <c r="M2427" t="s">
        <v>101</v>
      </c>
      <c r="N2427" t="s">
        <v>102</v>
      </c>
      <c r="O2427" t="s">
        <v>35</v>
      </c>
      <c r="Q2427" s="2">
        <f>Ventas[[#This Row],[precio_base]]*Ventas[[#This Row],[cantidad]]</f>
        <v>179.96</v>
      </c>
      <c r="R2427" s="2">
        <f>Ventas[[#This Row],[Total bruto (antes de descuento)]]-Ventas[[#This Row],[total_venta]]</f>
        <v>36</v>
      </c>
    </row>
    <row r="2428" spans="1:18" x14ac:dyDescent="0.25">
      <c r="A2428" t="s">
        <v>2521</v>
      </c>
      <c r="B2428" s="1">
        <v>45130</v>
      </c>
      <c r="C2428" t="s">
        <v>151</v>
      </c>
      <c r="D2428" t="s">
        <v>27</v>
      </c>
      <c r="E2428">
        <v>5</v>
      </c>
      <c r="F2428" s="2">
        <v>599.99</v>
      </c>
      <c r="G2428">
        <v>5</v>
      </c>
      <c r="H2428" s="2">
        <v>569.99</v>
      </c>
      <c r="I2428" s="2">
        <v>2849.95</v>
      </c>
      <c r="J2428" t="s">
        <v>51</v>
      </c>
      <c r="K2428" t="s">
        <v>20</v>
      </c>
      <c r="L2428" t="s">
        <v>28</v>
      </c>
      <c r="M2428" t="s">
        <v>67</v>
      </c>
      <c r="N2428" t="s">
        <v>68</v>
      </c>
      <c r="O2428" t="s">
        <v>35</v>
      </c>
      <c r="Q2428" s="2">
        <f>Ventas[[#This Row],[precio_base]]*Ventas[[#This Row],[cantidad]]</f>
        <v>2999.95</v>
      </c>
      <c r="R2428" s="2">
        <f>Ventas[[#This Row],[Total bruto (antes de descuento)]]-Ventas[[#This Row],[total_venta]]</f>
        <v>150</v>
      </c>
    </row>
    <row r="2429" spans="1:18" x14ac:dyDescent="0.25">
      <c r="A2429" t="s">
        <v>2522</v>
      </c>
      <c r="B2429" s="1">
        <v>45226</v>
      </c>
      <c r="C2429" t="s">
        <v>17</v>
      </c>
      <c r="D2429" t="s">
        <v>18</v>
      </c>
      <c r="E2429">
        <v>4</v>
      </c>
      <c r="F2429" s="2">
        <v>45.99</v>
      </c>
      <c r="G2429">
        <v>5</v>
      </c>
      <c r="H2429" s="2">
        <v>43.69</v>
      </c>
      <c r="I2429" s="2">
        <v>174.76</v>
      </c>
      <c r="J2429" t="s">
        <v>90</v>
      </c>
      <c r="K2429" t="s">
        <v>20</v>
      </c>
      <c r="L2429" t="s">
        <v>21</v>
      </c>
      <c r="M2429" t="s">
        <v>63</v>
      </c>
      <c r="N2429" t="s">
        <v>34</v>
      </c>
      <c r="O2429" t="s">
        <v>24</v>
      </c>
      <c r="Q2429" s="2">
        <f>Ventas[[#This Row],[precio_base]]*Ventas[[#This Row],[cantidad]]</f>
        <v>183.96</v>
      </c>
      <c r="R2429" s="2">
        <f>Ventas[[#This Row],[Total bruto (antes de descuento)]]-Ventas[[#This Row],[total_venta]]</f>
        <v>9.2000000000000171</v>
      </c>
    </row>
    <row r="2430" spans="1:18" x14ac:dyDescent="0.25">
      <c r="A2430" t="s">
        <v>2523</v>
      </c>
      <c r="B2430" s="1">
        <v>44977</v>
      </c>
      <c r="C2430" t="s">
        <v>92</v>
      </c>
      <c r="D2430" t="s">
        <v>27</v>
      </c>
      <c r="E2430">
        <v>4</v>
      </c>
      <c r="F2430" s="2">
        <v>79.989999999999995</v>
      </c>
      <c r="G2430">
        <v>10</v>
      </c>
      <c r="H2430" s="2">
        <v>71.989999999999995</v>
      </c>
      <c r="I2430" s="2">
        <v>287.95999999999998</v>
      </c>
      <c r="J2430" t="s">
        <v>19</v>
      </c>
      <c r="K2430" t="s">
        <v>52</v>
      </c>
      <c r="L2430" t="s">
        <v>28</v>
      </c>
      <c r="M2430" t="s">
        <v>22</v>
      </c>
      <c r="N2430" t="s">
        <v>23</v>
      </c>
      <c r="O2430" t="s">
        <v>24</v>
      </c>
      <c r="P2430">
        <v>4</v>
      </c>
      <c r="Q2430" s="2">
        <f>Ventas[[#This Row],[precio_base]]*Ventas[[#This Row],[cantidad]]</f>
        <v>319.95999999999998</v>
      </c>
      <c r="R2430" s="2">
        <f>Ventas[[#This Row],[Total bruto (antes de descuento)]]-Ventas[[#This Row],[total_venta]]</f>
        <v>32</v>
      </c>
    </row>
    <row r="2431" spans="1:18" x14ac:dyDescent="0.25">
      <c r="A2431" t="s">
        <v>2524</v>
      </c>
      <c r="B2431" s="1">
        <v>45114</v>
      </c>
      <c r="C2431" t="s">
        <v>115</v>
      </c>
      <c r="D2431" t="s">
        <v>18</v>
      </c>
      <c r="E2431">
        <v>5</v>
      </c>
      <c r="F2431" s="2">
        <v>799.99</v>
      </c>
      <c r="G2431">
        <v>15</v>
      </c>
      <c r="H2431" s="2">
        <v>679.99</v>
      </c>
      <c r="I2431" s="2">
        <v>3399.95</v>
      </c>
      <c r="J2431" t="s">
        <v>19</v>
      </c>
      <c r="K2431" t="s">
        <v>44</v>
      </c>
      <c r="L2431" t="s">
        <v>152</v>
      </c>
      <c r="M2431" t="s">
        <v>58</v>
      </c>
      <c r="N2431" t="s">
        <v>59</v>
      </c>
      <c r="O2431" t="s">
        <v>24</v>
      </c>
      <c r="P2431">
        <v>5</v>
      </c>
      <c r="Q2431" s="2">
        <f>Ventas[[#This Row],[precio_base]]*Ventas[[#This Row],[cantidad]]</f>
        <v>3999.95</v>
      </c>
      <c r="R2431" s="2">
        <f>Ventas[[#This Row],[Total bruto (antes de descuento)]]-Ventas[[#This Row],[total_venta]]</f>
        <v>600</v>
      </c>
    </row>
    <row r="2432" spans="1:18" x14ac:dyDescent="0.25">
      <c r="A2432" t="s">
        <v>2525</v>
      </c>
      <c r="B2432" s="1">
        <v>45383</v>
      </c>
      <c r="C2432" t="s">
        <v>70</v>
      </c>
      <c r="D2432" t="s">
        <v>31</v>
      </c>
      <c r="E2432">
        <v>1</v>
      </c>
      <c r="F2432" s="2">
        <v>59.99</v>
      </c>
      <c r="G2432">
        <v>0</v>
      </c>
      <c r="H2432" s="2">
        <v>59.99</v>
      </c>
      <c r="I2432" s="2">
        <v>59.99</v>
      </c>
      <c r="J2432" t="s">
        <v>51</v>
      </c>
      <c r="K2432" t="s">
        <v>20</v>
      </c>
      <c r="L2432" t="s">
        <v>32</v>
      </c>
      <c r="M2432" t="s">
        <v>53</v>
      </c>
      <c r="N2432" t="s">
        <v>54</v>
      </c>
      <c r="O2432" t="s">
        <v>35</v>
      </c>
      <c r="Q2432" s="2">
        <f>Ventas[[#This Row],[precio_base]]*Ventas[[#This Row],[cantidad]]</f>
        <v>59.99</v>
      </c>
      <c r="R2432" s="2">
        <f>Ventas[[#This Row],[Total bruto (antes de descuento)]]-Ventas[[#This Row],[total_venta]]</f>
        <v>0</v>
      </c>
    </row>
    <row r="2433" spans="1:18" x14ac:dyDescent="0.25">
      <c r="A2433" t="s">
        <v>2526</v>
      </c>
      <c r="B2433" s="1">
        <v>45603</v>
      </c>
      <c r="C2433" t="s">
        <v>78</v>
      </c>
      <c r="D2433" t="s">
        <v>18</v>
      </c>
      <c r="E2433">
        <v>1</v>
      </c>
      <c r="F2433" s="2">
        <v>349.99</v>
      </c>
      <c r="G2433">
        <v>0</v>
      </c>
      <c r="H2433" s="2">
        <v>349.99</v>
      </c>
      <c r="I2433" s="2">
        <v>349.99</v>
      </c>
      <c r="J2433" t="s">
        <v>19</v>
      </c>
      <c r="K2433" t="s">
        <v>44</v>
      </c>
      <c r="L2433" t="s">
        <v>152</v>
      </c>
      <c r="M2433" t="s">
        <v>65</v>
      </c>
      <c r="N2433" t="s">
        <v>54</v>
      </c>
      <c r="O2433" t="s">
        <v>35</v>
      </c>
      <c r="P2433">
        <v>2</v>
      </c>
      <c r="Q2433" s="2">
        <f>Ventas[[#This Row],[precio_base]]*Ventas[[#This Row],[cantidad]]</f>
        <v>349.99</v>
      </c>
      <c r="R2433" s="2">
        <f>Ventas[[#This Row],[Total bruto (antes de descuento)]]-Ventas[[#This Row],[total_venta]]</f>
        <v>0</v>
      </c>
    </row>
    <row r="2434" spans="1:18" x14ac:dyDescent="0.25">
      <c r="A2434" t="s">
        <v>2527</v>
      </c>
      <c r="B2434" s="1">
        <v>45035</v>
      </c>
      <c r="C2434" t="s">
        <v>56</v>
      </c>
      <c r="D2434" t="s">
        <v>18</v>
      </c>
      <c r="E2434">
        <v>4</v>
      </c>
      <c r="F2434" s="2">
        <v>89.99</v>
      </c>
      <c r="G2434">
        <v>0</v>
      </c>
      <c r="H2434" s="2">
        <v>89.99</v>
      </c>
      <c r="I2434" s="2">
        <v>359.96</v>
      </c>
      <c r="J2434" t="s">
        <v>62</v>
      </c>
      <c r="K2434" t="s">
        <v>44</v>
      </c>
      <c r="L2434" t="s">
        <v>21</v>
      </c>
      <c r="M2434" t="s">
        <v>73</v>
      </c>
      <c r="N2434" t="s">
        <v>74</v>
      </c>
      <c r="O2434" t="s">
        <v>35</v>
      </c>
      <c r="Q2434" s="2">
        <f>Ventas[[#This Row],[precio_base]]*Ventas[[#This Row],[cantidad]]</f>
        <v>359.96</v>
      </c>
      <c r="R2434" s="2">
        <f>Ventas[[#This Row],[Total bruto (antes de descuento)]]-Ventas[[#This Row],[total_venta]]</f>
        <v>0</v>
      </c>
    </row>
    <row r="2435" spans="1:18" x14ac:dyDescent="0.25">
      <c r="A2435" t="s">
        <v>2528</v>
      </c>
      <c r="B2435" s="1">
        <v>45603</v>
      </c>
      <c r="C2435" t="s">
        <v>72</v>
      </c>
      <c r="D2435" t="s">
        <v>31</v>
      </c>
      <c r="E2435">
        <v>3</v>
      </c>
      <c r="F2435" s="2">
        <v>29.99</v>
      </c>
      <c r="G2435">
        <v>0</v>
      </c>
      <c r="H2435" s="2">
        <v>29.99</v>
      </c>
      <c r="I2435" s="2">
        <v>89.97</v>
      </c>
      <c r="J2435" t="s">
        <v>62</v>
      </c>
      <c r="K2435" t="s">
        <v>52</v>
      </c>
      <c r="L2435" t="s">
        <v>152</v>
      </c>
      <c r="M2435" t="s">
        <v>53</v>
      </c>
      <c r="N2435" t="s">
        <v>54</v>
      </c>
      <c r="O2435" t="s">
        <v>35</v>
      </c>
      <c r="Q2435" s="2">
        <f>Ventas[[#This Row],[precio_base]]*Ventas[[#This Row],[cantidad]]</f>
        <v>89.97</v>
      </c>
      <c r="R2435" s="2">
        <f>Ventas[[#This Row],[Total bruto (antes de descuento)]]-Ventas[[#This Row],[total_venta]]</f>
        <v>0</v>
      </c>
    </row>
    <row r="2436" spans="1:18" x14ac:dyDescent="0.25">
      <c r="A2436" t="s">
        <v>2529</v>
      </c>
      <c r="B2436" s="1">
        <v>45012</v>
      </c>
      <c r="C2436" t="s">
        <v>163</v>
      </c>
      <c r="D2436" t="s">
        <v>18</v>
      </c>
      <c r="E2436">
        <v>3</v>
      </c>
      <c r="F2436" s="2">
        <v>499.99</v>
      </c>
      <c r="G2436">
        <v>15</v>
      </c>
      <c r="H2436" s="2">
        <v>424.99</v>
      </c>
      <c r="I2436" s="2">
        <v>1274.97</v>
      </c>
      <c r="J2436" t="s">
        <v>51</v>
      </c>
      <c r="K2436" t="s">
        <v>44</v>
      </c>
      <c r="L2436" t="s">
        <v>45</v>
      </c>
      <c r="M2436" t="s">
        <v>33</v>
      </c>
      <c r="N2436" t="s">
        <v>34</v>
      </c>
      <c r="O2436" t="s">
        <v>35</v>
      </c>
      <c r="Q2436" s="2">
        <f>Ventas[[#This Row],[precio_base]]*Ventas[[#This Row],[cantidad]]</f>
        <v>1499.97</v>
      </c>
      <c r="R2436" s="2">
        <f>Ventas[[#This Row],[Total bruto (antes de descuento)]]-Ventas[[#This Row],[total_venta]]</f>
        <v>225</v>
      </c>
    </row>
    <row r="2437" spans="1:18" x14ac:dyDescent="0.25">
      <c r="A2437" t="s">
        <v>2530</v>
      </c>
      <c r="B2437" s="1">
        <v>45525</v>
      </c>
      <c r="C2437" t="s">
        <v>151</v>
      </c>
      <c r="D2437" t="s">
        <v>27</v>
      </c>
      <c r="E2437">
        <v>2</v>
      </c>
      <c r="F2437" s="2">
        <v>599.99</v>
      </c>
      <c r="G2437">
        <v>0</v>
      </c>
      <c r="H2437" s="2">
        <v>599.99</v>
      </c>
      <c r="I2437" s="2">
        <v>1199.98</v>
      </c>
      <c r="J2437" t="s">
        <v>19</v>
      </c>
      <c r="K2437" t="s">
        <v>57</v>
      </c>
      <c r="L2437" t="s">
        <v>28</v>
      </c>
      <c r="M2437" t="s">
        <v>101</v>
      </c>
      <c r="N2437" t="s">
        <v>102</v>
      </c>
      <c r="O2437" t="s">
        <v>35</v>
      </c>
      <c r="P2437">
        <v>5</v>
      </c>
      <c r="Q2437" s="2">
        <f>Ventas[[#This Row],[precio_base]]*Ventas[[#This Row],[cantidad]]</f>
        <v>1199.98</v>
      </c>
      <c r="R2437" s="2">
        <f>Ventas[[#This Row],[Total bruto (antes de descuento)]]-Ventas[[#This Row],[total_venta]]</f>
        <v>0</v>
      </c>
    </row>
    <row r="2438" spans="1:18" x14ac:dyDescent="0.25">
      <c r="A2438" t="s">
        <v>2531</v>
      </c>
      <c r="B2438" s="1">
        <v>45442</v>
      </c>
      <c r="C2438" t="s">
        <v>72</v>
      </c>
      <c r="D2438" t="s">
        <v>31</v>
      </c>
      <c r="E2438">
        <v>5</v>
      </c>
      <c r="F2438" s="2">
        <v>29.99</v>
      </c>
      <c r="G2438">
        <v>0</v>
      </c>
      <c r="H2438" s="2">
        <v>29.99</v>
      </c>
      <c r="I2438" s="2">
        <v>149.94999999999999</v>
      </c>
      <c r="J2438" t="s">
        <v>90</v>
      </c>
      <c r="K2438" t="s">
        <v>20</v>
      </c>
      <c r="L2438" t="s">
        <v>32</v>
      </c>
      <c r="M2438" t="s">
        <v>65</v>
      </c>
      <c r="N2438" t="s">
        <v>54</v>
      </c>
      <c r="O2438" t="s">
        <v>35</v>
      </c>
      <c r="Q2438" s="2">
        <f>Ventas[[#This Row],[precio_base]]*Ventas[[#This Row],[cantidad]]</f>
        <v>149.94999999999999</v>
      </c>
      <c r="R2438" s="2">
        <f>Ventas[[#This Row],[Total bruto (antes de descuento)]]-Ventas[[#This Row],[total_venta]]</f>
        <v>0</v>
      </c>
    </row>
    <row r="2439" spans="1:18" x14ac:dyDescent="0.25">
      <c r="A2439" t="s">
        <v>2532</v>
      </c>
      <c r="B2439" s="1">
        <v>44999</v>
      </c>
      <c r="C2439" t="s">
        <v>50</v>
      </c>
      <c r="D2439" t="s">
        <v>27</v>
      </c>
      <c r="E2439">
        <v>4</v>
      </c>
      <c r="F2439" s="2">
        <v>149.99</v>
      </c>
      <c r="G2439">
        <v>0</v>
      </c>
      <c r="H2439" s="2">
        <v>149.99</v>
      </c>
      <c r="I2439" s="2">
        <v>599.96</v>
      </c>
      <c r="J2439" t="s">
        <v>19</v>
      </c>
      <c r="K2439" t="s">
        <v>20</v>
      </c>
      <c r="L2439" t="s">
        <v>21</v>
      </c>
      <c r="M2439" t="s">
        <v>63</v>
      </c>
      <c r="N2439" t="s">
        <v>34</v>
      </c>
      <c r="O2439" t="s">
        <v>24</v>
      </c>
      <c r="P2439">
        <v>3</v>
      </c>
      <c r="Q2439" s="2">
        <f>Ventas[[#This Row],[precio_base]]*Ventas[[#This Row],[cantidad]]</f>
        <v>599.96</v>
      </c>
      <c r="R2439" s="2">
        <f>Ventas[[#This Row],[Total bruto (antes de descuento)]]-Ventas[[#This Row],[total_venta]]</f>
        <v>0</v>
      </c>
    </row>
    <row r="2440" spans="1:18" x14ac:dyDescent="0.25">
      <c r="A2440" t="s">
        <v>2533</v>
      </c>
      <c r="B2440" s="1">
        <v>45461</v>
      </c>
      <c r="C2440" t="s">
        <v>87</v>
      </c>
      <c r="D2440" t="s">
        <v>27</v>
      </c>
      <c r="E2440">
        <v>2</v>
      </c>
      <c r="F2440" s="2">
        <v>249.99</v>
      </c>
      <c r="G2440">
        <v>10</v>
      </c>
      <c r="H2440" s="2">
        <v>224.99</v>
      </c>
      <c r="I2440" s="2">
        <v>449.98</v>
      </c>
      <c r="J2440" t="s">
        <v>116</v>
      </c>
      <c r="K2440" t="s">
        <v>20</v>
      </c>
      <c r="L2440" t="s">
        <v>152</v>
      </c>
      <c r="M2440" t="s">
        <v>65</v>
      </c>
      <c r="N2440" t="s">
        <v>54</v>
      </c>
      <c r="O2440" t="s">
        <v>35</v>
      </c>
      <c r="Q2440" s="2">
        <f>Ventas[[#This Row],[precio_base]]*Ventas[[#This Row],[cantidad]]</f>
        <v>499.98</v>
      </c>
      <c r="R2440" s="2">
        <f>Ventas[[#This Row],[Total bruto (antes de descuento)]]-Ventas[[#This Row],[total_venta]]</f>
        <v>50</v>
      </c>
    </row>
    <row r="2441" spans="1:18" x14ac:dyDescent="0.25">
      <c r="A2441" t="s">
        <v>2534</v>
      </c>
      <c r="B2441" s="1">
        <v>45479</v>
      </c>
      <c r="C2441" t="s">
        <v>205</v>
      </c>
      <c r="D2441" t="s">
        <v>18</v>
      </c>
      <c r="E2441">
        <v>1</v>
      </c>
      <c r="F2441" s="2">
        <v>129.99</v>
      </c>
      <c r="G2441">
        <v>20</v>
      </c>
      <c r="H2441" s="2">
        <v>103.99</v>
      </c>
      <c r="I2441" s="2">
        <v>103.99</v>
      </c>
      <c r="J2441" t="s">
        <v>19</v>
      </c>
      <c r="K2441" t="s">
        <v>20</v>
      </c>
      <c r="L2441" t="s">
        <v>45</v>
      </c>
      <c r="M2441" t="s">
        <v>65</v>
      </c>
      <c r="N2441" t="s">
        <v>54</v>
      </c>
      <c r="O2441" t="s">
        <v>35</v>
      </c>
      <c r="P2441">
        <v>4</v>
      </c>
      <c r="Q2441" s="2">
        <f>Ventas[[#This Row],[precio_base]]*Ventas[[#This Row],[cantidad]]</f>
        <v>129.99</v>
      </c>
      <c r="R2441" s="2">
        <f>Ventas[[#This Row],[Total bruto (antes de descuento)]]-Ventas[[#This Row],[total_venta]]</f>
        <v>26.000000000000014</v>
      </c>
    </row>
    <row r="2442" spans="1:18" x14ac:dyDescent="0.25">
      <c r="A2442" t="s">
        <v>2535</v>
      </c>
      <c r="B2442" s="1">
        <v>45609</v>
      </c>
      <c r="C2442" t="s">
        <v>56</v>
      </c>
      <c r="D2442" t="s">
        <v>18</v>
      </c>
      <c r="E2442">
        <v>2</v>
      </c>
      <c r="F2442" s="2">
        <v>89.99</v>
      </c>
      <c r="G2442">
        <v>20</v>
      </c>
      <c r="H2442" s="2">
        <v>71.989999999999995</v>
      </c>
      <c r="I2442" s="2">
        <v>143.97999999999999</v>
      </c>
      <c r="J2442" t="s">
        <v>19</v>
      </c>
      <c r="K2442" t="s">
        <v>20</v>
      </c>
      <c r="L2442" t="s">
        <v>45</v>
      </c>
      <c r="M2442" t="s">
        <v>33</v>
      </c>
      <c r="N2442" t="s">
        <v>34</v>
      </c>
      <c r="O2442" t="s">
        <v>35</v>
      </c>
      <c r="P2442">
        <v>1</v>
      </c>
      <c r="Q2442" s="2">
        <f>Ventas[[#This Row],[precio_base]]*Ventas[[#This Row],[cantidad]]</f>
        <v>179.98</v>
      </c>
      <c r="R2442" s="2">
        <f>Ventas[[#This Row],[Total bruto (antes de descuento)]]-Ventas[[#This Row],[total_venta]]</f>
        <v>36</v>
      </c>
    </row>
    <row r="2443" spans="1:18" x14ac:dyDescent="0.25">
      <c r="A2443" t="s">
        <v>2536</v>
      </c>
      <c r="B2443" s="1">
        <v>45590</v>
      </c>
      <c r="C2443" t="s">
        <v>81</v>
      </c>
      <c r="D2443" t="s">
        <v>31</v>
      </c>
      <c r="E2443">
        <v>1</v>
      </c>
      <c r="F2443" s="2">
        <v>189.99</v>
      </c>
      <c r="G2443">
        <v>0</v>
      </c>
      <c r="H2443" s="2">
        <v>189.99</v>
      </c>
      <c r="I2443" s="2">
        <v>189.99</v>
      </c>
      <c r="J2443" t="s">
        <v>19</v>
      </c>
      <c r="K2443" t="s">
        <v>44</v>
      </c>
      <c r="L2443" t="s">
        <v>45</v>
      </c>
      <c r="M2443" t="s">
        <v>101</v>
      </c>
      <c r="N2443" t="s">
        <v>102</v>
      </c>
      <c r="O2443" t="s">
        <v>35</v>
      </c>
      <c r="P2443">
        <v>2</v>
      </c>
      <c r="Q2443" s="2">
        <f>Ventas[[#This Row],[precio_base]]*Ventas[[#This Row],[cantidad]]</f>
        <v>189.99</v>
      </c>
      <c r="R2443" s="2">
        <f>Ventas[[#This Row],[Total bruto (antes de descuento)]]-Ventas[[#This Row],[total_venta]]</f>
        <v>0</v>
      </c>
    </row>
    <row r="2444" spans="1:18" x14ac:dyDescent="0.25">
      <c r="A2444" t="s">
        <v>2537</v>
      </c>
      <c r="B2444" s="1">
        <v>45541</v>
      </c>
      <c r="C2444" t="s">
        <v>81</v>
      </c>
      <c r="D2444" t="s">
        <v>31</v>
      </c>
      <c r="E2444">
        <v>4</v>
      </c>
      <c r="F2444" s="2">
        <v>189.99</v>
      </c>
      <c r="G2444">
        <v>10</v>
      </c>
      <c r="H2444" s="2">
        <v>170.99</v>
      </c>
      <c r="I2444" s="2">
        <v>683.96</v>
      </c>
      <c r="J2444" t="s">
        <v>90</v>
      </c>
      <c r="K2444" t="s">
        <v>44</v>
      </c>
      <c r="L2444" t="s">
        <v>28</v>
      </c>
      <c r="M2444" t="s">
        <v>63</v>
      </c>
      <c r="N2444" t="s">
        <v>34</v>
      </c>
      <c r="O2444" t="s">
        <v>24</v>
      </c>
      <c r="Q2444" s="2">
        <f>Ventas[[#This Row],[precio_base]]*Ventas[[#This Row],[cantidad]]</f>
        <v>759.96</v>
      </c>
      <c r="R2444" s="2">
        <f>Ventas[[#This Row],[Total bruto (antes de descuento)]]-Ventas[[#This Row],[total_venta]]</f>
        <v>76</v>
      </c>
    </row>
    <row r="2445" spans="1:18" x14ac:dyDescent="0.25">
      <c r="A2445" t="s">
        <v>2538</v>
      </c>
      <c r="B2445" s="1">
        <v>45519</v>
      </c>
      <c r="C2445" t="s">
        <v>81</v>
      </c>
      <c r="D2445" t="s">
        <v>31</v>
      </c>
      <c r="E2445">
        <v>4</v>
      </c>
      <c r="F2445" s="2">
        <v>189.99</v>
      </c>
      <c r="G2445">
        <v>15</v>
      </c>
      <c r="H2445" s="2">
        <v>161.49</v>
      </c>
      <c r="I2445" s="2">
        <v>645.96</v>
      </c>
      <c r="J2445" t="s">
        <v>51</v>
      </c>
      <c r="K2445" t="s">
        <v>20</v>
      </c>
      <c r="L2445" t="s">
        <v>45</v>
      </c>
      <c r="M2445" t="s">
        <v>58</v>
      </c>
      <c r="N2445" t="s">
        <v>59</v>
      </c>
      <c r="O2445" t="s">
        <v>24</v>
      </c>
      <c r="Q2445" s="2">
        <f>Ventas[[#This Row],[precio_base]]*Ventas[[#This Row],[cantidad]]</f>
        <v>759.96</v>
      </c>
      <c r="R2445" s="2">
        <f>Ventas[[#This Row],[Total bruto (antes de descuento)]]-Ventas[[#This Row],[total_venta]]</f>
        <v>114</v>
      </c>
    </row>
    <row r="2446" spans="1:18" x14ac:dyDescent="0.25">
      <c r="A2446" t="s">
        <v>2539</v>
      </c>
      <c r="B2446" s="1">
        <v>45657</v>
      </c>
      <c r="C2446" t="s">
        <v>17</v>
      </c>
      <c r="D2446" t="s">
        <v>18</v>
      </c>
      <c r="E2446">
        <v>3</v>
      </c>
      <c r="F2446" s="2">
        <v>45.99</v>
      </c>
      <c r="G2446">
        <v>20</v>
      </c>
      <c r="H2446" s="2">
        <v>36.79</v>
      </c>
      <c r="I2446" s="2">
        <v>110.37</v>
      </c>
      <c r="J2446" t="s">
        <v>19</v>
      </c>
      <c r="K2446" t="s">
        <v>20</v>
      </c>
      <c r="L2446" t="s">
        <v>45</v>
      </c>
      <c r="M2446" t="s">
        <v>33</v>
      </c>
      <c r="N2446" t="s">
        <v>34</v>
      </c>
      <c r="O2446" t="s">
        <v>35</v>
      </c>
      <c r="P2446">
        <v>1</v>
      </c>
      <c r="Q2446" s="2">
        <f>Ventas[[#This Row],[precio_base]]*Ventas[[#This Row],[cantidad]]</f>
        <v>137.97</v>
      </c>
      <c r="R2446" s="2">
        <f>Ventas[[#This Row],[Total bruto (antes de descuento)]]-Ventas[[#This Row],[total_venta]]</f>
        <v>27.599999999999994</v>
      </c>
    </row>
    <row r="2447" spans="1:18" x14ac:dyDescent="0.25">
      <c r="A2447" t="s">
        <v>2540</v>
      </c>
      <c r="B2447" s="1">
        <v>45433</v>
      </c>
      <c r="C2447" t="s">
        <v>130</v>
      </c>
      <c r="D2447" t="s">
        <v>43</v>
      </c>
      <c r="E2447">
        <v>5</v>
      </c>
      <c r="F2447" s="2">
        <v>24.99</v>
      </c>
      <c r="G2447">
        <v>15</v>
      </c>
      <c r="H2447" s="2">
        <v>21.24</v>
      </c>
      <c r="I2447" s="2">
        <v>106.2</v>
      </c>
      <c r="J2447" t="s">
        <v>19</v>
      </c>
      <c r="K2447" t="s">
        <v>20</v>
      </c>
      <c r="L2447" t="s">
        <v>32</v>
      </c>
      <c r="M2447" t="s">
        <v>101</v>
      </c>
      <c r="N2447" t="s">
        <v>102</v>
      </c>
      <c r="O2447" t="s">
        <v>35</v>
      </c>
      <c r="P2447">
        <v>5</v>
      </c>
      <c r="Q2447" s="2">
        <f>Ventas[[#This Row],[precio_base]]*Ventas[[#This Row],[cantidad]]</f>
        <v>124.94999999999999</v>
      </c>
      <c r="R2447" s="2">
        <f>Ventas[[#This Row],[Total bruto (antes de descuento)]]-Ventas[[#This Row],[total_venta]]</f>
        <v>18.749999999999986</v>
      </c>
    </row>
    <row r="2448" spans="1:18" x14ac:dyDescent="0.25">
      <c r="A2448" t="s">
        <v>2541</v>
      </c>
      <c r="B2448" s="1">
        <v>45498</v>
      </c>
      <c r="C2448" t="s">
        <v>163</v>
      </c>
      <c r="D2448" t="s">
        <v>18</v>
      </c>
      <c r="E2448">
        <v>3</v>
      </c>
      <c r="F2448" s="2">
        <v>499.99</v>
      </c>
      <c r="G2448">
        <v>15</v>
      </c>
      <c r="H2448" s="2">
        <v>424.99</v>
      </c>
      <c r="I2448" s="2">
        <v>1274.97</v>
      </c>
      <c r="J2448" t="s">
        <v>19</v>
      </c>
      <c r="K2448" t="s">
        <v>52</v>
      </c>
      <c r="L2448" t="s">
        <v>45</v>
      </c>
      <c r="M2448" t="s">
        <v>95</v>
      </c>
      <c r="N2448" t="s">
        <v>96</v>
      </c>
      <c r="O2448" t="s">
        <v>48</v>
      </c>
      <c r="P2448">
        <v>4</v>
      </c>
      <c r="Q2448" s="2">
        <f>Ventas[[#This Row],[precio_base]]*Ventas[[#This Row],[cantidad]]</f>
        <v>1499.97</v>
      </c>
      <c r="R2448" s="2">
        <f>Ventas[[#This Row],[Total bruto (antes de descuento)]]-Ventas[[#This Row],[total_venta]]</f>
        <v>225</v>
      </c>
    </row>
    <row r="2449" spans="1:18" x14ac:dyDescent="0.25">
      <c r="A2449" t="s">
        <v>2542</v>
      </c>
      <c r="B2449" s="1">
        <v>45113</v>
      </c>
      <c r="C2449" t="s">
        <v>83</v>
      </c>
      <c r="D2449" t="s">
        <v>38</v>
      </c>
      <c r="E2449">
        <v>1</v>
      </c>
      <c r="F2449" s="2">
        <v>49.99</v>
      </c>
      <c r="G2449">
        <v>10</v>
      </c>
      <c r="H2449" s="2">
        <v>44.99</v>
      </c>
      <c r="I2449" s="2">
        <v>44.99</v>
      </c>
      <c r="J2449" t="s">
        <v>90</v>
      </c>
      <c r="K2449" t="s">
        <v>44</v>
      </c>
      <c r="L2449" t="s">
        <v>32</v>
      </c>
      <c r="M2449" t="s">
        <v>84</v>
      </c>
      <c r="N2449" t="s">
        <v>85</v>
      </c>
      <c r="O2449" t="s">
        <v>35</v>
      </c>
      <c r="Q2449" s="2">
        <f>Ventas[[#This Row],[precio_base]]*Ventas[[#This Row],[cantidad]]</f>
        <v>49.99</v>
      </c>
      <c r="R2449" s="2">
        <f>Ventas[[#This Row],[Total bruto (antes de descuento)]]-Ventas[[#This Row],[total_venta]]</f>
        <v>5</v>
      </c>
    </row>
    <row r="2450" spans="1:18" x14ac:dyDescent="0.25">
      <c r="A2450" t="s">
        <v>2543</v>
      </c>
      <c r="B2450" s="1">
        <v>45312</v>
      </c>
      <c r="C2450" t="s">
        <v>109</v>
      </c>
      <c r="D2450" t="s">
        <v>38</v>
      </c>
      <c r="E2450">
        <v>5</v>
      </c>
      <c r="F2450" s="2">
        <v>39.99</v>
      </c>
      <c r="G2450">
        <v>0</v>
      </c>
      <c r="H2450" s="2">
        <v>39.99</v>
      </c>
      <c r="I2450" s="2">
        <v>199.95</v>
      </c>
      <c r="J2450" t="s">
        <v>51</v>
      </c>
      <c r="K2450" t="s">
        <v>44</v>
      </c>
      <c r="L2450" t="s">
        <v>21</v>
      </c>
      <c r="M2450" t="s">
        <v>53</v>
      </c>
      <c r="N2450" t="s">
        <v>54</v>
      </c>
      <c r="O2450" t="s">
        <v>35</v>
      </c>
      <c r="Q2450" s="2">
        <f>Ventas[[#This Row],[precio_base]]*Ventas[[#This Row],[cantidad]]</f>
        <v>199.95000000000002</v>
      </c>
      <c r="R2450" s="2">
        <f>Ventas[[#This Row],[Total bruto (antes de descuento)]]-Ventas[[#This Row],[total_venta]]</f>
        <v>0</v>
      </c>
    </row>
    <row r="2451" spans="1:18" x14ac:dyDescent="0.25">
      <c r="A2451" t="s">
        <v>2544</v>
      </c>
      <c r="B2451" s="1">
        <v>45390</v>
      </c>
      <c r="C2451" t="s">
        <v>87</v>
      </c>
      <c r="D2451" t="s">
        <v>27</v>
      </c>
      <c r="E2451">
        <v>3</v>
      </c>
      <c r="F2451" s="2">
        <v>249.99</v>
      </c>
      <c r="G2451">
        <v>0</v>
      </c>
      <c r="H2451" s="2">
        <v>249.99</v>
      </c>
      <c r="I2451" s="2">
        <v>749.97</v>
      </c>
      <c r="J2451" t="s">
        <v>19</v>
      </c>
      <c r="K2451" t="s">
        <v>20</v>
      </c>
      <c r="L2451" t="s">
        <v>21</v>
      </c>
      <c r="M2451" t="s">
        <v>46</v>
      </c>
      <c r="N2451" t="s">
        <v>47</v>
      </c>
      <c r="O2451" t="s">
        <v>48</v>
      </c>
      <c r="P2451">
        <v>4</v>
      </c>
      <c r="Q2451" s="2">
        <f>Ventas[[#This Row],[precio_base]]*Ventas[[#This Row],[cantidad]]</f>
        <v>749.97</v>
      </c>
      <c r="R2451" s="2">
        <f>Ventas[[#This Row],[Total bruto (antes de descuento)]]-Ventas[[#This Row],[total_venta]]</f>
        <v>0</v>
      </c>
    </row>
    <row r="2452" spans="1:18" x14ac:dyDescent="0.25">
      <c r="A2452" t="s">
        <v>2545</v>
      </c>
      <c r="B2452" s="1">
        <v>45072</v>
      </c>
      <c r="C2452" t="s">
        <v>205</v>
      </c>
      <c r="D2452" t="s">
        <v>18</v>
      </c>
      <c r="E2452">
        <v>3</v>
      </c>
      <c r="F2452" s="2">
        <v>129.99</v>
      </c>
      <c r="G2452">
        <v>10</v>
      </c>
      <c r="H2452" s="2">
        <v>116.99</v>
      </c>
      <c r="I2452" s="2">
        <v>350.97</v>
      </c>
      <c r="J2452" t="s">
        <v>51</v>
      </c>
      <c r="K2452" t="s">
        <v>44</v>
      </c>
      <c r="L2452" t="s">
        <v>21</v>
      </c>
      <c r="M2452" t="s">
        <v>67</v>
      </c>
      <c r="N2452" t="s">
        <v>68</v>
      </c>
      <c r="O2452" t="s">
        <v>35</v>
      </c>
      <c r="Q2452" s="2">
        <f>Ventas[[#This Row],[precio_base]]*Ventas[[#This Row],[cantidad]]</f>
        <v>389.97</v>
      </c>
      <c r="R2452" s="2">
        <f>Ventas[[#This Row],[Total bruto (antes de descuento)]]-Ventas[[#This Row],[total_venta]]</f>
        <v>39</v>
      </c>
    </row>
    <row r="2453" spans="1:18" x14ac:dyDescent="0.25">
      <c r="A2453" t="s">
        <v>2546</v>
      </c>
      <c r="B2453" s="1">
        <v>45486</v>
      </c>
      <c r="C2453" t="s">
        <v>78</v>
      </c>
      <c r="D2453" t="s">
        <v>18</v>
      </c>
      <c r="E2453">
        <v>1</v>
      </c>
      <c r="F2453" s="2">
        <v>349.99</v>
      </c>
      <c r="G2453">
        <v>10</v>
      </c>
      <c r="H2453" s="2">
        <v>314.99</v>
      </c>
      <c r="I2453" s="2">
        <v>314.99</v>
      </c>
      <c r="J2453" t="s">
        <v>116</v>
      </c>
      <c r="K2453" t="s">
        <v>52</v>
      </c>
      <c r="L2453" t="s">
        <v>21</v>
      </c>
      <c r="M2453" t="s">
        <v>39</v>
      </c>
      <c r="N2453" t="s">
        <v>40</v>
      </c>
      <c r="O2453" t="s">
        <v>35</v>
      </c>
      <c r="Q2453" s="2">
        <f>Ventas[[#This Row],[precio_base]]*Ventas[[#This Row],[cantidad]]</f>
        <v>349.99</v>
      </c>
      <c r="R2453" s="2">
        <f>Ventas[[#This Row],[Total bruto (antes de descuento)]]-Ventas[[#This Row],[total_venta]]</f>
        <v>35</v>
      </c>
    </row>
    <row r="2454" spans="1:18" x14ac:dyDescent="0.25">
      <c r="A2454" t="s">
        <v>2547</v>
      </c>
      <c r="B2454" s="1">
        <v>45336</v>
      </c>
      <c r="C2454" t="s">
        <v>50</v>
      </c>
      <c r="D2454" t="s">
        <v>27</v>
      </c>
      <c r="E2454">
        <v>5</v>
      </c>
      <c r="F2454" s="2">
        <v>149.99</v>
      </c>
      <c r="G2454">
        <v>0</v>
      </c>
      <c r="H2454" s="2">
        <v>149.99</v>
      </c>
      <c r="I2454" s="2">
        <v>749.95</v>
      </c>
      <c r="J2454" t="s">
        <v>51</v>
      </c>
      <c r="K2454" t="s">
        <v>20</v>
      </c>
      <c r="L2454" t="s">
        <v>152</v>
      </c>
      <c r="M2454" t="s">
        <v>53</v>
      </c>
      <c r="N2454" t="s">
        <v>54</v>
      </c>
      <c r="O2454" t="s">
        <v>35</v>
      </c>
      <c r="Q2454" s="2">
        <f>Ventas[[#This Row],[precio_base]]*Ventas[[#This Row],[cantidad]]</f>
        <v>749.95</v>
      </c>
      <c r="R2454" s="2">
        <f>Ventas[[#This Row],[Total bruto (antes de descuento)]]-Ventas[[#This Row],[total_venta]]</f>
        <v>0</v>
      </c>
    </row>
    <row r="2455" spans="1:18" x14ac:dyDescent="0.25">
      <c r="A2455" t="s">
        <v>2548</v>
      </c>
      <c r="B2455" s="1">
        <v>45331</v>
      </c>
      <c r="C2455" t="s">
        <v>92</v>
      </c>
      <c r="D2455" t="s">
        <v>27</v>
      </c>
      <c r="E2455">
        <v>2</v>
      </c>
      <c r="F2455" s="2">
        <v>79.989999999999995</v>
      </c>
      <c r="G2455">
        <v>20</v>
      </c>
      <c r="H2455" s="2">
        <v>63.99</v>
      </c>
      <c r="I2455" s="2">
        <v>127.98</v>
      </c>
      <c r="J2455" t="s">
        <v>19</v>
      </c>
      <c r="K2455" t="s">
        <v>44</v>
      </c>
      <c r="L2455" t="s">
        <v>45</v>
      </c>
      <c r="M2455" t="s">
        <v>33</v>
      </c>
      <c r="N2455" t="s">
        <v>34</v>
      </c>
      <c r="O2455" t="s">
        <v>35</v>
      </c>
      <c r="P2455">
        <v>5</v>
      </c>
      <c r="Q2455" s="2">
        <f>Ventas[[#This Row],[precio_base]]*Ventas[[#This Row],[cantidad]]</f>
        <v>159.97999999999999</v>
      </c>
      <c r="R2455" s="2">
        <f>Ventas[[#This Row],[Total bruto (antes de descuento)]]-Ventas[[#This Row],[total_venta]]</f>
        <v>31.999999999999986</v>
      </c>
    </row>
    <row r="2456" spans="1:18" x14ac:dyDescent="0.25">
      <c r="A2456" t="s">
        <v>2549</v>
      </c>
      <c r="B2456" s="1">
        <v>44991</v>
      </c>
      <c r="C2456" t="s">
        <v>56</v>
      </c>
      <c r="D2456" t="s">
        <v>18</v>
      </c>
      <c r="E2456">
        <v>3</v>
      </c>
      <c r="F2456" s="2">
        <v>89.99</v>
      </c>
      <c r="G2456">
        <v>0</v>
      </c>
      <c r="H2456" s="2">
        <v>89.99</v>
      </c>
      <c r="I2456" s="2">
        <v>269.97000000000003</v>
      </c>
      <c r="J2456" t="s">
        <v>19</v>
      </c>
      <c r="K2456" t="s">
        <v>20</v>
      </c>
      <c r="L2456" t="s">
        <v>32</v>
      </c>
      <c r="M2456" t="s">
        <v>67</v>
      </c>
      <c r="N2456" t="s">
        <v>68</v>
      </c>
      <c r="O2456" t="s">
        <v>35</v>
      </c>
      <c r="P2456">
        <v>2</v>
      </c>
      <c r="Q2456" s="2">
        <f>Ventas[[#This Row],[precio_base]]*Ventas[[#This Row],[cantidad]]</f>
        <v>269.96999999999997</v>
      </c>
      <c r="R2456" s="2">
        <f>Ventas[[#This Row],[Total bruto (antes de descuento)]]-Ventas[[#This Row],[total_venta]]</f>
        <v>0</v>
      </c>
    </row>
    <row r="2457" spans="1:18" x14ac:dyDescent="0.25">
      <c r="A2457" t="s">
        <v>2550</v>
      </c>
      <c r="B2457" s="1">
        <v>45293</v>
      </c>
      <c r="C2457" t="s">
        <v>81</v>
      </c>
      <c r="D2457" t="s">
        <v>31</v>
      </c>
      <c r="E2457">
        <v>5</v>
      </c>
      <c r="F2457" s="2">
        <v>189.99</v>
      </c>
      <c r="G2457">
        <v>15</v>
      </c>
      <c r="H2457" s="2">
        <v>161.49</v>
      </c>
      <c r="I2457" s="2">
        <v>807.45</v>
      </c>
      <c r="J2457" t="s">
        <v>62</v>
      </c>
      <c r="K2457" t="s">
        <v>52</v>
      </c>
      <c r="L2457" t="s">
        <v>28</v>
      </c>
      <c r="M2457" t="s">
        <v>67</v>
      </c>
      <c r="N2457" t="s">
        <v>68</v>
      </c>
      <c r="O2457" t="s">
        <v>35</v>
      </c>
      <c r="Q2457" s="2">
        <f>Ventas[[#This Row],[precio_base]]*Ventas[[#This Row],[cantidad]]</f>
        <v>949.95</v>
      </c>
      <c r="R2457" s="2">
        <f>Ventas[[#This Row],[Total bruto (antes de descuento)]]-Ventas[[#This Row],[total_venta]]</f>
        <v>142.5</v>
      </c>
    </row>
    <row r="2458" spans="1:18" x14ac:dyDescent="0.25">
      <c r="A2458" t="s">
        <v>2551</v>
      </c>
      <c r="B2458" s="1">
        <v>45037</v>
      </c>
      <c r="C2458" t="s">
        <v>163</v>
      </c>
      <c r="D2458" t="s">
        <v>18</v>
      </c>
      <c r="E2458">
        <v>2</v>
      </c>
      <c r="F2458" s="2">
        <v>499.99</v>
      </c>
      <c r="G2458">
        <v>5</v>
      </c>
      <c r="H2458" s="2">
        <v>474.99</v>
      </c>
      <c r="I2458" s="2">
        <v>949.98</v>
      </c>
      <c r="J2458" t="s">
        <v>51</v>
      </c>
      <c r="K2458" t="s">
        <v>20</v>
      </c>
      <c r="L2458" t="s">
        <v>21</v>
      </c>
      <c r="M2458" t="s">
        <v>53</v>
      </c>
      <c r="N2458" t="s">
        <v>54</v>
      </c>
      <c r="O2458" t="s">
        <v>35</v>
      </c>
      <c r="Q2458" s="2">
        <f>Ventas[[#This Row],[precio_base]]*Ventas[[#This Row],[cantidad]]</f>
        <v>999.98</v>
      </c>
      <c r="R2458" s="2">
        <f>Ventas[[#This Row],[Total bruto (antes de descuento)]]-Ventas[[#This Row],[total_venta]]</f>
        <v>50</v>
      </c>
    </row>
    <row r="2459" spans="1:18" x14ac:dyDescent="0.25">
      <c r="A2459" t="s">
        <v>2552</v>
      </c>
      <c r="B2459" s="1">
        <v>45181</v>
      </c>
      <c r="C2459" t="s">
        <v>94</v>
      </c>
      <c r="D2459" t="s">
        <v>18</v>
      </c>
      <c r="E2459">
        <v>3</v>
      </c>
      <c r="F2459" s="2">
        <v>899.99</v>
      </c>
      <c r="G2459">
        <v>0</v>
      </c>
      <c r="H2459" s="2">
        <v>899.99</v>
      </c>
      <c r="I2459" s="2">
        <v>2699.97</v>
      </c>
      <c r="J2459" t="s">
        <v>19</v>
      </c>
      <c r="K2459" t="s">
        <v>20</v>
      </c>
      <c r="L2459" t="s">
        <v>28</v>
      </c>
      <c r="M2459" t="s">
        <v>95</v>
      </c>
      <c r="N2459" t="s">
        <v>96</v>
      </c>
      <c r="O2459" t="s">
        <v>48</v>
      </c>
      <c r="P2459">
        <v>1</v>
      </c>
      <c r="Q2459" s="2">
        <f>Ventas[[#This Row],[precio_base]]*Ventas[[#This Row],[cantidad]]</f>
        <v>2699.9700000000003</v>
      </c>
      <c r="R2459" s="2">
        <f>Ventas[[#This Row],[Total bruto (antes de descuento)]]-Ventas[[#This Row],[total_venta]]</f>
        <v>0</v>
      </c>
    </row>
    <row r="2460" spans="1:18" x14ac:dyDescent="0.25">
      <c r="A2460" t="s">
        <v>2553</v>
      </c>
      <c r="B2460" s="1">
        <v>45096</v>
      </c>
      <c r="C2460" t="s">
        <v>89</v>
      </c>
      <c r="D2460" t="s">
        <v>38</v>
      </c>
      <c r="E2460">
        <v>3</v>
      </c>
      <c r="F2460" s="2">
        <v>69.989999999999995</v>
      </c>
      <c r="G2460">
        <v>20</v>
      </c>
      <c r="H2460" s="2">
        <v>55.99</v>
      </c>
      <c r="I2460" s="2">
        <v>167.97</v>
      </c>
      <c r="J2460" t="s">
        <v>19</v>
      </c>
      <c r="K2460" t="s">
        <v>20</v>
      </c>
      <c r="L2460" t="s">
        <v>28</v>
      </c>
      <c r="M2460" t="s">
        <v>63</v>
      </c>
      <c r="N2460" t="s">
        <v>34</v>
      </c>
      <c r="O2460" t="s">
        <v>24</v>
      </c>
      <c r="P2460">
        <v>4</v>
      </c>
      <c r="Q2460" s="2">
        <f>Ventas[[#This Row],[precio_base]]*Ventas[[#This Row],[cantidad]]</f>
        <v>209.96999999999997</v>
      </c>
      <c r="R2460" s="2">
        <f>Ventas[[#This Row],[Total bruto (antes de descuento)]]-Ventas[[#This Row],[total_venta]]</f>
        <v>41.999999999999972</v>
      </c>
    </row>
    <row r="2461" spans="1:18" x14ac:dyDescent="0.25">
      <c r="A2461" t="s">
        <v>2554</v>
      </c>
      <c r="B2461" s="1">
        <v>45252</v>
      </c>
      <c r="C2461" t="s">
        <v>72</v>
      </c>
      <c r="D2461" t="s">
        <v>31</v>
      </c>
      <c r="E2461">
        <v>1</v>
      </c>
      <c r="F2461" s="2">
        <v>29.99</v>
      </c>
      <c r="G2461">
        <v>20</v>
      </c>
      <c r="H2461" s="2">
        <v>23.99</v>
      </c>
      <c r="I2461" s="2">
        <v>23.99</v>
      </c>
      <c r="J2461" t="s">
        <v>19</v>
      </c>
      <c r="K2461" t="s">
        <v>20</v>
      </c>
      <c r="L2461" t="s">
        <v>28</v>
      </c>
      <c r="M2461" t="s">
        <v>58</v>
      </c>
      <c r="N2461" t="s">
        <v>59</v>
      </c>
      <c r="O2461" t="s">
        <v>24</v>
      </c>
      <c r="P2461">
        <v>4</v>
      </c>
      <c r="Q2461" s="2">
        <f>Ventas[[#This Row],[precio_base]]*Ventas[[#This Row],[cantidad]]</f>
        <v>29.99</v>
      </c>
      <c r="R2461" s="2">
        <f>Ventas[[#This Row],[Total bruto (antes de descuento)]]-Ventas[[#This Row],[total_venta]]</f>
        <v>6</v>
      </c>
    </row>
    <row r="2462" spans="1:18" x14ac:dyDescent="0.25">
      <c r="A2462" t="s">
        <v>2555</v>
      </c>
      <c r="B2462" s="1">
        <v>45338</v>
      </c>
      <c r="C2462" t="s">
        <v>42</v>
      </c>
      <c r="D2462" t="s">
        <v>43</v>
      </c>
      <c r="E2462">
        <v>1</v>
      </c>
      <c r="F2462" s="2">
        <v>349.99</v>
      </c>
      <c r="G2462">
        <v>5</v>
      </c>
      <c r="H2462" s="2">
        <v>332.49</v>
      </c>
      <c r="I2462" s="2">
        <v>332.49</v>
      </c>
      <c r="J2462" t="s">
        <v>51</v>
      </c>
      <c r="K2462" t="s">
        <v>52</v>
      </c>
      <c r="L2462" t="s">
        <v>152</v>
      </c>
      <c r="M2462" t="s">
        <v>101</v>
      </c>
      <c r="N2462" t="s">
        <v>102</v>
      </c>
      <c r="O2462" t="s">
        <v>35</v>
      </c>
      <c r="Q2462" s="2">
        <f>Ventas[[#This Row],[precio_base]]*Ventas[[#This Row],[cantidad]]</f>
        <v>349.99</v>
      </c>
      <c r="R2462" s="2">
        <f>Ventas[[#This Row],[Total bruto (antes de descuento)]]-Ventas[[#This Row],[total_venta]]</f>
        <v>17.5</v>
      </c>
    </row>
    <row r="2463" spans="1:18" x14ac:dyDescent="0.25">
      <c r="A2463" t="s">
        <v>2556</v>
      </c>
      <c r="B2463" s="1">
        <v>44993</v>
      </c>
      <c r="C2463" t="s">
        <v>98</v>
      </c>
      <c r="D2463" t="s">
        <v>31</v>
      </c>
      <c r="E2463">
        <v>5</v>
      </c>
      <c r="F2463" s="2">
        <v>99.99</v>
      </c>
      <c r="G2463">
        <v>0</v>
      </c>
      <c r="H2463" s="2">
        <v>99.99</v>
      </c>
      <c r="I2463" s="2">
        <v>499.95</v>
      </c>
      <c r="J2463" t="s">
        <v>51</v>
      </c>
      <c r="K2463" t="s">
        <v>44</v>
      </c>
      <c r="L2463" t="s">
        <v>28</v>
      </c>
      <c r="M2463" t="s">
        <v>33</v>
      </c>
      <c r="N2463" t="s">
        <v>34</v>
      </c>
      <c r="O2463" t="s">
        <v>35</v>
      </c>
      <c r="Q2463" s="2">
        <f>Ventas[[#This Row],[precio_base]]*Ventas[[#This Row],[cantidad]]</f>
        <v>499.95</v>
      </c>
      <c r="R2463" s="2">
        <f>Ventas[[#This Row],[Total bruto (antes de descuento)]]-Ventas[[#This Row],[total_venta]]</f>
        <v>0</v>
      </c>
    </row>
    <row r="2464" spans="1:18" x14ac:dyDescent="0.25">
      <c r="A2464" t="s">
        <v>2557</v>
      </c>
      <c r="B2464" s="1">
        <v>45572</v>
      </c>
      <c r="C2464" t="s">
        <v>94</v>
      </c>
      <c r="D2464" t="s">
        <v>18</v>
      </c>
      <c r="E2464">
        <v>5</v>
      </c>
      <c r="F2464" s="2">
        <v>899.99</v>
      </c>
      <c r="G2464">
        <v>10</v>
      </c>
      <c r="H2464" s="2">
        <v>809.99</v>
      </c>
      <c r="I2464" s="2">
        <v>4049.95</v>
      </c>
      <c r="J2464" t="s">
        <v>90</v>
      </c>
      <c r="K2464" t="s">
        <v>20</v>
      </c>
      <c r="L2464" t="s">
        <v>45</v>
      </c>
      <c r="M2464" t="s">
        <v>84</v>
      </c>
      <c r="N2464" t="s">
        <v>85</v>
      </c>
      <c r="O2464" t="s">
        <v>35</v>
      </c>
      <c r="Q2464" s="2">
        <f>Ventas[[#This Row],[precio_base]]*Ventas[[#This Row],[cantidad]]</f>
        <v>4499.95</v>
      </c>
      <c r="R2464" s="2">
        <f>Ventas[[#This Row],[Total bruto (antes de descuento)]]-Ventas[[#This Row],[total_venta]]</f>
        <v>450</v>
      </c>
    </row>
    <row r="2465" spans="1:18" x14ac:dyDescent="0.25">
      <c r="A2465" t="s">
        <v>2558</v>
      </c>
      <c r="B2465" s="1">
        <v>45491</v>
      </c>
      <c r="C2465" t="s">
        <v>78</v>
      </c>
      <c r="D2465" t="s">
        <v>18</v>
      </c>
      <c r="E2465">
        <v>1</v>
      </c>
      <c r="F2465" s="2">
        <v>349.99</v>
      </c>
      <c r="G2465">
        <v>0</v>
      </c>
      <c r="H2465" s="2">
        <v>349.99</v>
      </c>
      <c r="I2465" s="2">
        <v>349.99</v>
      </c>
      <c r="J2465" t="s">
        <v>19</v>
      </c>
      <c r="K2465" t="s">
        <v>20</v>
      </c>
      <c r="L2465" t="s">
        <v>32</v>
      </c>
      <c r="M2465" t="s">
        <v>58</v>
      </c>
      <c r="N2465" t="s">
        <v>59</v>
      </c>
      <c r="O2465" t="s">
        <v>24</v>
      </c>
      <c r="P2465">
        <v>1</v>
      </c>
      <c r="Q2465" s="2">
        <f>Ventas[[#This Row],[precio_base]]*Ventas[[#This Row],[cantidad]]</f>
        <v>349.99</v>
      </c>
      <c r="R2465" s="2">
        <f>Ventas[[#This Row],[Total bruto (antes de descuento)]]-Ventas[[#This Row],[total_venta]]</f>
        <v>0</v>
      </c>
    </row>
    <row r="2466" spans="1:18" x14ac:dyDescent="0.25">
      <c r="A2466" t="s">
        <v>2559</v>
      </c>
      <c r="B2466" s="1">
        <v>45158</v>
      </c>
      <c r="C2466" t="s">
        <v>143</v>
      </c>
      <c r="D2466" t="s">
        <v>43</v>
      </c>
      <c r="E2466">
        <v>3</v>
      </c>
      <c r="F2466" s="2">
        <v>34.99</v>
      </c>
      <c r="G2466">
        <v>10</v>
      </c>
      <c r="H2466" s="2">
        <v>31.49</v>
      </c>
      <c r="I2466" s="2">
        <v>94.47</v>
      </c>
      <c r="J2466" t="s">
        <v>19</v>
      </c>
      <c r="K2466" t="s">
        <v>44</v>
      </c>
      <c r="L2466" t="s">
        <v>152</v>
      </c>
      <c r="M2466" t="s">
        <v>120</v>
      </c>
      <c r="N2466" t="s">
        <v>23</v>
      </c>
      <c r="O2466" t="s">
        <v>24</v>
      </c>
      <c r="P2466">
        <v>5</v>
      </c>
      <c r="Q2466" s="2">
        <f>Ventas[[#This Row],[precio_base]]*Ventas[[#This Row],[cantidad]]</f>
        <v>104.97</v>
      </c>
      <c r="R2466" s="2">
        <f>Ventas[[#This Row],[Total bruto (antes de descuento)]]-Ventas[[#This Row],[total_venta]]</f>
        <v>10.5</v>
      </c>
    </row>
    <row r="2467" spans="1:18" x14ac:dyDescent="0.25">
      <c r="A2467" t="s">
        <v>2560</v>
      </c>
      <c r="B2467" s="1">
        <v>45359</v>
      </c>
      <c r="C2467" t="s">
        <v>156</v>
      </c>
      <c r="D2467" t="s">
        <v>27</v>
      </c>
      <c r="E2467">
        <v>5</v>
      </c>
      <c r="F2467" s="2">
        <v>49.99</v>
      </c>
      <c r="G2467">
        <v>10</v>
      </c>
      <c r="H2467" s="2">
        <v>44.99</v>
      </c>
      <c r="I2467" s="2">
        <v>224.95</v>
      </c>
      <c r="J2467" t="s">
        <v>62</v>
      </c>
      <c r="K2467" t="s">
        <v>44</v>
      </c>
      <c r="L2467" t="s">
        <v>45</v>
      </c>
      <c r="M2467" t="s">
        <v>22</v>
      </c>
      <c r="N2467" t="s">
        <v>23</v>
      </c>
      <c r="O2467" t="s">
        <v>24</v>
      </c>
      <c r="Q2467" s="2">
        <f>Ventas[[#This Row],[precio_base]]*Ventas[[#This Row],[cantidad]]</f>
        <v>249.95000000000002</v>
      </c>
      <c r="R2467" s="2">
        <f>Ventas[[#This Row],[Total bruto (antes de descuento)]]-Ventas[[#This Row],[total_venta]]</f>
        <v>25.000000000000028</v>
      </c>
    </row>
    <row r="2468" spans="1:18" x14ac:dyDescent="0.25">
      <c r="A2468" t="s">
        <v>2561</v>
      </c>
      <c r="B2468" s="1">
        <v>45640</v>
      </c>
      <c r="C2468" t="s">
        <v>156</v>
      </c>
      <c r="D2468" t="s">
        <v>27</v>
      </c>
      <c r="E2468">
        <v>5</v>
      </c>
      <c r="F2468" s="2">
        <v>49.99</v>
      </c>
      <c r="G2468">
        <v>5</v>
      </c>
      <c r="H2468" s="2">
        <v>47.49</v>
      </c>
      <c r="I2468" s="2">
        <v>237.45</v>
      </c>
      <c r="J2468" t="s">
        <v>19</v>
      </c>
      <c r="K2468" t="s">
        <v>20</v>
      </c>
      <c r="L2468" t="s">
        <v>21</v>
      </c>
      <c r="M2468" t="s">
        <v>65</v>
      </c>
      <c r="N2468" t="s">
        <v>54</v>
      </c>
      <c r="O2468" t="s">
        <v>35</v>
      </c>
      <c r="P2468">
        <v>1</v>
      </c>
      <c r="Q2468" s="2">
        <f>Ventas[[#This Row],[precio_base]]*Ventas[[#This Row],[cantidad]]</f>
        <v>249.95000000000002</v>
      </c>
      <c r="R2468" s="2">
        <f>Ventas[[#This Row],[Total bruto (antes de descuento)]]-Ventas[[#This Row],[total_venta]]</f>
        <v>12.500000000000028</v>
      </c>
    </row>
    <row r="2469" spans="1:18" x14ac:dyDescent="0.25">
      <c r="A2469" t="s">
        <v>2562</v>
      </c>
      <c r="B2469" s="1">
        <v>45262</v>
      </c>
      <c r="C2469" t="s">
        <v>141</v>
      </c>
      <c r="D2469" t="s">
        <v>38</v>
      </c>
      <c r="E2469">
        <v>5</v>
      </c>
      <c r="F2469" s="2">
        <v>89.99</v>
      </c>
      <c r="G2469">
        <v>0</v>
      </c>
      <c r="H2469" s="2">
        <v>89.99</v>
      </c>
      <c r="I2469" s="2">
        <v>449.95</v>
      </c>
      <c r="J2469" t="s">
        <v>116</v>
      </c>
      <c r="K2469" t="s">
        <v>44</v>
      </c>
      <c r="L2469" t="s">
        <v>21</v>
      </c>
      <c r="M2469" t="s">
        <v>39</v>
      </c>
      <c r="N2469" t="s">
        <v>40</v>
      </c>
      <c r="O2469" t="s">
        <v>35</v>
      </c>
      <c r="Q2469" s="2">
        <f>Ventas[[#This Row],[precio_base]]*Ventas[[#This Row],[cantidad]]</f>
        <v>449.95</v>
      </c>
      <c r="R2469" s="2">
        <f>Ventas[[#This Row],[Total bruto (antes de descuento)]]-Ventas[[#This Row],[total_venta]]</f>
        <v>0</v>
      </c>
    </row>
    <row r="2470" spans="1:18" x14ac:dyDescent="0.25">
      <c r="A2470" t="s">
        <v>2563</v>
      </c>
      <c r="B2470" s="1">
        <v>45555</v>
      </c>
      <c r="C2470" t="s">
        <v>78</v>
      </c>
      <c r="D2470" t="s">
        <v>18</v>
      </c>
      <c r="E2470">
        <v>5</v>
      </c>
      <c r="F2470" s="2">
        <v>349.99</v>
      </c>
      <c r="G2470">
        <v>15</v>
      </c>
      <c r="H2470" s="2">
        <v>297.49</v>
      </c>
      <c r="I2470" s="2">
        <v>1487.45</v>
      </c>
      <c r="J2470" t="s">
        <v>19</v>
      </c>
      <c r="K2470" t="s">
        <v>44</v>
      </c>
      <c r="L2470" t="s">
        <v>45</v>
      </c>
      <c r="M2470" t="s">
        <v>67</v>
      </c>
      <c r="N2470" t="s">
        <v>68</v>
      </c>
      <c r="O2470" t="s">
        <v>35</v>
      </c>
      <c r="P2470">
        <v>3</v>
      </c>
      <c r="Q2470" s="2">
        <f>Ventas[[#This Row],[precio_base]]*Ventas[[#This Row],[cantidad]]</f>
        <v>1749.95</v>
      </c>
      <c r="R2470" s="2">
        <f>Ventas[[#This Row],[Total bruto (antes de descuento)]]-Ventas[[#This Row],[total_venta]]</f>
        <v>262.5</v>
      </c>
    </row>
    <row r="2471" spans="1:18" x14ac:dyDescent="0.25">
      <c r="A2471" t="s">
        <v>2564</v>
      </c>
      <c r="B2471" s="1">
        <v>45179</v>
      </c>
      <c r="C2471" t="s">
        <v>30</v>
      </c>
      <c r="D2471" t="s">
        <v>31</v>
      </c>
      <c r="E2471">
        <v>4</v>
      </c>
      <c r="F2471" s="2">
        <v>299.99</v>
      </c>
      <c r="G2471">
        <v>15</v>
      </c>
      <c r="H2471" s="2">
        <v>254.99</v>
      </c>
      <c r="I2471" s="2">
        <v>1019.96</v>
      </c>
      <c r="J2471" t="s">
        <v>19</v>
      </c>
      <c r="K2471" t="s">
        <v>20</v>
      </c>
      <c r="L2471" t="s">
        <v>21</v>
      </c>
      <c r="M2471" t="s">
        <v>95</v>
      </c>
      <c r="N2471" t="s">
        <v>96</v>
      </c>
      <c r="O2471" t="s">
        <v>48</v>
      </c>
      <c r="P2471">
        <v>1</v>
      </c>
      <c r="Q2471" s="2">
        <f>Ventas[[#This Row],[precio_base]]*Ventas[[#This Row],[cantidad]]</f>
        <v>1199.96</v>
      </c>
      <c r="R2471" s="2">
        <f>Ventas[[#This Row],[Total bruto (antes de descuento)]]-Ventas[[#This Row],[total_venta]]</f>
        <v>180</v>
      </c>
    </row>
    <row r="2472" spans="1:18" x14ac:dyDescent="0.25">
      <c r="A2472" t="s">
        <v>2565</v>
      </c>
      <c r="B2472" s="1">
        <v>45159</v>
      </c>
      <c r="C2472" t="s">
        <v>143</v>
      </c>
      <c r="D2472" t="s">
        <v>43</v>
      </c>
      <c r="E2472">
        <v>5</v>
      </c>
      <c r="F2472" s="2">
        <v>34.99</v>
      </c>
      <c r="G2472">
        <v>10</v>
      </c>
      <c r="H2472" s="2">
        <v>31.49</v>
      </c>
      <c r="I2472" s="2">
        <v>157.44999999999999</v>
      </c>
      <c r="J2472" t="s">
        <v>51</v>
      </c>
      <c r="K2472" t="s">
        <v>52</v>
      </c>
      <c r="L2472" t="s">
        <v>21</v>
      </c>
      <c r="M2472" t="s">
        <v>65</v>
      </c>
      <c r="N2472" t="s">
        <v>54</v>
      </c>
      <c r="O2472" t="s">
        <v>35</v>
      </c>
      <c r="Q2472" s="2">
        <f>Ventas[[#This Row],[precio_base]]*Ventas[[#This Row],[cantidad]]</f>
        <v>174.95000000000002</v>
      </c>
      <c r="R2472" s="2">
        <f>Ventas[[#This Row],[Total bruto (antes de descuento)]]-Ventas[[#This Row],[total_venta]]</f>
        <v>17.500000000000028</v>
      </c>
    </row>
    <row r="2473" spans="1:18" x14ac:dyDescent="0.25">
      <c r="A2473" t="s">
        <v>2566</v>
      </c>
      <c r="B2473" s="1">
        <v>45248</v>
      </c>
      <c r="C2473" t="s">
        <v>163</v>
      </c>
      <c r="D2473" t="s">
        <v>18</v>
      </c>
      <c r="E2473">
        <v>4</v>
      </c>
      <c r="F2473" s="2">
        <v>499.99</v>
      </c>
      <c r="G2473">
        <v>15</v>
      </c>
      <c r="H2473" s="2">
        <v>424.99</v>
      </c>
      <c r="I2473" s="2">
        <v>1699.96</v>
      </c>
      <c r="J2473" t="s">
        <v>51</v>
      </c>
      <c r="K2473" t="s">
        <v>44</v>
      </c>
      <c r="L2473" t="s">
        <v>21</v>
      </c>
      <c r="M2473" t="s">
        <v>95</v>
      </c>
      <c r="N2473" t="s">
        <v>96</v>
      </c>
      <c r="O2473" t="s">
        <v>48</v>
      </c>
      <c r="Q2473" s="2">
        <f>Ventas[[#This Row],[precio_base]]*Ventas[[#This Row],[cantidad]]</f>
        <v>1999.96</v>
      </c>
      <c r="R2473" s="2">
        <f>Ventas[[#This Row],[Total bruto (antes de descuento)]]-Ventas[[#This Row],[total_venta]]</f>
        <v>300</v>
      </c>
    </row>
    <row r="2474" spans="1:18" x14ac:dyDescent="0.25">
      <c r="A2474" t="s">
        <v>2567</v>
      </c>
      <c r="B2474" s="1">
        <v>45308</v>
      </c>
      <c r="C2474" t="s">
        <v>156</v>
      </c>
      <c r="D2474" t="s">
        <v>27</v>
      </c>
      <c r="E2474">
        <v>1</v>
      </c>
      <c r="F2474" s="2">
        <v>49.99</v>
      </c>
      <c r="G2474">
        <v>5</v>
      </c>
      <c r="H2474" s="2">
        <v>47.49</v>
      </c>
      <c r="I2474" s="2">
        <v>47.49</v>
      </c>
      <c r="J2474" t="s">
        <v>19</v>
      </c>
      <c r="K2474" t="s">
        <v>20</v>
      </c>
      <c r="L2474" t="s">
        <v>28</v>
      </c>
      <c r="M2474" t="s">
        <v>46</v>
      </c>
      <c r="N2474" t="s">
        <v>47</v>
      </c>
      <c r="O2474" t="s">
        <v>48</v>
      </c>
      <c r="P2474">
        <v>5</v>
      </c>
      <c r="Q2474" s="2">
        <f>Ventas[[#This Row],[precio_base]]*Ventas[[#This Row],[cantidad]]</f>
        <v>49.99</v>
      </c>
      <c r="R2474" s="2">
        <f>Ventas[[#This Row],[Total bruto (antes de descuento)]]-Ventas[[#This Row],[total_venta]]</f>
        <v>2.5</v>
      </c>
    </row>
    <row r="2475" spans="1:18" x14ac:dyDescent="0.25">
      <c r="A2475" t="s">
        <v>2568</v>
      </c>
      <c r="B2475" s="1">
        <v>45235</v>
      </c>
      <c r="C2475" t="s">
        <v>70</v>
      </c>
      <c r="D2475" t="s">
        <v>31</v>
      </c>
      <c r="E2475">
        <v>2</v>
      </c>
      <c r="F2475" s="2">
        <v>59.99</v>
      </c>
      <c r="G2475">
        <v>0</v>
      </c>
      <c r="H2475" s="2">
        <v>59.99</v>
      </c>
      <c r="I2475" s="2">
        <v>119.98</v>
      </c>
      <c r="J2475" t="s">
        <v>19</v>
      </c>
      <c r="K2475" t="s">
        <v>20</v>
      </c>
      <c r="L2475" t="s">
        <v>21</v>
      </c>
      <c r="M2475" t="s">
        <v>33</v>
      </c>
      <c r="N2475" t="s">
        <v>34</v>
      </c>
      <c r="O2475" t="s">
        <v>35</v>
      </c>
      <c r="P2475">
        <v>4</v>
      </c>
      <c r="Q2475" s="2">
        <f>Ventas[[#This Row],[precio_base]]*Ventas[[#This Row],[cantidad]]</f>
        <v>119.98</v>
      </c>
      <c r="R2475" s="2">
        <f>Ventas[[#This Row],[Total bruto (antes de descuento)]]-Ventas[[#This Row],[total_venta]]</f>
        <v>0</v>
      </c>
    </row>
    <row r="2476" spans="1:18" x14ac:dyDescent="0.25">
      <c r="A2476" t="s">
        <v>2569</v>
      </c>
      <c r="B2476" s="1">
        <v>45311</v>
      </c>
      <c r="C2476" t="s">
        <v>81</v>
      </c>
      <c r="D2476" t="s">
        <v>31</v>
      </c>
      <c r="E2476">
        <v>3</v>
      </c>
      <c r="F2476" s="2">
        <v>189.99</v>
      </c>
      <c r="G2476">
        <v>20</v>
      </c>
      <c r="H2476" s="2">
        <v>151.99</v>
      </c>
      <c r="I2476" s="2">
        <v>455.97</v>
      </c>
      <c r="J2476" t="s">
        <v>90</v>
      </c>
      <c r="K2476" t="s">
        <v>44</v>
      </c>
      <c r="L2476" t="s">
        <v>45</v>
      </c>
      <c r="M2476" t="s">
        <v>67</v>
      </c>
      <c r="N2476" t="s">
        <v>68</v>
      </c>
      <c r="O2476" t="s">
        <v>35</v>
      </c>
      <c r="Q2476" s="2">
        <f>Ventas[[#This Row],[precio_base]]*Ventas[[#This Row],[cantidad]]</f>
        <v>569.97</v>
      </c>
      <c r="R2476" s="2">
        <f>Ventas[[#This Row],[Total bruto (antes de descuento)]]-Ventas[[#This Row],[total_venta]]</f>
        <v>114</v>
      </c>
    </row>
    <row r="2477" spans="1:18" x14ac:dyDescent="0.25">
      <c r="A2477" t="s">
        <v>2570</v>
      </c>
      <c r="B2477" s="1">
        <v>45436</v>
      </c>
      <c r="C2477" t="s">
        <v>37</v>
      </c>
      <c r="D2477" t="s">
        <v>38</v>
      </c>
      <c r="E2477">
        <v>1</v>
      </c>
      <c r="F2477" s="2">
        <v>34.99</v>
      </c>
      <c r="G2477">
        <v>0</v>
      </c>
      <c r="H2477" s="2">
        <v>34.99</v>
      </c>
      <c r="I2477" s="2">
        <v>34.99</v>
      </c>
      <c r="J2477" t="s">
        <v>51</v>
      </c>
      <c r="K2477" t="s">
        <v>20</v>
      </c>
      <c r="L2477" t="s">
        <v>32</v>
      </c>
      <c r="M2477" t="s">
        <v>58</v>
      </c>
      <c r="N2477" t="s">
        <v>59</v>
      </c>
      <c r="O2477" t="s">
        <v>24</v>
      </c>
      <c r="Q2477" s="2">
        <f>Ventas[[#This Row],[precio_base]]*Ventas[[#This Row],[cantidad]]</f>
        <v>34.99</v>
      </c>
      <c r="R2477" s="2">
        <f>Ventas[[#This Row],[Total bruto (antes de descuento)]]-Ventas[[#This Row],[total_venta]]</f>
        <v>0</v>
      </c>
    </row>
    <row r="2478" spans="1:18" x14ac:dyDescent="0.25">
      <c r="A2478" t="s">
        <v>2571</v>
      </c>
      <c r="B2478" s="1">
        <v>45245</v>
      </c>
      <c r="C2478" t="s">
        <v>141</v>
      </c>
      <c r="D2478" t="s">
        <v>38</v>
      </c>
      <c r="E2478">
        <v>4</v>
      </c>
      <c r="F2478" s="2">
        <v>89.99</v>
      </c>
      <c r="G2478">
        <v>20</v>
      </c>
      <c r="H2478" s="2">
        <v>71.989999999999995</v>
      </c>
      <c r="I2478" s="2">
        <v>287.95999999999998</v>
      </c>
      <c r="J2478" t="s">
        <v>19</v>
      </c>
      <c r="K2478" t="s">
        <v>20</v>
      </c>
      <c r="L2478" t="s">
        <v>45</v>
      </c>
      <c r="M2478" t="s">
        <v>39</v>
      </c>
      <c r="N2478" t="s">
        <v>40</v>
      </c>
      <c r="O2478" t="s">
        <v>35</v>
      </c>
      <c r="P2478">
        <v>1</v>
      </c>
      <c r="Q2478" s="2">
        <f>Ventas[[#This Row],[precio_base]]*Ventas[[#This Row],[cantidad]]</f>
        <v>359.96</v>
      </c>
      <c r="R2478" s="2">
        <f>Ventas[[#This Row],[Total bruto (antes de descuento)]]-Ventas[[#This Row],[total_venta]]</f>
        <v>72</v>
      </c>
    </row>
    <row r="2479" spans="1:18" x14ac:dyDescent="0.25">
      <c r="A2479" t="s">
        <v>2572</v>
      </c>
      <c r="B2479" s="1">
        <v>45511</v>
      </c>
      <c r="C2479" t="s">
        <v>151</v>
      </c>
      <c r="D2479" t="s">
        <v>27</v>
      </c>
      <c r="E2479">
        <v>3</v>
      </c>
      <c r="F2479" s="2">
        <v>599.99</v>
      </c>
      <c r="G2479">
        <v>20</v>
      </c>
      <c r="H2479" s="2">
        <v>479.99</v>
      </c>
      <c r="I2479" s="2">
        <v>1439.97</v>
      </c>
      <c r="J2479" t="s">
        <v>19</v>
      </c>
      <c r="K2479" t="s">
        <v>20</v>
      </c>
      <c r="L2479" t="s">
        <v>45</v>
      </c>
      <c r="M2479" t="s">
        <v>22</v>
      </c>
      <c r="N2479" t="s">
        <v>23</v>
      </c>
      <c r="O2479" t="s">
        <v>24</v>
      </c>
      <c r="P2479">
        <v>5</v>
      </c>
      <c r="Q2479" s="2">
        <f>Ventas[[#This Row],[precio_base]]*Ventas[[#This Row],[cantidad]]</f>
        <v>1799.97</v>
      </c>
      <c r="R2479" s="2">
        <f>Ventas[[#This Row],[Total bruto (antes de descuento)]]-Ventas[[#This Row],[total_venta]]</f>
        <v>360</v>
      </c>
    </row>
    <row r="2480" spans="1:18" x14ac:dyDescent="0.25">
      <c r="A2480" t="s">
        <v>2573</v>
      </c>
      <c r="B2480" s="1">
        <v>44956</v>
      </c>
      <c r="C2480" t="s">
        <v>37</v>
      </c>
      <c r="D2480" t="s">
        <v>38</v>
      </c>
      <c r="E2480">
        <v>2</v>
      </c>
      <c r="F2480" s="2">
        <v>34.99</v>
      </c>
      <c r="G2480">
        <v>0</v>
      </c>
      <c r="H2480" s="2">
        <v>34.99</v>
      </c>
      <c r="I2480" s="2">
        <v>69.98</v>
      </c>
      <c r="J2480" t="s">
        <v>62</v>
      </c>
      <c r="K2480" t="s">
        <v>20</v>
      </c>
      <c r="L2480" t="s">
        <v>45</v>
      </c>
      <c r="M2480" t="s">
        <v>123</v>
      </c>
      <c r="N2480" t="s">
        <v>124</v>
      </c>
      <c r="O2480" t="s">
        <v>24</v>
      </c>
      <c r="Q2480" s="2">
        <f>Ventas[[#This Row],[precio_base]]*Ventas[[#This Row],[cantidad]]</f>
        <v>69.98</v>
      </c>
      <c r="R2480" s="2">
        <f>Ventas[[#This Row],[Total bruto (antes de descuento)]]-Ventas[[#This Row],[total_venta]]</f>
        <v>0</v>
      </c>
    </row>
    <row r="2481" spans="1:18" x14ac:dyDescent="0.25">
      <c r="A2481" t="s">
        <v>2574</v>
      </c>
      <c r="B2481" s="1">
        <v>45317</v>
      </c>
      <c r="C2481" t="s">
        <v>70</v>
      </c>
      <c r="D2481" t="s">
        <v>31</v>
      </c>
      <c r="E2481">
        <v>2</v>
      </c>
      <c r="F2481" s="2">
        <v>59.99</v>
      </c>
      <c r="G2481">
        <v>20</v>
      </c>
      <c r="H2481" s="2">
        <v>47.99</v>
      </c>
      <c r="I2481" s="2">
        <v>95.98</v>
      </c>
      <c r="J2481" t="s">
        <v>51</v>
      </c>
      <c r="K2481" t="s">
        <v>20</v>
      </c>
      <c r="L2481" t="s">
        <v>28</v>
      </c>
      <c r="M2481" t="s">
        <v>39</v>
      </c>
      <c r="N2481" t="s">
        <v>40</v>
      </c>
      <c r="O2481" t="s">
        <v>35</v>
      </c>
      <c r="Q2481" s="2">
        <f>Ventas[[#This Row],[precio_base]]*Ventas[[#This Row],[cantidad]]</f>
        <v>119.98</v>
      </c>
      <c r="R2481" s="2">
        <f>Ventas[[#This Row],[Total bruto (antes de descuento)]]-Ventas[[#This Row],[total_venta]]</f>
        <v>24</v>
      </c>
    </row>
    <row r="2482" spans="1:18" x14ac:dyDescent="0.25">
      <c r="A2482" t="s">
        <v>2575</v>
      </c>
      <c r="B2482" s="1">
        <v>44982</v>
      </c>
      <c r="C2482" t="s">
        <v>17</v>
      </c>
      <c r="D2482" t="s">
        <v>18</v>
      </c>
      <c r="E2482">
        <v>4</v>
      </c>
      <c r="F2482" s="2">
        <v>45.99</v>
      </c>
      <c r="G2482">
        <v>15</v>
      </c>
      <c r="H2482" s="2">
        <v>39.090000000000003</v>
      </c>
      <c r="I2482" s="2">
        <v>156.36000000000001</v>
      </c>
      <c r="J2482" t="s">
        <v>19</v>
      </c>
      <c r="K2482" t="s">
        <v>20</v>
      </c>
      <c r="L2482" t="s">
        <v>152</v>
      </c>
      <c r="M2482" t="s">
        <v>33</v>
      </c>
      <c r="N2482" t="s">
        <v>34</v>
      </c>
      <c r="O2482" t="s">
        <v>35</v>
      </c>
      <c r="P2482">
        <v>1</v>
      </c>
      <c r="Q2482" s="2">
        <f>Ventas[[#This Row],[precio_base]]*Ventas[[#This Row],[cantidad]]</f>
        <v>183.96</v>
      </c>
      <c r="R2482" s="2">
        <f>Ventas[[#This Row],[Total bruto (antes de descuento)]]-Ventas[[#This Row],[total_venta]]</f>
        <v>27.599999999999994</v>
      </c>
    </row>
    <row r="2483" spans="1:18" x14ac:dyDescent="0.25">
      <c r="A2483" t="s">
        <v>2576</v>
      </c>
      <c r="B2483" s="1">
        <v>45638</v>
      </c>
      <c r="C2483" t="s">
        <v>122</v>
      </c>
      <c r="D2483" t="s">
        <v>43</v>
      </c>
      <c r="E2483">
        <v>4</v>
      </c>
      <c r="F2483" s="2">
        <v>44.99</v>
      </c>
      <c r="G2483">
        <v>0</v>
      </c>
      <c r="H2483" s="2">
        <v>44.99</v>
      </c>
      <c r="I2483" s="2">
        <v>179.96</v>
      </c>
      <c r="J2483" t="s">
        <v>62</v>
      </c>
      <c r="K2483" t="s">
        <v>20</v>
      </c>
      <c r="L2483" t="s">
        <v>21</v>
      </c>
      <c r="M2483" t="s">
        <v>95</v>
      </c>
      <c r="N2483" t="s">
        <v>96</v>
      </c>
      <c r="O2483" t="s">
        <v>48</v>
      </c>
      <c r="Q2483" s="2">
        <f>Ventas[[#This Row],[precio_base]]*Ventas[[#This Row],[cantidad]]</f>
        <v>179.96</v>
      </c>
      <c r="R2483" s="2">
        <f>Ventas[[#This Row],[Total bruto (antes de descuento)]]-Ventas[[#This Row],[total_venta]]</f>
        <v>0</v>
      </c>
    </row>
    <row r="2484" spans="1:18" x14ac:dyDescent="0.25">
      <c r="A2484" t="s">
        <v>2577</v>
      </c>
      <c r="B2484" s="1">
        <v>45389</v>
      </c>
      <c r="C2484" t="s">
        <v>37</v>
      </c>
      <c r="D2484" t="s">
        <v>38</v>
      </c>
      <c r="E2484">
        <v>4</v>
      </c>
      <c r="F2484" s="2">
        <v>34.99</v>
      </c>
      <c r="G2484">
        <v>15</v>
      </c>
      <c r="H2484" s="2">
        <v>29.74</v>
      </c>
      <c r="I2484" s="2">
        <v>118.96</v>
      </c>
      <c r="J2484" t="s">
        <v>51</v>
      </c>
      <c r="K2484" t="s">
        <v>20</v>
      </c>
      <c r="L2484" t="s">
        <v>28</v>
      </c>
      <c r="M2484" t="s">
        <v>58</v>
      </c>
      <c r="N2484" t="s">
        <v>59</v>
      </c>
      <c r="O2484" t="s">
        <v>24</v>
      </c>
      <c r="Q2484" s="2">
        <f>Ventas[[#This Row],[precio_base]]*Ventas[[#This Row],[cantidad]]</f>
        <v>139.96</v>
      </c>
      <c r="R2484" s="2">
        <f>Ventas[[#This Row],[Total bruto (antes de descuento)]]-Ventas[[#This Row],[total_venta]]</f>
        <v>21.000000000000014</v>
      </c>
    </row>
    <row r="2485" spans="1:18" x14ac:dyDescent="0.25">
      <c r="A2485" t="s">
        <v>2578</v>
      </c>
      <c r="B2485" s="1">
        <v>45554</v>
      </c>
      <c r="C2485" t="s">
        <v>56</v>
      </c>
      <c r="D2485" t="s">
        <v>18</v>
      </c>
      <c r="E2485">
        <v>4</v>
      </c>
      <c r="F2485" s="2">
        <v>89.99</v>
      </c>
      <c r="G2485">
        <v>0</v>
      </c>
      <c r="H2485" s="2">
        <v>89.99</v>
      </c>
      <c r="I2485" s="2">
        <v>359.96</v>
      </c>
      <c r="J2485" t="s">
        <v>19</v>
      </c>
      <c r="K2485" t="s">
        <v>20</v>
      </c>
      <c r="L2485" t="s">
        <v>152</v>
      </c>
      <c r="M2485" t="s">
        <v>63</v>
      </c>
      <c r="N2485" t="s">
        <v>34</v>
      </c>
      <c r="O2485" t="s">
        <v>24</v>
      </c>
      <c r="P2485">
        <v>1</v>
      </c>
      <c r="Q2485" s="2">
        <f>Ventas[[#This Row],[precio_base]]*Ventas[[#This Row],[cantidad]]</f>
        <v>359.96</v>
      </c>
      <c r="R2485" s="2">
        <f>Ventas[[#This Row],[Total bruto (antes de descuento)]]-Ventas[[#This Row],[total_venta]]</f>
        <v>0</v>
      </c>
    </row>
    <row r="2486" spans="1:18" x14ac:dyDescent="0.25">
      <c r="A2486" t="s">
        <v>2579</v>
      </c>
      <c r="B2486" s="1">
        <v>45308</v>
      </c>
      <c r="C2486" t="s">
        <v>122</v>
      </c>
      <c r="D2486" t="s">
        <v>43</v>
      </c>
      <c r="E2486">
        <v>5</v>
      </c>
      <c r="F2486" s="2">
        <v>44.99</v>
      </c>
      <c r="G2486">
        <v>20</v>
      </c>
      <c r="H2486" s="2">
        <v>35.99</v>
      </c>
      <c r="I2486" s="2">
        <v>179.95</v>
      </c>
      <c r="J2486" t="s">
        <v>90</v>
      </c>
      <c r="K2486" t="s">
        <v>52</v>
      </c>
      <c r="L2486" t="s">
        <v>28</v>
      </c>
      <c r="M2486" t="s">
        <v>65</v>
      </c>
      <c r="N2486" t="s">
        <v>54</v>
      </c>
      <c r="O2486" t="s">
        <v>35</v>
      </c>
      <c r="Q2486" s="2">
        <f>Ventas[[#This Row],[precio_base]]*Ventas[[#This Row],[cantidad]]</f>
        <v>224.95000000000002</v>
      </c>
      <c r="R2486" s="2">
        <f>Ventas[[#This Row],[Total bruto (antes de descuento)]]-Ventas[[#This Row],[total_venta]]</f>
        <v>45.000000000000028</v>
      </c>
    </row>
    <row r="2487" spans="1:18" x14ac:dyDescent="0.25">
      <c r="A2487" t="s">
        <v>2580</v>
      </c>
      <c r="B2487" s="1">
        <v>44988</v>
      </c>
      <c r="C2487" t="s">
        <v>104</v>
      </c>
      <c r="D2487" t="s">
        <v>18</v>
      </c>
      <c r="E2487">
        <v>5</v>
      </c>
      <c r="F2487" s="2">
        <v>1199.99</v>
      </c>
      <c r="G2487">
        <v>0</v>
      </c>
      <c r="H2487" s="2">
        <v>1199.99</v>
      </c>
      <c r="I2487" s="2">
        <v>5999.95</v>
      </c>
      <c r="J2487" t="s">
        <v>19</v>
      </c>
      <c r="K2487" t="s">
        <v>44</v>
      </c>
      <c r="L2487" t="s">
        <v>45</v>
      </c>
      <c r="M2487" t="s">
        <v>33</v>
      </c>
      <c r="N2487" t="s">
        <v>34</v>
      </c>
      <c r="O2487" t="s">
        <v>35</v>
      </c>
      <c r="P2487">
        <v>4</v>
      </c>
      <c r="Q2487" s="2">
        <f>Ventas[[#This Row],[precio_base]]*Ventas[[#This Row],[cantidad]]</f>
        <v>5999.95</v>
      </c>
      <c r="R2487" s="2">
        <f>Ventas[[#This Row],[Total bruto (antes de descuento)]]-Ventas[[#This Row],[total_venta]]</f>
        <v>0</v>
      </c>
    </row>
    <row r="2488" spans="1:18" x14ac:dyDescent="0.25">
      <c r="A2488" t="s">
        <v>2581</v>
      </c>
      <c r="B2488" s="1">
        <v>45499</v>
      </c>
      <c r="C2488" t="s">
        <v>78</v>
      </c>
      <c r="D2488" t="s">
        <v>18</v>
      </c>
      <c r="E2488">
        <v>2</v>
      </c>
      <c r="F2488" s="2">
        <v>349.99</v>
      </c>
      <c r="G2488">
        <v>20</v>
      </c>
      <c r="H2488" s="2">
        <v>279.99</v>
      </c>
      <c r="I2488" s="2">
        <v>559.98</v>
      </c>
      <c r="J2488" t="s">
        <v>19</v>
      </c>
      <c r="K2488" t="s">
        <v>44</v>
      </c>
      <c r="L2488" t="s">
        <v>152</v>
      </c>
      <c r="M2488" t="s">
        <v>33</v>
      </c>
      <c r="N2488" t="s">
        <v>34</v>
      </c>
      <c r="O2488" t="s">
        <v>35</v>
      </c>
      <c r="P2488">
        <v>4</v>
      </c>
      <c r="Q2488" s="2">
        <f>Ventas[[#This Row],[precio_base]]*Ventas[[#This Row],[cantidad]]</f>
        <v>699.98</v>
      </c>
      <c r="R2488" s="2">
        <f>Ventas[[#This Row],[Total bruto (antes de descuento)]]-Ventas[[#This Row],[total_venta]]</f>
        <v>140</v>
      </c>
    </row>
    <row r="2489" spans="1:18" x14ac:dyDescent="0.25">
      <c r="A2489" t="s">
        <v>2582</v>
      </c>
      <c r="B2489" s="1">
        <v>44940</v>
      </c>
      <c r="C2489" t="s">
        <v>122</v>
      </c>
      <c r="D2489" t="s">
        <v>43</v>
      </c>
      <c r="E2489">
        <v>3</v>
      </c>
      <c r="F2489" s="2">
        <v>44.99</v>
      </c>
      <c r="G2489">
        <v>5</v>
      </c>
      <c r="H2489" s="2">
        <v>42.74</v>
      </c>
      <c r="I2489" s="2">
        <v>128.22</v>
      </c>
      <c r="J2489" t="s">
        <v>19</v>
      </c>
      <c r="K2489" t="s">
        <v>20</v>
      </c>
      <c r="L2489" t="s">
        <v>21</v>
      </c>
      <c r="M2489" t="s">
        <v>84</v>
      </c>
      <c r="N2489" t="s">
        <v>85</v>
      </c>
      <c r="O2489" t="s">
        <v>35</v>
      </c>
      <c r="P2489">
        <v>2</v>
      </c>
      <c r="Q2489" s="2">
        <f>Ventas[[#This Row],[precio_base]]*Ventas[[#This Row],[cantidad]]</f>
        <v>134.97</v>
      </c>
      <c r="R2489" s="2">
        <f>Ventas[[#This Row],[Total bruto (antes de descuento)]]-Ventas[[#This Row],[total_venta]]</f>
        <v>6.75</v>
      </c>
    </row>
    <row r="2490" spans="1:18" x14ac:dyDescent="0.25">
      <c r="A2490" t="s">
        <v>2583</v>
      </c>
      <c r="B2490" s="1">
        <v>45580</v>
      </c>
      <c r="C2490" t="s">
        <v>70</v>
      </c>
      <c r="D2490" t="s">
        <v>31</v>
      </c>
      <c r="E2490">
        <v>4</v>
      </c>
      <c r="F2490" s="2">
        <v>59.99</v>
      </c>
      <c r="G2490">
        <v>0</v>
      </c>
      <c r="H2490" s="2">
        <v>59.99</v>
      </c>
      <c r="I2490" s="2">
        <v>239.96</v>
      </c>
      <c r="J2490" t="s">
        <v>19</v>
      </c>
      <c r="K2490" t="s">
        <v>52</v>
      </c>
      <c r="L2490" t="s">
        <v>21</v>
      </c>
      <c r="M2490" t="s">
        <v>95</v>
      </c>
      <c r="N2490" t="s">
        <v>96</v>
      </c>
      <c r="O2490" t="s">
        <v>48</v>
      </c>
      <c r="P2490">
        <v>5</v>
      </c>
      <c r="Q2490" s="2">
        <f>Ventas[[#This Row],[precio_base]]*Ventas[[#This Row],[cantidad]]</f>
        <v>239.96</v>
      </c>
      <c r="R2490" s="2">
        <f>Ventas[[#This Row],[Total bruto (antes de descuento)]]-Ventas[[#This Row],[total_venta]]</f>
        <v>0</v>
      </c>
    </row>
    <row r="2491" spans="1:18" x14ac:dyDescent="0.25">
      <c r="A2491" t="s">
        <v>2584</v>
      </c>
      <c r="B2491" s="1">
        <v>45184</v>
      </c>
      <c r="C2491" t="s">
        <v>163</v>
      </c>
      <c r="D2491" t="s">
        <v>18</v>
      </c>
      <c r="E2491">
        <v>4</v>
      </c>
      <c r="F2491" s="2">
        <v>499.99</v>
      </c>
      <c r="G2491">
        <v>0</v>
      </c>
      <c r="H2491" s="2">
        <v>499.99</v>
      </c>
      <c r="I2491" s="2">
        <v>1999.96</v>
      </c>
      <c r="J2491" t="s">
        <v>19</v>
      </c>
      <c r="K2491" t="s">
        <v>44</v>
      </c>
      <c r="L2491" t="s">
        <v>28</v>
      </c>
      <c r="M2491" t="s">
        <v>123</v>
      </c>
      <c r="N2491" t="s">
        <v>124</v>
      </c>
      <c r="O2491" t="s">
        <v>24</v>
      </c>
      <c r="P2491">
        <v>5</v>
      </c>
      <c r="Q2491" s="2">
        <f>Ventas[[#This Row],[precio_base]]*Ventas[[#This Row],[cantidad]]</f>
        <v>1999.96</v>
      </c>
      <c r="R2491" s="2">
        <f>Ventas[[#This Row],[Total bruto (antes de descuento)]]-Ventas[[#This Row],[total_venta]]</f>
        <v>0</v>
      </c>
    </row>
    <row r="2492" spans="1:18" x14ac:dyDescent="0.25">
      <c r="A2492" t="s">
        <v>2585</v>
      </c>
      <c r="B2492" s="1">
        <v>44976</v>
      </c>
      <c r="C2492" t="s">
        <v>151</v>
      </c>
      <c r="D2492" t="s">
        <v>27</v>
      </c>
      <c r="E2492">
        <v>5</v>
      </c>
      <c r="F2492" s="2">
        <v>599.99</v>
      </c>
      <c r="G2492">
        <v>0</v>
      </c>
      <c r="H2492" s="2">
        <v>599.99</v>
      </c>
      <c r="I2492" s="2">
        <v>2999.95</v>
      </c>
      <c r="J2492" t="s">
        <v>116</v>
      </c>
      <c r="K2492" t="s">
        <v>20</v>
      </c>
      <c r="L2492" t="s">
        <v>152</v>
      </c>
      <c r="M2492" t="s">
        <v>73</v>
      </c>
      <c r="N2492" t="s">
        <v>74</v>
      </c>
      <c r="O2492" t="s">
        <v>35</v>
      </c>
      <c r="Q2492" s="2">
        <f>Ventas[[#This Row],[precio_base]]*Ventas[[#This Row],[cantidad]]</f>
        <v>2999.95</v>
      </c>
      <c r="R2492" s="2">
        <f>Ventas[[#This Row],[Total bruto (antes de descuento)]]-Ventas[[#This Row],[total_venta]]</f>
        <v>0</v>
      </c>
    </row>
    <row r="2493" spans="1:18" x14ac:dyDescent="0.25">
      <c r="A2493" t="s">
        <v>2586</v>
      </c>
      <c r="B2493" s="1">
        <v>45453</v>
      </c>
      <c r="C2493" t="s">
        <v>205</v>
      </c>
      <c r="D2493" t="s">
        <v>18</v>
      </c>
      <c r="E2493">
        <v>3</v>
      </c>
      <c r="F2493" s="2">
        <v>129.99</v>
      </c>
      <c r="G2493">
        <v>0</v>
      </c>
      <c r="H2493" s="2">
        <v>129.99</v>
      </c>
      <c r="I2493" s="2">
        <v>389.97</v>
      </c>
      <c r="J2493" t="s">
        <v>19</v>
      </c>
      <c r="K2493" t="s">
        <v>44</v>
      </c>
      <c r="L2493" t="s">
        <v>21</v>
      </c>
      <c r="M2493" t="s">
        <v>65</v>
      </c>
      <c r="N2493" t="s">
        <v>54</v>
      </c>
      <c r="O2493" t="s">
        <v>35</v>
      </c>
      <c r="P2493">
        <v>3</v>
      </c>
      <c r="Q2493" s="2">
        <f>Ventas[[#This Row],[precio_base]]*Ventas[[#This Row],[cantidad]]</f>
        <v>389.97</v>
      </c>
      <c r="R2493" s="2">
        <f>Ventas[[#This Row],[Total bruto (antes de descuento)]]-Ventas[[#This Row],[total_venta]]</f>
        <v>0</v>
      </c>
    </row>
    <row r="2494" spans="1:18" x14ac:dyDescent="0.25">
      <c r="A2494" t="s">
        <v>2587</v>
      </c>
      <c r="B2494" s="1">
        <v>45186</v>
      </c>
      <c r="C2494" t="s">
        <v>89</v>
      </c>
      <c r="D2494" t="s">
        <v>38</v>
      </c>
      <c r="E2494">
        <v>3</v>
      </c>
      <c r="F2494" s="2">
        <v>69.989999999999995</v>
      </c>
      <c r="G2494">
        <v>0</v>
      </c>
      <c r="H2494" s="2">
        <v>69.989999999999995</v>
      </c>
      <c r="I2494" s="2">
        <v>209.97</v>
      </c>
      <c r="J2494" t="s">
        <v>19</v>
      </c>
      <c r="K2494" t="s">
        <v>20</v>
      </c>
      <c r="L2494" t="s">
        <v>28</v>
      </c>
      <c r="M2494" t="s">
        <v>120</v>
      </c>
      <c r="N2494" t="s">
        <v>23</v>
      </c>
      <c r="O2494" t="s">
        <v>24</v>
      </c>
      <c r="P2494">
        <v>3</v>
      </c>
      <c r="Q2494" s="2">
        <f>Ventas[[#This Row],[precio_base]]*Ventas[[#This Row],[cantidad]]</f>
        <v>209.96999999999997</v>
      </c>
      <c r="R2494" s="2">
        <f>Ventas[[#This Row],[Total bruto (antes de descuento)]]-Ventas[[#This Row],[total_venta]]</f>
        <v>0</v>
      </c>
    </row>
    <row r="2495" spans="1:18" x14ac:dyDescent="0.25">
      <c r="A2495" t="s">
        <v>2588</v>
      </c>
      <c r="B2495" s="1">
        <v>45594</v>
      </c>
      <c r="C2495" t="s">
        <v>151</v>
      </c>
      <c r="D2495" t="s">
        <v>27</v>
      </c>
      <c r="E2495">
        <v>3</v>
      </c>
      <c r="F2495" s="2">
        <v>599.99</v>
      </c>
      <c r="G2495">
        <v>15</v>
      </c>
      <c r="H2495" s="2">
        <v>509.99</v>
      </c>
      <c r="I2495" s="2">
        <v>1529.97</v>
      </c>
      <c r="J2495" t="s">
        <v>19</v>
      </c>
      <c r="K2495" t="s">
        <v>52</v>
      </c>
      <c r="L2495" t="s">
        <v>21</v>
      </c>
      <c r="M2495" t="s">
        <v>22</v>
      </c>
      <c r="N2495" t="s">
        <v>23</v>
      </c>
      <c r="O2495" t="s">
        <v>24</v>
      </c>
      <c r="P2495">
        <v>2</v>
      </c>
      <c r="Q2495" s="2">
        <f>Ventas[[#This Row],[precio_base]]*Ventas[[#This Row],[cantidad]]</f>
        <v>1799.97</v>
      </c>
      <c r="R2495" s="2">
        <f>Ventas[[#This Row],[Total bruto (antes de descuento)]]-Ventas[[#This Row],[total_venta]]</f>
        <v>270</v>
      </c>
    </row>
    <row r="2496" spans="1:18" x14ac:dyDescent="0.25">
      <c r="A2496" t="s">
        <v>2589</v>
      </c>
      <c r="B2496" s="1">
        <v>45125</v>
      </c>
      <c r="C2496" t="s">
        <v>78</v>
      </c>
      <c r="D2496" t="s">
        <v>18</v>
      </c>
      <c r="E2496">
        <v>4</v>
      </c>
      <c r="F2496" s="2">
        <v>349.99</v>
      </c>
      <c r="G2496">
        <v>0</v>
      </c>
      <c r="H2496" s="2">
        <v>349.99</v>
      </c>
      <c r="I2496" s="2">
        <v>1399.96</v>
      </c>
      <c r="J2496" t="s">
        <v>51</v>
      </c>
      <c r="K2496" t="s">
        <v>52</v>
      </c>
      <c r="L2496" t="s">
        <v>28</v>
      </c>
      <c r="M2496" t="s">
        <v>33</v>
      </c>
      <c r="N2496" t="s">
        <v>34</v>
      </c>
      <c r="O2496" t="s">
        <v>35</v>
      </c>
      <c r="Q2496" s="2">
        <f>Ventas[[#This Row],[precio_base]]*Ventas[[#This Row],[cantidad]]</f>
        <v>1399.96</v>
      </c>
      <c r="R2496" s="2">
        <f>Ventas[[#This Row],[Total bruto (antes de descuento)]]-Ventas[[#This Row],[total_venta]]</f>
        <v>0</v>
      </c>
    </row>
    <row r="2497" spans="1:18" x14ac:dyDescent="0.25">
      <c r="A2497" t="s">
        <v>2590</v>
      </c>
      <c r="B2497" s="1">
        <v>45430</v>
      </c>
      <c r="C2497" t="s">
        <v>81</v>
      </c>
      <c r="D2497" t="s">
        <v>31</v>
      </c>
      <c r="E2497">
        <v>5</v>
      </c>
      <c r="F2497" s="2">
        <v>189.99</v>
      </c>
      <c r="G2497">
        <v>15</v>
      </c>
      <c r="H2497" s="2">
        <v>161.49</v>
      </c>
      <c r="I2497" s="2">
        <v>807.45</v>
      </c>
      <c r="J2497" t="s">
        <v>62</v>
      </c>
      <c r="K2497" t="s">
        <v>44</v>
      </c>
      <c r="L2497" t="s">
        <v>152</v>
      </c>
      <c r="M2497" t="s">
        <v>95</v>
      </c>
      <c r="N2497" t="s">
        <v>96</v>
      </c>
      <c r="O2497" t="s">
        <v>48</v>
      </c>
      <c r="Q2497" s="2">
        <f>Ventas[[#This Row],[precio_base]]*Ventas[[#This Row],[cantidad]]</f>
        <v>949.95</v>
      </c>
      <c r="R2497" s="2">
        <f>Ventas[[#This Row],[Total bruto (antes de descuento)]]-Ventas[[#This Row],[total_venta]]</f>
        <v>142.5</v>
      </c>
    </row>
    <row r="2498" spans="1:18" x14ac:dyDescent="0.25">
      <c r="A2498" t="s">
        <v>2591</v>
      </c>
      <c r="B2498" s="1">
        <v>45334</v>
      </c>
      <c r="C2498" t="s">
        <v>98</v>
      </c>
      <c r="D2498" t="s">
        <v>31</v>
      </c>
      <c r="E2498">
        <v>2</v>
      </c>
      <c r="F2498" s="2">
        <v>99.99</v>
      </c>
      <c r="G2498">
        <v>0</v>
      </c>
      <c r="H2498" s="2">
        <v>99.99</v>
      </c>
      <c r="I2498" s="2">
        <v>199.98</v>
      </c>
      <c r="J2498" t="s">
        <v>51</v>
      </c>
      <c r="K2498" t="s">
        <v>44</v>
      </c>
      <c r="L2498" t="s">
        <v>28</v>
      </c>
      <c r="M2498" t="s">
        <v>73</v>
      </c>
      <c r="N2498" t="s">
        <v>74</v>
      </c>
      <c r="O2498" t="s">
        <v>35</v>
      </c>
      <c r="Q2498" s="2">
        <f>Ventas[[#This Row],[precio_base]]*Ventas[[#This Row],[cantidad]]</f>
        <v>199.98</v>
      </c>
      <c r="R2498" s="2">
        <f>Ventas[[#This Row],[Total bruto (antes de descuento)]]-Ventas[[#This Row],[total_venta]]</f>
        <v>0</v>
      </c>
    </row>
    <row r="2499" spans="1:18" x14ac:dyDescent="0.25">
      <c r="A2499" t="s">
        <v>2592</v>
      </c>
      <c r="B2499" s="1">
        <v>45428</v>
      </c>
      <c r="C2499" t="s">
        <v>205</v>
      </c>
      <c r="D2499" t="s">
        <v>18</v>
      </c>
      <c r="E2499">
        <v>1</v>
      </c>
      <c r="F2499" s="2">
        <v>129.99</v>
      </c>
      <c r="G2499">
        <v>0</v>
      </c>
      <c r="H2499" s="2">
        <v>129.99</v>
      </c>
      <c r="I2499" s="2">
        <v>129.99</v>
      </c>
      <c r="J2499" t="s">
        <v>62</v>
      </c>
      <c r="K2499" t="s">
        <v>44</v>
      </c>
      <c r="L2499" t="s">
        <v>28</v>
      </c>
      <c r="M2499" t="s">
        <v>65</v>
      </c>
      <c r="N2499" t="s">
        <v>54</v>
      </c>
      <c r="O2499" t="s">
        <v>35</v>
      </c>
      <c r="Q2499" s="2">
        <f>Ventas[[#This Row],[precio_base]]*Ventas[[#This Row],[cantidad]]</f>
        <v>129.99</v>
      </c>
      <c r="R2499" s="2">
        <f>Ventas[[#This Row],[Total bruto (antes de descuento)]]-Ventas[[#This Row],[total_venta]]</f>
        <v>0</v>
      </c>
    </row>
    <row r="2500" spans="1:18" x14ac:dyDescent="0.25">
      <c r="A2500" t="s">
        <v>2593</v>
      </c>
      <c r="B2500" s="1">
        <v>45001</v>
      </c>
      <c r="C2500" t="s">
        <v>130</v>
      </c>
      <c r="D2500" t="s">
        <v>43</v>
      </c>
      <c r="E2500">
        <v>4</v>
      </c>
      <c r="F2500" s="2">
        <v>24.99</v>
      </c>
      <c r="G2500">
        <v>0</v>
      </c>
      <c r="H2500" s="2">
        <v>24.99</v>
      </c>
      <c r="I2500" s="2">
        <v>99.96</v>
      </c>
      <c r="J2500" t="s">
        <v>51</v>
      </c>
      <c r="K2500" t="s">
        <v>44</v>
      </c>
      <c r="L2500" t="s">
        <v>32</v>
      </c>
      <c r="M2500" t="s">
        <v>73</v>
      </c>
      <c r="N2500" t="s">
        <v>74</v>
      </c>
      <c r="O2500" t="s">
        <v>35</v>
      </c>
      <c r="Q2500" s="2">
        <f>Ventas[[#This Row],[precio_base]]*Ventas[[#This Row],[cantidad]]</f>
        <v>99.96</v>
      </c>
      <c r="R2500" s="2">
        <f>Ventas[[#This Row],[Total bruto (antes de descuento)]]-Ventas[[#This Row],[total_venta]]</f>
        <v>0</v>
      </c>
    </row>
    <row r="2501" spans="1:18" x14ac:dyDescent="0.25">
      <c r="A2501" t="s">
        <v>2594</v>
      </c>
      <c r="B2501" s="1">
        <v>44995</v>
      </c>
      <c r="C2501" t="s">
        <v>156</v>
      </c>
      <c r="D2501" t="s">
        <v>27</v>
      </c>
      <c r="E2501">
        <v>4</v>
      </c>
      <c r="F2501" s="2">
        <v>49.99</v>
      </c>
      <c r="G2501">
        <v>0</v>
      </c>
      <c r="H2501" s="2">
        <v>49.99</v>
      </c>
      <c r="I2501" s="2">
        <v>199.96</v>
      </c>
      <c r="J2501" t="s">
        <v>62</v>
      </c>
      <c r="K2501" t="s">
        <v>20</v>
      </c>
      <c r="L2501" t="s">
        <v>28</v>
      </c>
      <c r="M2501" t="s">
        <v>58</v>
      </c>
      <c r="N2501" t="s">
        <v>59</v>
      </c>
      <c r="O2501" t="s">
        <v>24</v>
      </c>
      <c r="Q2501" s="2">
        <f>Ventas[[#This Row],[precio_base]]*Ventas[[#This Row],[cantidad]]</f>
        <v>199.96</v>
      </c>
      <c r="R2501" s="2">
        <f>Ventas[[#This Row],[Total bruto (antes de descuento)]]-Ventas[[#This Row],[total_venta]]</f>
        <v>0</v>
      </c>
    </row>
    <row r="2502" spans="1:18" x14ac:dyDescent="0.25">
      <c r="A2502" t="s">
        <v>2595</v>
      </c>
      <c r="B2502" s="1">
        <v>44960</v>
      </c>
      <c r="C2502" t="s">
        <v>109</v>
      </c>
      <c r="D2502" t="s">
        <v>38</v>
      </c>
      <c r="E2502">
        <v>5</v>
      </c>
      <c r="F2502" s="2">
        <v>39.99</v>
      </c>
      <c r="G2502">
        <v>20</v>
      </c>
      <c r="H2502" s="2">
        <v>31.99</v>
      </c>
      <c r="I2502" s="2">
        <v>159.94999999999999</v>
      </c>
      <c r="J2502" t="s">
        <v>116</v>
      </c>
      <c r="K2502" t="s">
        <v>44</v>
      </c>
      <c r="L2502" t="s">
        <v>45</v>
      </c>
      <c r="M2502" t="s">
        <v>123</v>
      </c>
      <c r="N2502" t="s">
        <v>124</v>
      </c>
      <c r="O2502" t="s">
        <v>24</v>
      </c>
      <c r="Q2502" s="2">
        <f>Ventas[[#This Row],[precio_base]]*Ventas[[#This Row],[cantidad]]</f>
        <v>199.95000000000002</v>
      </c>
      <c r="R2502" s="2">
        <f>Ventas[[#This Row],[Total bruto (antes de descuento)]]-Ventas[[#This Row],[total_venta]]</f>
        <v>40.000000000000028</v>
      </c>
    </row>
    <row r="2503" spans="1:18" x14ac:dyDescent="0.25">
      <c r="A2503" t="s">
        <v>2596</v>
      </c>
      <c r="B2503" s="1">
        <v>45075</v>
      </c>
      <c r="C2503" t="s">
        <v>61</v>
      </c>
      <c r="D2503" t="s">
        <v>38</v>
      </c>
      <c r="E2503">
        <v>5</v>
      </c>
      <c r="F2503" s="2">
        <v>19.989999999999998</v>
      </c>
      <c r="G2503">
        <v>0</v>
      </c>
      <c r="H2503" s="2">
        <v>19.989999999999998</v>
      </c>
      <c r="I2503" s="2">
        <v>99.95</v>
      </c>
      <c r="J2503" t="s">
        <v>19</v>
      </c>
      <c r="K2503" t="s">
        <v>52</v>
      </c>
      <c r="L2503" t="s">
        <v>21</v>
      </c>
      <c r="M2503" t="s">
        <v>22</v>
      </c>
      <c r="N2503" t="s">
        <v>23</v>
      </c>
      <c r="O2503" t="s">
        <v>24</v>
      </c>
      <c r="P2503">
        <v>1</v>
      </c>
      <c r="Q2503" s="2">
        <f>Ventas[[#This Row],[precio_base]]*Ventas[[#This Row],[cantidad]]</f>
        <v>99.949999999999989</v>
      </c>
      <c r="R2503" s="2">
        <f>Ventas[[#This Row],[Total bruto (antes de descuento)]]-Ventas[[#This Row],[total_venta]]</f>
        <v>0</v>
      </c>
    </row>
    <row r="2504" spans="1:18" x14ac:dyDescent="0.25">
      <c r="A2504" t="s">
        <v>2597</v>
      </c>
      <c r="B2504" s="1">
        <v>45454</v>
      </c>
      <c r="C2504" t="s">
        <v>56</v>
      </c>
      <c r="D2504" t="s">
        <v>18</v>
      </c>
      <c r="E2504">
        <v>4</v>
      </c>
      <c r="F2504" s="2">
        <v>89.99</v>
      </c>
      <c r="G2504">
        <v>5</v>
      </c>
      <c r="H2504" s="2">
        <v>85.49</v>
      </c>
      <c r="I2504" s="2">
        <v>341.96</v>
      </c>
      <c r="J2504" t="s">
        <v>19</v>
      </c>
      <c r="K2504" t="s">
        <v>44</v>
      </c>
      <c r="L2504" t="s">
        <v>21</v>
      </c>
      <c r="M2504" t="s">
        <v>58</v>
      </c>
      <c r="N2504" t="s">
        <v>59</v>
      </c>
      <c r="O2504" t="s">
        <v>24</v>
      </c>
      <c r="P2504">
        <v>4</v>
      </c>
      <c r="Q2504" s="2">
        <f>Ventas[[#This Row],[precio_base]]*Ventas[[#This Row],[cantidad]]</f>
        <v>359.96</v>
      </c>
      <c r="R2504" s="2">
        <f>Ventas[[#This Row],[Total bruto (antes de descuento)]]-Ventas[[#This Row],[total_venta]]</f>
        <v>18</v>
      </c>
    </row>
    <row r="2505" spans="1:18" x14ac:dyDescent="0.25">
      <c r="A2505" t="s">
        <v>2598</v>
      </c>
      <c r="B2505" s="1">
        <v>45280</v>
      </c>
      <c r="C2505" t="s">
        <v>205</v>
      </c>
      <c r="D2505" t="s">
        <v>18</v>
      </c>
      <c r="E2505">
        <v>3</v>
      </c>
      <c r="F2505" s="2">
        <v>129.99</v>
      </c>
      <c r="G2505">
        <v>0</v>
      </c>
      <c r="H2505" s="2">
        <v>129.99</v>
      </c>
      <c r="I2505" s="2">
        <v>389.97</v>
      </c>
      <c r="J2505" t="s">
        <v>19</v>
      </c>
      <c r="K2505" t="s">
        <v>57</v>
      </c>
      <c r="L2505" t="s">
        <v>21</v>
      </c>
      <c r="M2505" t="s">
        <v>73</v>
      </c>
      <c r="N2505" t="s">
        <v>74</v>
      </c>
      <c r="O2505" t="s">
        <v>35</v>
      </c>
      <c r="P2505">
        <v>4</v>
      </c>
      <c r="Q2505" s="2">
        <f>Ventas[[#This Row],[precio_base]]*Ventas[[#This Row],[cantidad]]</f>
        <v>389.97</v>
      </c>
      <c r="R2505" s="2">
        <f>Ventas[[#This Row],[Total bruto (antes de descuento)]]-Ventas[[#This Row],[total_venta]]</f>
        <v>0</v>
      </c>
    </row>
    <row r="2506" spans="1:18" x14ac:dyDescent="0.25">
      <c r="A2506" t="s">
        <v>2599</v>
      </c>
      <c r="B2506" s="1">
        <v>44981</v>
      </c>
      <c r="C2506" t="s">
        <v>143</v>
      </c>
      <c r="D2506" t="s">
        <v>43</v>
      </c>
      <c r="E2506">
        <v>5</v>
      </c>
      <c r="F2506" s="2">
        <v>34.99</v>
      </c>
      <c r="G2506">
        <v>0</v>
      </c>
      <c r="H2506" s="2">
        <v>34.99</v>
      </c>
      <c r="I2506" s="2">
        <v>174.95</v>
      </c>
      <c r="J2506" t="s">
        <v>62</v>
      </c>
      <c r="K2506" t="s">
        <v>20</v>
      </c>
      <c r="L2506" t="s">
        <v>21</v>
      </c>
      <c r="M2506" t="s">
        <v>53</v>
      </c>
      <c r="N2506" t="s">
        <v>54</v>
      </c>
      <c r="O2506" t="s">
        <v>35</v>
      </c>
      <c r="Q2506" s="2">
        <f>Ventas[[#This Row],[precio_base]]*Ventas[[#This Row],[cantidad]]</f>
        <v>174.95000000000002</v>
      </c>
      <c r="R2506" s="2">
        <f>Ventas[[#This Row],[Total bruto (antes de descuento)]]-Ventas[[#This Row],[total_venta]]</f>
        <v>0</v>
      </c>
    </row>
    <row r="2507" spans="1:18" x14ac:dyDescent="0.25">
      <c r="A2507" t="s">
        <v>2600</v>
      </c>
      <c r="B2507" s="1">
        <v>45544</v>
      </c>
      <c r="C2507" t="s">
        <v>156</v>
      </c>
      <c r="D2507" t="s">
        <v>27</v>
      </c>
      <c r="E2507">
        <v>2</v>
      </c>
      <c r="F2507" s="2">
        <v>49.99</v>
      </c>
      <c r="G2507">
        <v>5</v>
      </c>
      <c r="H2507" s="2">
        <v>47.49</v>
      </c>
      <c r="I2507" s="2">
        <v>94.98</v>
      </c>
      <c r="J2507" t="s">
        <v>51</v>
      </c>
      <c r="K2507" t="s">
        <v>20</v>
      </c>
      <c r="L2507" t="s">
        <v>28</v>
      </c>
      <c r="M2507" t="s">
        <v>65</v>
      </c>
      <c r="N2507" t="s">
        <v>54</v>
      </c>
      <c r="O2507" t="s">
        <v>35</v>
      </c>
      <c r="Q2507" s="2">
        <f>Ventas[[#This Row],[precio_base]]*Ventas[[#This Row],[cantidad]]</f>
        <v>99.98</v>
      </c>
      <c r="R2507" s="2">
        <f>Ventas[[#This Row],[Total bruto (antes de descuento)]]-Ventas[[#This Row],[total_venta]]</f>
        <v>5</v>
      </c>
    </row>
    <row r="2508" spans="1:18" x14ac:dyDescent="0.25">
      <c r="A2508" t="s">
        <v>2601</v>
      </c>
      <c r="B2508" s="1">
        <v>45593</v>
      </c>
      <c r="C2508" t="s">
        <v>98</v>
      </c>
      <c r="D2508" t="s">
        <v>31</v>
      </c>
      <c r="E2508">
        <v>3</v>
      </c>
      <c r="F2508" s="2">
        <v>99.99</v>
      </c>
      <c r="G2508">
        <v>0</v>
      </c>
      <c r="H2508" s="2">
        <v>99.99</v>
      </c>
      <c r="I2508" s="2">
        <v>299.97000000000003</v>
      </c>
      <c r="J2508" t="s">
        <v>51</v>
      </c>
      <c r="K2508" t="s">
        <v>20</v>
      </c>
      <c r="L2508" t="s">
        <v>45</v>
      </c>
      <c r="M2508" t="s">
        <v>95</v>
      </c>
      <c r="N2508" t="s">
        <v>96</v>
      </c>
      <c r="O2508" t="s">
        <v>48</v>
      </c>
      <c r="Q2508" s="2">
        <f>Ventas[[#This Row],[precio_base]]*Ventas[[#This Row],[cantidad]]</f>
        <v>299.96999999999997</v>
      </c>
      <c r="R2508" s="2">
        <f>Ventas[[#This Row],[Total bruto (antes de descuento)]]-Ventas[[#This Row],[total_venta]]</f>
        <v>0</v>
      </c>
    </row>
    <row r="2509" spans="1:18" x14ac:dyDescent="0.25">
      <c r="A2509" t="s">
        <v>2602</v>
      </c>
      <c r="B2509" s="1">
        <v>45441</v>
      </c>
      <c r="C2509" t="s">
        <v>87</v>
      </c>
      <c r="D2509" t="s">
        <v>27</v>
      </c>
      <c r="E2509">
        <v>3</v>
      </c>
      <c r="F2509" s="2">
        <v>249.99</v>
      </c>
      <c r="G2509">
        <v>20</v>
      </c>
      <c r="H2509" s="2">
        <v>199.99</v>
      </c>
      <c r="I2509" s="2">
        <v>599.97</v>
      </c>
      <c r="J2509" t="s">
        <v>19</v>
      </c>
      <c r="K2509" t="s">
        <v>52</v>
      </c>
      <c r="L2509" t="s">
        <v>45</v>
      </c>
      <c r="M2509" t="s">
        <v>120</v>
      </c>
      <c r="N2509" t="s">
        <v>23</v>
      </c>
      <c r="O2509" t="s">
        <v>24</v>
      </c>
      <c r="P2509">
        <v>4</v>
      </c>
      <c r="Q2509" s="2">
        <f>Ventas[[#This Row],[precio_base]]*Ventas[[#This Row],[cantidad]]</f>
        <v>749.97</v>
      </c>
      <c r="R2509" s="2">
        <f>Ventas[[#This Row],[Total bruto (antes de descuento)]]-Ventas[[#This Row],[total_venta]]</f>
        <v>150</v>
      </c>
    </row>
    <row r="2510" spans="1:18" x14ac:dyDescent="0.25">
      <c r="A2510" t="s">
        <v>2603</v>
      </c>
      <c r="B2510" s="1">
        <v>45527</v>
      </c>
      <c r="C2510" t="s">
        <v>87</v>
      </c>
      <c r="D2510" t="s">
        <v>27</v>
      </c>
      <c r="E2510">
        <v>5</v>
      </c>
      <c r="F2510" s="2">
        <v>249.99</v>
      </c>
      <c r="G2510">
        <v>20</v>
      </c>
      <c r="H2510" s="2">
        <v>199.99</v>
      </c>
      <c r="I2510" s="2">
        <v>999.95</v>
      </c>
      <c r="J2510" t="s">
        <v>19</v>
      </c>
      <c r="K2510" t="s">
        <v>52</v>
      </c>
      <c r="L2510" t="s">
        <v>45</v>
      </c>
      <c r="M2510" t="s">
        <v>53</v>
      </c>
      <c r="N2510" t="s">
        <v>54</v>
      </c>
      <c r="O2510" t="s">
        <v>35</v>
      </c>
      <c r="P2510">
        <v>3</v>
      </c>
      <c r="Q2510" s="2">
        <f>Ventas[[#This Row],[precio_base]]*Ventas[[#This Row],[cantidad]]</f>
        <v>1249.95</v>
      </c>
      <c r="R2510" s="2">
        <f>Ventas[[#This Row],[Total bruto (antes de descuento)]]-Ventas[[#This Row],[total_venta]]</f>
        <v>250</v>
      </c>
    </row>
    <row r="2511" spans="1:18" x14ac:dyDescent="0.25">
      <c r="A2511" t="s">
        <v>2604</v>
      </c>
      <c r="B2511" s="1">
        <v>45249</v>
      </c>
      <c r="C2511" t="s">
        <v>92</v>
      </c>
      <c r="D2511" t="s">
        <v>27</v>
      </c>
      <c r="E2511">
        <v>5</v>
      </c>
      <c r="F2511" s="2">
        <v>79.989999999999995</v>
      </c>
      <c r="G2511">
        <v>15</v>
      </c>
      <c r="H2511" s="2">
        <v>67.989999999999995</v>
      </c>
      <c r="I2511" s="2">
        <v>339.95</v>
      </c>
      <c r="J2511" t="s">
        <v>19</v>
      </c>
      <c r="K2511" t="s">
        <v>20</v>
      </c>
      <c r="L2511" t="s">
        <v>32</v>
      </c>
      <c r="M2511" t="s">
        <v>101</v>
      </c>
      <c r="N2511" t="s">
        <v>102</v>
      </c>
      <c r="O2511" t="s">
        <v>35</v>
      </c>
      <c r="P2511">
        <v>2</v>
      </c>
      <c r="Q2511" s="2">
        <f>Ventas[[#This Row],[precio_base]]*Ventas[[#This Row],[cantidad]]</f>
        <v>399.95</v>
      </c>
      <c r="R2511" s="2">
        <f>Ventas[[#This Row],[Total bruto (antes de descuento)]]-Ventas[[#This Row],[total_venta]]</f>
        <v>60</v>
      </c>
    </row>
    <row r="2512" spans="1:18" x14ac:dyDescent="0.25">
      <c r="A2512" t="s">
        <v>2605</v>
      </c>
      <c r="B2512" s="1">
        <v>45186</v>
      </c>
      <c r="C2512" t="s">
        <v>109</v>
      </c>
      <c r="D2512" t="s">
        <v>38</v>
      </c>
      <c r="E2512">
        <v>2</v>
      </c>
      <c r="F2512" s="2">
        <v>39.99</v>
      </c>
      <c r="G2512">
        <v>0</v>
      </c>
      <c r="H2512" s="2">
        <v>39.99</v>
      </c>
      <c r="I2512" s="2">
        <v>79.98</v>
      </c>
      <c r="J2512" t="s">
        <v>62</v>
      </c>
      <c r="K2512" t="s">
        <v>44</v>
      </c>
      <c r="L2512" t="s">
        <v>45</v>
      </c>
      <c r="M2512" t="s">
        <v>67</v>
      </c>
      <c r="N2512" t="s">
        <v>68</v>
      </c>
      <c r="O2512" t="s">
        <v>35</v>
      </c>
      <c r="Q2512" s="2">
        <f>Ventas[[#This Row],[precio_base]]*Ventas[[#This Row],[cantidad]]</f>
        <v>79.98</v>
      </c>
      <c r="R2512" s="2">
        <f>Ventas[[#This Row],[Total bruto (antes de descuento)]]-Ventas[[#This Row],[total_venta]]</f>
        <v>0</v>
      </c>
    </row>
    <row r="2513" spans="1:18" x14ac:dyDescent="0.25">
      <c r="A2513" t="s">
        <v>2606</v>
      </c>
      <c r="B2513" s="1">
        <v>45317</v>
      </c>
      <c r="C2513" t="s">
        <v>30</v>
      </c>
      <c r="D2513" t="s">
        <v>31</v>
      </c>
      <c r="E2513">
        <v>3</v>
      </c>
      <c r="F2513" s="2">
        <v>299.99</v>
      </c>
      <c r="G2513">
        <v>0</v>
      </c>
      <c r="H2513" s="2">
        <v>299.99</v>
      </c>
      <c r="I2513" s="2">
        <v>899.97</v>
      </c>
      <c r="J2513" t="s">
        <v>19</v>
      </c>
      <c r="K2513" t="s">
        <v>20</v>
      </c>
      <c r="L2513" t="s">
        <v>45</v>
      </c>
      <c r="M2513" t="s">
        <v>53</v>
      </c>
      <c r="N2513" t="s">
        <v>54</v>
      </c>
      <c r="O2513" t="s">
        <v>35</v>
      </c>
      <c r="P2513">
        <v>2</v>
      </c>
      <c r="Q2513" s="2">
        <f>Ventas[[#This Row],[precio_base]]*Ventas[[#This Row],[cantidad]]</f>
        <v>899.97</v>
      </c>
      <c r="R2513" s="2">
        <f>Ventas[[#This Row],[Total bruto (antes de descuento)]]-Ventas[[#This Row],[total_venta]]</f>
        <v>0</v>
      </c>
    </row>
    <row r="2514" spans="1:18" x14ac:dyDescent="0.25">
      <c r="A2514" t="s">
        <v>2607</v>
      </c>
      <c r="B2514" s="1">
        <v>45533</v>
      </c>
      <c r="C2514" t="s">
        <v>151</v>
      </c>
      <c r="D2514" t="s">
        <v>27</v>
      </c>
      <c r="E2514">
        <v>2</v>
      </c>
      <c r="F2514" s="2">
        <v>599.99</v>
      </c>
      <c r="G2514">
        <v>10</v>
      </c>
      <c r="H2514" s="2">
        <v>539.99</v>
      </c>
      <c r="I2514" s="2">
        <v>1079.98</v>
      </c>
      <c r="J2514" t="s">
        <v>19</v>
      </c>
      <c r="K2514" t="s">
        <v>52</v>
      </c>
      <c r="L2514" t="s">
        <v>21</v>
      </c>
      <c r="M2514" t="s">
        <v>33</v>
      </c>
      <c r="N2514" t="s">
        <v>34</v>
      </c>
      <c r="O2514" t="s">
        <v>35</v>
      </c>
      <c r="P2514">
        <v>1</v>
      </c>
      <c r="Q2514" s="2">
        <f>Ventas[[#This Row],[precio_base]]*Ventas[[#This Row],[cantidad]]</f>
        <v>1199.98</v>
      </c>
      <c r="R2514" s="2">
        <f>Ventas[[#This Row],[Total bruto (antes de descuento)]]-Ventas[[#This Row],[total_venta]]</f>
        <v>120</v>
      </c>
    </row>
    <row r="2515" spans="1:18" x14ac:dyDescent="0.25">
      <c r="A2515" t="s">
        <v>2608</v>
      </c>
      <c r="B2515" s="1">
        <v>45588</v>
      </c>
      <c r="C2515" t="s">
        <v>81</v>
      </c>
      <c r="D2515" t="s">
        <v>31</v>
      </c>
      <c r="E2515">
        <v>5</v>
      </c>
      <c r="F2515" s="2">
        <v>189.99</v>
      </c>
      <c r="G2515">
        <v>5</v>
      </c>
      <c r="H2515" s="2">
        <v>180.49</v>
      </c>
      <c r="I2515" s="2">
        <v>902.45</v>
      </c>
      <c r="J2515" t="s">
        <v>19</v>
      </c>
      <c r="K2515" t="s">
        <v>52</v>
      </c>
      <c r="L2515" t="s">
        <v>152</v>
      </c>
      <c r="M2515" t="s">
        <v>53</v>
      </c>
      <c r="N2515" t="s">
        <v>54</v>
      </c>
      <c r="O2515" t="s">
        <v>35</v>
      </c>
      <c r="P2515">
        <v>5</v>
      </c>
      <c r="Q2515" s="2">
        <f>Ventas[[#This Row],[precio_base]]*Ventas[[#This Row],[cantidad]]</f>
        <v>949.95</v>
      </c>
      <c r="R2515" s="2">
        <f>Ventas[[#This Row],[Total bruto (antes de descuento)]]-Ventas[[#This Row],[total_venta]]</f>
        <v>47.5</v>
      </c>
    </row>
    <row r="2516" spans="1:18" x14ac:dyDescent="0.25">
      <c r="A2516" t="s">
        <v>2609</v>
      </c>
      <c r="B2516" s="1">
        <v>45142</v>
      </c>
      <c r="C2516" t="s">
        <v>205</v>
      </c>
      <c r="D2516" t="s">
        <v>18</v>
      </c>
      <c r="E2516">
        <v>5</v>
      </c>
      <c r="F2516" s="2">
        <v>129.99</v>
      </c>
      <c r="G2516">
        <v>20</v>
      </c>
      <c r="H2516" s="2">
        <v>103.99</v>
      </c>
      <c r="I2516" s="2">
        <v>519.95000000000005</v>
      </c>
      <c r="J2516" t="s">
        <v>19</v>
      </c>
      <c r="K2516" t="s">
        <v>44</v>
      </c>
      <c r="L2516" t="s">
        <v>45</v>
      </c>
      <c r="M2516" t="s">
        <v>46</v>
      </c>
      <c r="N2516" t="s">
        <v>47</v>
      </c>
      <c r="O2516" t="s">
        <v>48</v>
      </c>
      <c r="P2516">
        <v>2</v>
      </c>
      <c r="Q2516" s="2">
        <f>Ventas[[#This Row],[precio_base]]*Ventas[[#This Row],[cantidad]]</f>
        <v>649.95000000000005</v>
      </c>
      <c r="R2516" s="2">
        <f>Ventas[[#This Row],[Total bruto (antes de descuento)]]-Ventas[[#This Row],[total_venta]]</f>
        <v>130</v>
      </c>
    </row>
    <row r="2517" spans="1:18" x14ac:dyDescent="0.25">
      <c r="A2517" t="s">
        <v>2610</v>
      </c>
      <c r="B2517" s="1">
        <v>45098</v>
      </c>
      <c r="C2517" t="s">
        <v>78</v>
      </c>
      <c r="D2517" t="s">
        <v>18</v>
      </c>
      <c r="E2517">
        <v>1</v>
      </c>
      <c r="F2517" s="2">
        <v>349.99</v>
      </c>
      <c r="G2517">
        <v>0</v>
      </c>
      <c r="H2517" s="2">
        <v>349.99</v>
      </c>
      <c r="I2517" s="2">
        <v>349.99</v>
      </c>
      <c r="J2517" t="s">
        <v>62</v>
      </c>
      <c r="K2517" t="s">
        <v>20</v>
      </c>
      <c r="L2517" t="s">
        <v>21</v>
      </c>
      <c r="M2517" t="s">
        <v>46</v>
      </c>
      <c r="N2517" t="s">
        <v>47</v>
      </c>
      <c r="O2517" t="s">
        <v>48</v>
      </c>
      <c r="Q2517" s="2">
        <f>Ventas[[#This Row],[precio_base]]*Ventas[[#This Row],[cantidad]]</f>
        <v>349.99</v>
      </c>
      <c r="R2517" s="2">
        <f>Ventas[[#This Row],[Total bruto (antes de descuento)]]-Ventas[[#This Row],[total_venta]]</f>
        <v>0</v>
      </c>
    </row>
    <row r="2518" spans="1:18" x14ac:dyDescent="0.25">
      <c r="A2518" t="s">
        <v>2611</v>
      </c>
      <c r="B2518" s="1">
        <v>44929</v>
      </c>
      <c r="C2518" t="s">
        <v>104</v>
      </c>
      <c r="D2518" t="s">
        <v>18</v>
      </c>
      <c r="E2518">
        <v>1</v>
      </c>
      <c r="F2518" s="2">
        <v>1199.99</v>
      </c>
      <c r="G2518">
        <v>15</v>
      </c>
      <c r="H2518" s="2">
        <v>1019.99</v>
      </c>
      <c r="I2518" s="2">
        <v>1019.99</v>
      </c>
      <c r="J2518" t="s">
        <v>19</v>
      </c>
      <c r="K2518" t="s">
        <v>20</v>
      </c>
      <c r="L2518" t="s">
        <v>21</v>
      </c>
      <c r="M2518" t="s">
        <v>101</v>
      </c>
      <c r="N2518" t="s">
        <v>102</v>
      </c>
      <c r="O2518" t="s">
        <v>35</v>
      </c>
      <c r="P2518">
        <v>1</v>
      </c>
      <c r="Q2518" s="2">
        <f>Ventas[[#This Row],[precio_base]]*Ventas[[#This Row],[cantidad]]</f>
        <v>1199.99</v>
      </c>
      <c r="R2518" s="2">
        <f>Ventas[[#This Row],[Total bruto (antes de descuento)]]-Ventas[[#This Row],[total_venta]]</f>
        <v>180</v>
      </c>
    </row>
    <row r="2519" spans="1:18" x14ac:dyDescent="0.25">
      <c r="A2519" t="s">
        <v>2612</v>
      </c>
      <c r="B2519" s="1">
        <v>45447</v>
      </c>
      <c r="C2519" t="s">
        <v>143</v>
      </c>
      <c r="D2519" t="s">
        <v>43</v>
      </c>
      <c r="E2519">
        <v>5</v>
      </c>
      <c r="F2519" s="2">
        <v>34.99</v>
      </c>
      <c r="G2519">
        <v>15</v>
      </c>
      <c r="H2519" s="2">
        <v>29.74</v>
      </c>
      <c r="I2519" s="2">
        <v>148.69999999999999</v>
      </c>
      <c r="J2519" t="s">
        <v>62</v>
      </c>
      <c r="K2519" t="s">
        <v>52</v>
      </c>
      <c r="L2519" t="s">
        <v>45</v>
      </c>
      <c r="M2519" t="s">
        <v>53</v>
      </c>
      <c r="N2519" t="s">
        <v>54</v>
      </c>
      <c r="O2519" t="s">
        <v>35</v>
      </c>
      <c r="Q2519" s="2">
        <f>Ventas[[#This Row],[precio_base]]*Ventas[[#This Row],[cantidad]]</f>
        <v>174.95000000000002</v>
      </c>
      <c r="R2519" s="2">
        <f>Ventas[[#This Row],[Total bruto (antes de descuento)]]-Ventas[[#This Row],[total_venta]]</f>
        <v>26.250000000000028</v>
      </c>
    </row>
    <row r="2520" spans="1:18" x14ac:dyDescent="0.25">
      <c r="A2520" t="s">
        <v>2613</v>
      </c>
      <c r="B2520" s="1">
        <v>45322</v>
      </c>
      <c r="C2520" t="s">
        <v>17</v>
      </c>
      <c r="D2520" t="s">
        <v>18</v>
      </c>
      <c r="E2520">
        <v>1</v>
      </c>
      <c r="F2520" s="2">
        <v>45.99</v>
      </c>
      <c r="G2520">
        <v>10</v>
      </c>
      <c r="H2520" s="2">
        <v>41.39</v>
      </c>
      <c r="I2520" s="2">
        <v>41.39</v>
      </c>
      <c r="J2520" t="s">
        <v>19</v>
      </c>
      <c r="K2520" t="s">
        <v>20</v>
      </c>
      <c r="L2520" t="s">
        <v>45</v>
      </c>
      <c r="M2520" t="s">
        <v>58</v>
      </c>
      <c r="N2520" t="s">
        <v>59</v>
      </c>
      <c r="O2520" t="s">
        <v>24</v>
      </c>
      <c r="P2520">
        <v>1</v>
      </c>
      <c r="Q2520" s="2">
        <f>Ventas[[#This Row],[precio_base]]*Ventas[[#This Row],[cantidad]]</f>
        <v>45.99</v>
      </c>
      <c r="R2520" s="2">
        <f>Ventas[[#This Row],[Total bruto (antes de descuento)]]-Ventas[[#This Row],[total_venta]]</f>
        <v>4.6000000000000014</v>
      </c>
    </row>
    <row r="2521" spans="1:18" x14ac:dyDescent="0.25">
      <c r="A2521" t="s">
        <v>2614</v>
      </c>
      <c r="B2521" s="1">
        <v>45222</v>
      </c>
      <c r="C2521" t="s">
        <v>94</v>
      </c>
      <c r="D2521" t="s">
        <v>18</v>
      </c>
      <c r="E2521">
        <v>2</v>
      </c>
      <c r="F2521" s="2">
        <v>899.99</v>
      </c>
      <c r="G2521">
        <v>10</v>
      </c>
      <c r="H2521" s="2">
        <v>809.99</v>
      </c>
      <c r="I2521" s="2">
        <v>1619.98</v>
      </c>
      <c r="J2521" t="s">
        <v>19</v>
      </c>
      <c r="K2521" t="s">
        <v>44</v>
      </c>
      <c r="L2521" t="s">
        <v>28</v>
      </c>
      <c r="M2521" t="s">
        <v>123</v>
      </c>
      <c r="N2521" t="s">
        <v>124</v>
      </c>
      <c r="O2521" t="s">
        <v>24</v>
      </c>
      <c r="P2521">
        <v>1</v>
      </c>
      <c r="Q2521" s="2">
        <f>Ventas[[#This Row],[precio_base]]*Ventas[[#This Row],[cantidad]]</f>
        <v>1799.98</v>
      </c>
      <c r="R2521" s="2">
        <f>Ventas[[#This Row],[Total bruto (antes de descuento)]]-Ventas[[#This Row],[total_venta]]</f>
        <v>180</v>
      </c>
    </row>
    <row r="2522" spans="1:18" x14ac:dyDescent="0.25">
      <c r="A2522" t="s">
        <v>2615</v>
      </c>
      <c r="B2522" s="1">
        <v>45530</v>
      </c>
      <c r="C2522" t="s">
        <v>87</v>
      </c>
      <c r="D2522" t="s">
        <v>27</v>
      </c>
      <c r="E2522">
        <v>1</v>
      </c>
      <c r="F2522" s="2">
        <v>249.99</v>
      </c>
      <c r="G2522">
        <v>20</v>
      </c>
      <c r="H2522" s="2">
        <v>199.99</v>
      </c>
      <c r="I2522" s="2">
        <v>199.99</v>
      </c>
      <c r="J2522" t="s">
        <v>19</v>
      </c>
      <c r="K2522" t="s">
        <v>52</v>
      </c>
      <c r="L2522" t="s">
        <v>28</v>
      </c>
      <c r="M2522" t="s">
        <v>120</v>
      </c>
      <c r="N2522" t="s">
        <v>23</v>
      </c>
      <c r="O2522" t="s">
        <v>24</v>
      </c>
      <c r="P2522">
        <v>5</v>
      </c>
      <c r="Q2522" s="2">
        <f>Ventas[[#This Row],[precio_base]]*Ventas[[#This Row],[cantidad]]</f>
        <v>249.99</v>
      </c>
      <c r="R2522" s="2">
        <f>Ventas[[#This Row],[Total bruto (antes de descuento)]]-Ventas[[#This Row],[total_venta]]</f>
        <v>50</v>
      </c>
    </row>
    <row r="2523" spans="1:18" x14ac:dyDescent="0.25">
      <c r="A2523" t="s">
        <v>2616</v>
      </c>
      <c r="B2523" s="1">
        <v>45583</v>
      </c>
      <c r="C2523" t="s">
        <v>78</v>
      </c>
      <c r="D2523" t="s">
        <v>18</v>
      </c>
      <c r="E2523">
        <v>2</v>
      </c>
      <c r="F2523" s="2">
        <v>349.99</v>
      </c>
      <c r="G2523">
        <v>0</v>
      </c>
      <c r="H2523" s="2">
        <v>349.99</v>
      </c>
      <c r="I2523" s="2">
        <v>699.98</v>
      </c>
      <c r="J2523" t="s">
        <v>19</v>
      </c>
      <c r="K2523" t="s">
        <v>57</v>
      </c>
      <c r="L2523" t="s">
        <v>21</v>
      </c>
      <c r="M2523" t="s">
        <v>67</v>
      </c>
      <c r="N2523" t="s">
        <v>68</v>
      </c>
      <c r="O2523" t="s">
        <v>35</v>
      </c>
      <c r="P2523">
        <v>1</v>
      </c>
      <c r="Q2523" s="2">
        <f>Ventas[[#This Row],[precio_base]]*Ventas[[#This Row],[cantidad]]</f>
        <v>699.98</v>
      </c>
      <c r="R2523" s="2">
        <f>Ventas[[#This Row],[Total bruto (antes de descuento)]]-Ventas[[#This Row],[total_venta]]</f>
        <v>0</v>
      </c>
    </row>
    <row r="2524" spans="1:18" x14ac:dyDescent="0.25">
      <c r="A2524" t="s">
        <v>2617</v>
      </c>
      <c r="B2524" s="1">
        <v>44962</v>
      </c>
      <c r="C2524" t="s">
        <v>104</v>
      </c>
      <c r="D2524" t="s">
        <v>18</v>
      </c>
      <c r="E2524">
        <v>2</v>
      </c>
      <c r="F2524" s="2">
        <v>1199.99</v>
      </c>
      <c r="G2524">
        <v>15</v>
      </c>
      <c r="H2524" s="2">
        <v>1019.99</v>
      </c>
      <c r="I2524" s="2">
        <v>2039.98</v>
      </c>
      <c r="J2524" t="s">
        <v>51</v>
      </c>
      <c r="K2524" t="s">
        <v>44</v>
      </c>
      <c r="L2524" t="s">
        <v>28</v>
      </c>
      <c r="M2524" t="s">
        <v>46</v>
      </c>
      <c r="N2524" t="s">
        <v>47</v>
      </c>
      <c r="O2524" t="s">
        <v>48</v>
      </c>
      <c r="Q2524" s="2">
        <f>Ventas[[#This Row],[precio_base]]*Ventas[[#This Row],[cantidad]]</f>
        <v>2399.98</v>
      </c>
      <c r="R2524" s="2">
        <f>Ventas[[#This Row],[Total bruto (antes de descuento)]]-Ventas[[#This Row],[total_venta]]</f>
        <v>360</v>
      </c>
    </row>
    <row r="2525" spans="1:18" x14ac:dyDescent="0.25">
      <c r="A2525" t="s">
        <v>2618</v>
      </c>
      <c r="B2525" s="1">
        <v>45113</v>
      </c>
      <c r="C2525" t="s">
        <v>104</v>
      </c>
      <c r="D2525" t="s">
        <v>18</v>
      </c>
      <c r="E2525">
        <v>3</v>
      </c>
      <c r="F2525" s="2">
        <v>1199.99</v>
      </c>
      <c r="G2525">
        <v>20</v>
      </c>
      <c r="H2525" s="2">
        <v>959.99</v>
      </c>
      <c r="I2525" s="2">
        <v>2879.97</v>
      </c>
      <c r="J2525" t="s">
        <v>62</v>
      </c>
      <c r="K2525" t="s">
        <v>57</v>
      </c>
      <c r="L2525" t="s">
        <v>45</v>
      </c>
      <c r="M2525" t="s">
        <v>123</v>
      </c>
      <c r="N2525" t="s">
        <v>124</v>
      </c>
      <c r="O2525" t="s">
        <v>24</v>
      </c>
      <c r="Q2525" s="2">
        <f>Ventas[[#This Row],[precio_base]]*Ventas[[#This Row],[cantidad]]</f>
        <v>3599.9700000000003</v>
      </c>
      <c r="R2525" s="2">
        <f>Ventas[[#This Row],[Total bruto (antes de descuento)]]-Ventas[[#This Row],[total_venta]]</f>
        <v>720.00000000000045</v>
      </c>
    </row>
    <row r="2526" spans="1:18" x14ac:dyDescent="0.25">
      <c r="A2526" t="s">
        <v>2619</v>
      </c>
      <c r="B2526" s="1">
        <v>45375</v>
      </c>
      <c r="C2526" t="s">
        <v>143</v>
      </c>
      <c r="D2526" t="s">
        <v>43</v>
      </c>
      <c r="E2526">
        <v>1</v>
      </c>
      <c r="F2526" s="2">
        <v>34.99</v>
      </c>
      <c r="G2526">
        <v>0</v>
      </c>
      <c r="H2526" s="2">
        <v>34.99</v>
      </c>
      <c r="I2526" s="2">
        <v>34.99</v>
      </c>
      <c r="J2526" t="s">
        <v>19</v>
      </c>
      <c r="K2526" t="s">
        <v>20</v>
      </c>
      <c r="L2526" t="s">
        <v>45</v>
      </c>
      <c r="M2526" t="s">
        <v>84</v>
      </c>
      <c r="N2526" t="s">
        <v>85</v>
      </c>
      <c r="O2526" t="s">
        <v>35</v>
      </c>
      <c r="P2526">
        <v>4</v>
      </c>
      <c r="Q2526" s="2">
        <f>Ventas[[#This Row],[precio_base]]*Ventas[[#This Row],[cantidad]]</f>
        <v>34.99</v>
      </c>
      <c r="R2526" s="2">
        <f>Ventas[[#This Row],[Total bruto (antes de descuento)]]-Ventas[[#This Row],[total_venta]]</f>
        <v>0</v>
      </c>
    </row>
    <row r="2527" spans="1:18" x14ac:dyDescent="0.25">
      <c r="A2527" t="s">
        <v>2620</v>
      </c>
      <c r="B2527" s="1">
        <v>45359</v>
      </c>
      <c r="C2527" t="s">
        <v>61</v>
      </c>
      <c r="D2527" t="s">
        <v>38</v>
      </c>
      <c r="E2527">
        <v>1</v>
      </c>
      <c r="F2527" s="2">
        <v>19.989999999999998</v>
      </c>
      <c r="G2527">
        <v>0</v>
      </c>
      <c r="H2527" s="2">
        <v>19.989999999999998</v>
      </c>
      <c r="I2527" s="2">
        <v>19.989999999999998</v>
      </c>
      <c r="J2527" t="s">
        <v>19</v>
      </c>
      <c r="K2527" t="s">
        <v>20</v>
      </c>
      <c r="L2527" t="s">
        <v>45</v>
      </c>
      <c r="M2527" t="s">
        <v>73</v>
      </c>
      <c r="N2527" t="s">
        <v>74</v>
      </c>
      <c r="O2527" t="s">
        <v>35</v>
      </c>
      <c r="P2527">
        <v>1</v>
      </c>
      <c r="Q2527" s="2">
        <f>Ventas[[#This Row],[precio_base]]*Ventas[[#This Row],[cantidad]]</f>
        <v>19.989999999999998</v>
      </c>
      <c r="R2527" s="2">
        <f>Ventas[[#This Row],[Total bruto (antes de descuento)]]-Ventas[[#This Row],[total_venta]]</f>
        <v>0</v>
      </c>
    </row>
    <row r="2528" spans="1:18" x14ac:dyDescent="0.25">
      <c r="A2528" t="s">
        <v>2621</v>
      </c>
      <c r="B2528" s="1">
        <v>45652</v>
      </c>
      <c r="C2528" t="s">
        <v>56</v>
      </c>
      <c r="D2528" t="s">
        <v>18</v>
      </c>
      <c r="E2528">
        <v>2</v>
      </c>
      <c r="F2528" s="2">
        <v>89.99</v>
      </c>
      <c r="G2528">
        <v>0</v>
      </c>
      <c r="H2528" s="2">
        <v>89.99</v>
      </c>
      <c r="I2528" s="2">
        <v>179.98</v>
      </c>
      <c r="J2528" t="s">
        <v>19</v>
      </c>
      <c r="K2528" t="s">
        <v>44</v>
      </c>
      <c r="L2528" t="s">
        <v>21</v>
      </c>
      <c r="M2528" t="s">
        <v>101</v>
      </c>
      <c r="N2528" t="s">
        <v>102</v>
      </c>
      <c r="O2528" t="s">
        <v>35</v>
      </c>
      <c r="P2528">
        <v>5</v>
      </c>
      <c r="Q2528" s="2">
        <f>Ventas[[#This Row],[precio_base]]*Ventas[[#This Row],[cantidad]]</f>
        <v>179.98</v>
      </c>
      <c r="R2528" s="2">
        <f>Ventas[[#This Row],[Total bruto (antes de descuento)]]-Ventas[[#This Row],[total_venta]]</f>
        <v>0</v>
      </c>
    </row>
    <row r="2529" spans="1:18" x14ac:dyDescent="0.25">
      <c r="A2529" t="s">
        <v>2622</v>
      </c>
      <c r="B2529" s="1">
        <v>45532</v>
      </c>
      <c r="C2529" t="s">
        <v>61</v>
      </c>
      <c r="D2529" t="s">
        <v>38</v>
      </c>
      <c r="E2529">
        <v>5</v>
      </c>
      <c r="F2529" s="2">
        <v>19.989999999999998</v>
      </c>
      <c r="G2529">
        <v>5</v>
      </c>
      <c r="H2529" s="2">
        <v>18.989999999999998</v>
      </c>
      <c r="I2529" s="2">
        <v>94.95</v>
      </c>
      <c r="J2529" t="s">
        <v>19</v>
      </c>
      <c r="K2529" t="s">
        <v>20</v>
      </c>
      <c r="L2529" t="s">
        <v>28</v>
      </c>
      <c r="M2529" t="s">
        <v>33</v>
      </c>
      <c r="N2529" t="s">
        <v>34</v>
      </c>
      <c r="O2529" t="s">
        <v>35</v>
      </c>
      <c r="P2529">
        <v>2</v>
      </c>
      <c r="Q2529" s="2">
        <f>Ventas[[#This Row],[precio_base]]*Ventas[[#This Row],[cantidad]]</f>
        <v>99.949999999999989</v>
      </c>
      <c r="R2529" s="2">
        <f>Ventas[[#This Row],[Total bruto (antes de descuento)]]-Ventas[[#This Row],[total_venta]]</f>
        <v>4.9999999999999858</v>
      </c>
    </row>
    <row r="2530" spans="1:18" x14ac:dyDescent="0.25">
      <c r="A2530" t="s">
        <v>2623</v>
      </c>
      <c r="B2530" s="1">
        <v>45367</v>
      </c>
      <c r="C2530" t="s">
        <v>37</v>
      </c>
      <c r="D2530" t="s">
        <v>38</v>
      </c>
      <c r="E2530">
        <v>5</v>
      </c>
      <c r="F2530" s="2">
        <v>34.99</v>
      </c>
      <c r="G2530">
        <v>0</v>
      </c>
      <c r="H2530" s="2">
        <v>34.99</v>
      </c>
      <c r="I2530" s="2">
        <v>174.95</v>
      </c>
      <c r="J2530" t="s">
        <v>19</v>
      </c>
      <c r="K2530" t="s">
        <v>20</v>
      </c>
      <c r="L2530" t="s">
        <v>28</v>
      </c>
      <c r="M2530" t="s">
        <v>63</v>
      </c>
      <c r="N2530" t="s">
        <v>34</v>
      </c>
      <c r="O2530" t="s">
        <v>24</v>
      </c>
      <c r="P2530">
        <v>5</v>
      </c>
      <c r="Q2530" s="2">
        <f>Ventas[[#This Row],[precio_base]]*Ventas[[#This Row],[cantidad]]</f>
        <v>174.95000000000002</v>
      </c>
      <c r="R2530" s="2">
        <f>Ventas[[#This Row],[Total bruto (antes de descuento)]]-Ventas[[#This Row],[total_venta]]</f>
        <v>0</v>
      </c>
    </row>
    <row r="2531" spans="1:18" x14ac:dyDescent="0.25">
      <c r="A2531" t="s">
        <v>2624</v>
      </c>
      <c r="B2531" s="1">
        <v>45563</v>
      </c>
      <c r="C2531" t="s">
        <v>109</v>
      </c>
      <c r="D2531" t="s">
        <v>38</v>
      </c>
      <c r="E2531">
        <v>2</v>
      </c>
      <c r="F2531" s="2">
        <v>39.99</v>
      </c>
      <c r="G2531">
        <v>5</v>
      </c>
      <c r="H2531" s="2">
        <v>37.99</v>
      </c>
      <c r="I2531" s="2">
        <v>75.98</v>
      </c>
      <c r="J2531" t="s">
        <v>51</v>
      </c>
      <c r="K2531" t="s">
        <v>20</v>
      </c>
      <c r="L2531" t="s">
        <v>21</v>
      </c>
      <c r="M2531" t="s">
        <v>39</v>
      </c>
      <c r="N2531" t="s">
        <v>40</v>
      </c>
      <c r="O2531" t="s">
        <v>35</v>
      </c>
      <c r="Q2531" s="2">
        <f>Ventas[[#This Row],[precio_base]]*Ventas[[#This Row],[cantidad]]</f>
        <v>79.98</v>
      </c>
      <c r="R2531" s="2">
        <f>Ventas[[#This Row],[Total bruto (antes de descuento)]]-Ventas[[#This Row],[total_venta]]</f>
        <v>4</v>
      </c>
    </row>
    <row r="2532" spans="1:18" x14ac:dyDescent="0.25">
      <c r="A2532" t="s">
        <v>2625</v>
      </c>
      <c r="B2532" s="1">
        <v>45370</v>
      </c>
      <c r="C2532" t="s">
        <v>50</v>
      </c>
      <c r="D2532" t="s">
        <v>27</v>
      </c>
      <c r="E2532">
        <v>5</v>
      </c>
      <c r="F2532" s="2">
        <v>149.99</v>
      </c>
      <c r="G2532">
        <v>10</v>
      </c>
      <c r="H2532" s="2">
        <v>134.99</v>
      </c>
      <c r="I2532" s="2">
        <v>674.95</v>
      </c>
      <c r="J2532" t="s">
        <v>62</v>
      </c>
      <c r="K2532" t="s">
        <v>20</v>
      </c>
      <c r="L2532" t="s">
        <v>45</v>
      </c>
      <c r="M2532" t="s">
        <v>33</v>
      </c>
      <c r="N2532" t="s">
        <v>34</v>
      </c>
      <c r="O2532" t="s">
        <v>35</v>
      </c>
      <c r="Q2532" s="2">
        <f>Ventas[[#This Row],[precio_base]]*Ventas[[#This Row],[cantidad]]</f>
        <v>749.95</v>
      </c>
      <c r="R2532" s="2">
        <f>Ventas[[#This Row],[Total bruto (antes de descuento)]]-Ventas[[#This Row],[total_venta]]</f>
        <v>75</v>
      </c>
    </row>
    <row r="2533" spans="1:18" x14ac:dyDescent="0.25">
      <c r="A2533" t="s">
        <v>2626</v>
      </c>
      <c r="B2533" s="1">
        <v>45625</v>
      </c>
      <c r="C2533" t="s">
        <v>81</v>
      </c>
      <c r="D2533" t="s">
        <v>31</v>
      </c>
      <c r="E2533">
        <v>4</v>
      </c>
      <c r="F2533" s="2">
        <v>189.99</v>
      </c>
      <c r="G2533">
        <v>20</v>
      </c>
      <c r="H2533" s="2">
        <v>151.99</v>
      </c>
      <c r="I2533" s="2">
        <v>607.96</v>
      </c>
      <c r="J2533" t="s">
        <v>51</v>
      </c>
      <c r="K2533" t="s">
        <v>20</v>
      </c>
      <c r="L2533" t="s">
        <v>32</v>
      </c>
      <c r="M2533" t="s">
        <v>123</v>
      </c>
      <c r="N2533" t="s">
        <v>124</v>
      </c>
      <c r="O2533" t="s">
        <v>24</v>
      </c>
      <c r="Q2533" s="2">
        <f>Ventas[[#This Row],[precio_base]]*Ventas[[#This Row],[cantidad]]</f>
        <v>759.96</v>
      </c>
      <c r="R2533" s="2">
        <f>Ventas[[#This Row],[Total bruto (antes de descuento)]]-Ventas[[#This Row],[total_venta]]</f>
        <v>152</v>
      </c>
    </row>
    <row r="2534" spans="1:18" x14ac:dyDescent="0.25">
      <c r="A2534" t="s">
        <v>2627</v>
      </c>
      <c r="B2534" s="1">
        <v>45366</v>
      </c>
      <c r="C2534" t="s">
        <v>205</v>
      </c>
      <c r="D2534" t="s">
        <v>18</v>
      </c>
      <c r="E2534">
        <v>3</v>
      </c>
      <c r="F2534" s="2">
        <v>129.99</v>
      </c>
      <c r="G2534">
        <v>5</v>
      </c>
      <c r="H2534" s="2">
        <v>123.49</v>
      </c>
      <c r="I2534" s="2">
        <v>370.47</v>
      </c>
      <c r="J2534" t="s">
        <v>62</v>
      </c>
      <c r="K2534" t="s">
        <v>44</v>
      </c>
      <c r="L2534" t="s">
        <v>45</v>
      </c>
      <c r="M2534" t="s">
        <v>33</v>
      </c>
      <c r="N2534" t="s">
        <v>34</v>
      </c>
      <c r="O2534" t="s">
        <v>35</v>
      </c>
      <c r="Q2534" s="2">
        <f>Ventas[[#This Row],[precio_base]]*Ventas[[#This Row],[cantidad]]</f>
        <v>389.97</v>
      </c>
      <c r="R2534" s="2">
        <f>Ventas[[#This Row],[Total bruto (antes de descuento)]]-Ventas[[#This Row],[total_venta]]</f>
        <v>19.5</v>
      </c>
    </row>
    <row r="2535" spans="1:18" x14ac:dyDescent="0.25">
      <c r="A2535" t="s">
        <v>2628</v>
      </c>
      <c r="B2535" s="1">
        <v>45636</v>
      </c>
      <c r="C2535" t="s">
        <v>156</v>
      </c>
      <c r="D2535" t="s">
        <v>27</v>
      </c>
      <c r="E2535">
        <v>2</v>
      </c>
      <c r="F2535" s="2">
        <v>49.99</v>
      </c>
      <c r="G2535">
        <v>0</v>
      </c>
      <c r="H2535" s="2">
        <v>49.99</v>
      </c>
      <c r="I2535" s="2">
        <v>99.98</v>
      </c>
      <c r="J2535" t="s">
        <v>19</v>
      </c>
      <c r="K2535" t="s">
        <v>20</v>
      </c>
      <c r="L2535" t="s">
        <v>32</v>
      </c>
      <c r="M2535" t="s">
        <v>95</v>
      </c>
      <c r="N2535" t="s">
        <v>96</v>
      </c>
      <c r="O2535" t="s">
        <v>48</v>
      </c>
      <c r="P2535">
        <v>3</v>
      </c>
      <c r="Q2535" s="2">
        <f>Ventas[[#This Row],[precio_base]]*Ventas[[#This Row],[cantidad]]</f>
        <v>99.98</v>
      </c>
      <c r="R2535" s="2">
        <f>Ventas[[#This Row],[Total bruto (antes de descuento)]]-Ventas[[#This Row],[total_venta]]</f>
        <v>0</v>
      </c>
    </row>
    <row r="2536" spans="1:18" x14ac:dyDescent="0.25">
      <c r="A2536" t="s">
        <v>2629</v>
      </c>
      <c r="B2536" s="1">
        <v>45392</v>
      </c>
      <c r="C2536" t="s">
        <v>42</v>
      </c>
      <c r="D2536" t="s">
        <v>43</v>
      </c>
      <c r="E2536">
        <v>5</v>
      </c>
      <c r="F2536" s="2">
        <v>349.99</v>
      </c>
      <c r="G2536">
        <v>10</v>
      </c>
      <c r="H2536" s="2">
        <v>314.99</v>
      </c>
      <c r="I2536" s="2">
        <v>1574.95</v>
      </c>
      <c r="J2536" t="s">
        <v>19</v>
      </c>
      <c r="K2536" t="s">
        <v>20</v>
      </c>
      <c r="L2536" t="s">
        <v>21</v>
      </c>
      <c r="M2536" t="s">
        <v>67</v>
      </c>
      <c r="N2536" t="s">
        <v>68</v>
      </c>
      <c r="O2536" t="s">
        <v>35</v>
      </c>
      <c r="P2536">
        <v>1</v>
      </c>
      <c r="Q2536" s="2">
        <f>Ventas[[#This Row],[precio_base]]*Ventas[[#This Row],[cantidad]]</f>
        <v>1749.95</v>
      </c>
      <c r="R2536" s="2">
        <f>Ventas[[#This Row],[Total bruto (antes de descuento)]]-Ventas[[#This Row],[total_venta]]</f>
        <v>175</v>
      </c>
    </row>
    <row r="2537" spans="1:18" x14ac:dyDescent="0.25">
      <c r="A2537" t="s">
        <v>2630</v>
      </c>
      <c r="B2537" s="1">
        <v>45493</v>
      </c>
      <c r="C2537" t="s">
        <v>42</v>
      </c>
      <c r="D2537" t="s">
        <v>43</v>
      </c>
      <c r="E2537">
        <v>1</v>
      </c>
      <c r="F2537" s="2">
        <v>349.99</v>
      </c>
      <c r="G2537">
        <v>20</v>
      </c>
      <c r="H2537" s="2">
        <v>279.99</v>
      </c>
      <c r="I2537" s="2">
        <v>279.99</v>
      </c>
      <c r="J2537" t="s">
        <v>90</v>
      </c>
      <c r="K2537" t="s">
        <v>44</v>
      </c>
      <c r="L2537" t="s">
        <v>152</v>
      </c>
      <c r="M2537" t="s">
        <v>53</v>
      </c>
      <c r="N2537" t="s">
        <v>54</v>
      </c>
      <c r="O2537" t="s">
        <v>35</v>
      </c>
      <c r="Q2537" s="2">
        <f>Ventas[[#This Row],[precio_base]]*Ventas[[#This Row],[cantidad]]</f>
        <v>349.99</v>
      </c>
      <c r="R2537" s="2">
        <f>Ventas[[#This Row],[Total bruto (antes de descuento)]]-Ventas[[#This Row],[total_venta]]</f>
        <v>70</v>
      </c>
    </row>
    <row r="2538" spans="1:18" x14ac:dyDescent="0.25">
      <c r="A2538" t="s">
        <v>2631</v>
      </c>
      <c r="B2538" s="1">
        <v>45001</v>
      </c>
      <c r="C2538" t="s">
        <v>70</v>
      </c>
      <c r="D2538" t="s">
        <v>31</v>
      </c>
      <c r="E2538">
        <v>4</v>
      </c>
      <c r="F2538" s="2">
        <v>59.99</v>
      </c>
      <c r="G2538">
        <v>0</v>
      </c>
      <c r="H2538" s="2">
        <v>59.99</v>
      </c>
      <c r="I2538" s="2">
        <v>239.96</v>
      </c>
      <c r="J2538" t="s">
        <v>19</v>
      </c>
      <c r="K2538" t="s">
        <v>57</v>
      </c>
      <c r="L2538" t="s">
        <v>21</v>
      </c>
      <c r="M2538" t="s">
        <v>123</v>
      </c>
      <c r="N2538" t="s">
        <v>124</v>
      </c>
      <c r="O2538" t="s">
        <v>24</v>
      </c>
      <c r="P2538">
        <v>4</v>
      </c>
      <c r="Q2538" s="2">
        <f>Ventas[[#This Row],[precio_base]]*Ventas[[#This Row],[cantidad]]</f>
        <v>239.96</v>
      </c>
      <c r="R2538" s="2">
        <f>Ventas[[#This Row],[Total bruto (antes de descuento)]]-Ventas[[#This Row],[total_venta]]</f>
        <v>0</v>
      </c>
    </row>
    <row r="2539" spans="1:18" x14ac:dyDescent="0.25">
      <c r="A2539" t="s">
        <v>2632</v>
      </c>
      <c r="B2539" s="1">
        <v>45394</v>
      </c>
      <c r="C2539" t="s">
        <v>83</v>
      </c>
      <c r="D2539" t="s">
        <v>38</v>
      </c>
      <c r="E2539">
        <v>1</v>
      </c>
      <c r="F2539" s="2">
        <v>49.99</v>
      </c>
      <c r="G2539">
        <v>15</v>
      </c>
      <c r="H2539" s="2">
        <v>42.49</v>
      </c>
      <c r="I2539" s="2">
        <v>42.49</v>
      </c>
      <c r="J2539" t="s">
        <v>51</v>
      </c>
      <c r="K2539" t="s">
        <v>20</v>
      </c>
      <c r="L2539" t="s">
        <v>28</v>
      </c>
      <c r="M2539" t="s">
        <v>101</v>
      </c>
      <c r="N2539" t="s">
        <v>102</v>
      </c>
      <c r="O2539" t="s">
        <v>35</v>
      </c>
      <c r="Q2539" s="2">
        <f>Ventas[[#This Row],[precio_base]]*Ventas[[#This Row],[cantidad]]</f>
        <v>49.99</v>
      </c>
      <c r="R2539" s="2">
        <f>Ventas[[#This Row],[Total bruto (antes de descuento)]]-Ventas[[#This Row],[total_venta]]</f>
        <v>7.5</v>
      </c>
    </row>
    <row r="2540" spans="1:18" x14ac:dyDescent="0.25">
      <c r="A2540" t="s">
        <v>2633</v>
      </c>
      <c r="B2540" s="1">
        <v>45003</v>
      </c>
      <c r="C2540" t="s">
        <v>17</v>
      </c>
      <c r="D2540" t="s">
        <v>18</v>
      </c>
      <c r="E2540">
        <v>5</v>
      </c>
      <c r="F2540" s="2">
        <v>45.99</v>
      </c>
      <c r="G2540">
        <v>15</v>
      </c>
      <c r="H2540" s="2">
        <v>39.090000000000003</v>
      </c>
      <c r="I2540" s="2">
        <v>195.45</v>
      </c>
      <c r="J2540" t="s">
        <v>51</v>
      </c>
      <c r="K2540" t="s">
        <v>44</v>
      </c>
      <c r="L2540" t="s">
        <v>21</v>
      </c>
      <c r="M2540" t="s">
        <v>73</v>
      </c>
      <c r="N2540" t="s">
        <v>74</v>
      </c>
      <c r="O2540" t="s">
        <v>35</v>
      </c>
      <c r="Q2540" s="2">
        <f>Ventas[[#This Row],[precio_base]]*Ventas[[#This Row],[cantidad]]</f>
        <v>229.95000000000002</v>
      </c>
      <c r="R2540" s="2">
        <f>Ventas[[#This Row],[Total bruto (antes de descuento)]]-Ventas[[#This Row],[total_venta]]</f>
        <v>34.500000000000028</v>
      </c>
    </row>
    <row r="2541" spans="1:18" x14ac:dyDescent="0.25">
      <c r="A2541" t="s">
        <v>2634</v>
      </c>
      <c r="B2541" s="1">
        <v>45550</v>
      </c>
      <c r="C2541" t="s">
        <v>30</v>
      </c>
      <c r="D2541" t="s">
        <v>31</v>
      </c>
      <c r="E2541">
        <v>5</v>
      </c>
      <c r="F2541" s="2">
        <v>299.99</v>
      </c>
      <c r="G2541">
        <v>5</v>
      </c>
      <c r="H2541" s="2">
        <v>284.99</v>
      </c>
      <c r="I2541" s="2">
        <v>1424.95</v>
      </c>
      <c r="J2541" t="s">
        <v>90</v>
      </c>
      <c r="K2541" t="s">
        <v>20</v>
      </c>
      <c r="L2541" t="s">
        <v>21</v>
      </c>
      <c r="M2541" t="s">
        <v>120</v>
      </c>
      <c r="N2541" t="s">
        <v>23</v>
      </c>
      <c r="O2541" t="s">
        <v>24</v>
      </c>
      <c r="Q2541" s="2">
        <f>Ventas[[#This Row],[precio_base]]*Ventas[[#This Row],[cantidad]]</f>
        <v>1499.95</v>
      </c>
      <c r="R2541" s="2">
        <f>Ventas[[#This Row],[Total bruto (antes de descuento)]]-Ventas[[#This Row],[total_venta]]</f>
        <v>75</v>
      </c>
    </row>
    <row r="2542" spans="1:18" x14ac:dyDescent="0.25">
      <c r="A2542" t="s">
        <v>2635</v>
      </c>
      <c r="B2542" s="1">
        <v>45544</v>
      </c>
      <c r="C2542" t="s">
        <v>92</v>
      </c>
      <c r="D2542" t="s">
        <v>27</v>
      </c>
      <c r="E2542">
        <v>3</v>
      </c>
      <c r="F2542" s="2">
        <v>79.989999999999995</v>
      </c>
      <c r="G2542">
        <v>10</v>
      </c>
      <c r="H2542" s="2">
        <v>71.989999999999995</v>
      </c>
      <c r="I2542" s="2">
        <v>215.97</v>
      </c>
      <c r="J2542" t="s">
        <v>19</v>
      </c>
      <c r="K2542" t="s">
        <v>20</v>
      </c>
      <c r="L2542" t="s">
        <v>28</v>
      </c>
      <c r="M2542" t="s">
        <v>101</v>
      </c>
      <c r="N2542" t="s">
        <v>102</v>
      </c>
      <c r="O2542" t="s">
        <v>35</v>
      </c>
      <c r="P2542">
        <v>3</v>
      </c>
      <c r="Q2542" s="2">
        <f>Ventas[[#This Row],[precio_base]]*Ventas[[#This Row],[cantidad]]</f>
        <v>239.96999999999997</v>
      </c>
      <c r="R2542" s="2">
        <f>Ventas[[#This Row],[Total bruto (antes de descuento)]]-Ventas[[#This Row],[total_venta]]</f>
        <v>23.999999999999972</v>
      </c>
    </row>
    <row r="2543" spans="1:18" x14ac:dyDescent="0.25">
      <c r="A2543" t="s">
        <v>2636</v>
      </c>
      <c r="B2543" s="1">
        <v>45302</v>
      </c>
      <c r="C2543" t="s">
        <v>61</v>
      </c>
      <c r="D2543" t="s">
        <v>38</v>
      </c>
      <c r="E2543">
        <v>2</v>
      </c>
      <c r="F2543" s="2">
        <v>19.989999999999998</v>
      </c>
      <c r="G2543">
        <v>0</v>
      </c>
      <c r="H2543" s="2">
        <v>19.989999999999998</v>
      </c>
      <c r="I2543" s="2">
        <v>39.979999999999997</v>
      </c>
      <c r="J2543" t="s">
        <v>62</v>
      </c>
      <c r="K2543" t="s">
        <v>44</v>
      </c>
      <c r="L2543" t="s">
        <v>45</v>
      </c>
      <c r="M2543" t="s">
        <v>123</v>
      </c>
      <c r="N2543" t="s">
        <v>124</v>
      </c>
      <c r="O2543" t="s">
        <v>24</v>
      </c>
      <c r="Q2543" s="2">
        <f>Ventas[[#This Row],[precio_base]]*Ventas[[#This Row],[cantidad]]</f>
        <v>39.979999999999997</v>
      </c>
      <c r="R2543" s="2">
        <f>Ventas[[#This Row],[Total bruto (antes de descuento)]]-Ventas[[#This Row],[total_venta]]</f>
        <v>0</v>
      </c>
    </row>
    <row r="2544" spans="1:18" x14ac:dyDescent="0.25">
      <c r="A2544" t="s">
        <v>2637</v>
      </c>
      <c r="B2544" s="1">
        <v>44973</v>
      </c>
      <c r="C2544" t="s">
        <v>141</v>
      </c>
      <c r="D2544" t="s">
        <v>38</v>
      </c>
      <c r="E2544">
        <v>4</v>
      </c>
      <c r="F2544" s="2">
        <v>89.99</v>
      </c>
      <c r="G2544">
        <v>20</v>
      </c>
      <c r="H2544" s="2">
        <v>71.989999999999995</v>
      </c>
      <c r="I2544" s="2">
        <v>287.95999999999998</v>
      </c>
      <c r="J2544" t="s">
        <v>19</v>
      </c>
      <c r="K2544" t="s">
        <v>52</v>
      </c>
      <c r="L2544" t="s">
        <v>21</v>
      </c>
      <c r="M2544" t="s">
        <v>46</v>
      </c>
      <c r="N2544" t="s">
        <v>47</v>
      </c>
      <c r="O2544" t="s">
        <v>48</v>
      </c>
      <c r="P2544">
        <v>3</v>
      </c>
      <c r="Q2544" s="2">
        <f>Ventas[[#This Row],[precio_base]]*Ventas[[#This Row],[cantidad]]</f>
        <v>359.96</v>
      </c>
      <c r="R2544" s="2">
        <f>Ventas[[#This Row],[Total bruto (antes de descuento)]]-Ventas[[#This Row],[total_venta]]</f>
        <v>72</v>
      </c>
    </row>
    <row r="2545" spans="1:18" x14ac:dyDescent="0.25">
      <c r="A2545" t="s">
        <v>2638</v>
      </c>
      <c r="B2545" s="1">
        <v>45435</v>
      </c>
      <c r="C2545" t="s">
        <v>143</v>
      </c>
      <c r="D2545" t="s">
        <v>43</v>
      </c>
      <c r="E2545">
        <v>1</v>
      </c>
      <c r="F2545" s="2">
        <v>34.99</v>
      </c>
      <c r="G2545">
        <v>15</v>
      </c>
      <c r="H2545" s="2">
        <v>29.74</v>
      </c>
      <c r="I2545" s="2">
        <v>29.74</v>
      </c>
      <c r="J2545" t="s">
        <v>19</v>
      </c>
      <c r="K2545" t="s">
        <v>20</v>
      </c>
      <c r="L2545" t="s">
        <v>28</v>
      </c>
      <c r="M2545" t="s">
        <v>84</v>
      </c>
      <c r="N2545" t="s">
        <v>85</v>
      </c>
      <c r="O2545" t="s">
        <v>35</v>
      </c>
      <c r="P2545">
        <v>2</v>
      </c>
      <c r="Q2545" s="2">
        <f>Ventas[[#This Row],[precio_base]]*Ventas[[#This Row],[cantidad]]</f>
        <v>34.99</v>
      </c>
      <c r="R2545" s="2">
        <f>Ventas[[#This Row],[Total bruto (antes de descuento)]]-Ventas[[#This Row],[total_venta]]</f>
        <v>5.2500000000000036</v>
      </c>
    </row>
    <row r="2546" spans="1:18" x14ac:dyDescent="0.25">
      <c r="A2546" t="s">
        <v>2639</v>
      </c>
      <c r="B2546" s="1">
        <v>45648</v>
      </c>
      <c r="C2546" t="s">
        <v>130</v>
      </c>
      <c r="D2546" t="s">
        <v>43</v>
      </c>
      <c r="E2546">
        <v>3</v>
      </c>
      <c r="F2546" s="2">
        <v>24.99</v>
      </c>
      <c r="G2546">
        <v>5</v>
      </c>
      <c r="H2546" s="2">
        <v>23.74</v>
      </c>
      <c r="I2546" s="2">
        <v>71.22</v>
      </c>
      <c r="J2546" t="s">
        <v>19</v>
      </c>
      <c r="K2546" t="s">
        <v>44</v>
      </c>
      <c r="L2546" t="s">
        <v>21</v>
      </c>
      <c r="M2546" t="s">
        <v>46</v>
      </c>
      <c r="N2546" t="s">
        <v>47</v>
      </c>
      <c r="O2546" t="s">
        <v>48</v>
      </c>
      <c r="P2546">
        <v>2</v>
      </c>
      <c r="Q2546" s="2">
        <f>Ventas[[#This Row],[precio_base]]*Ventas[[#This Row],[cantidad]]</f>
        <v>74.97</v>
      </c>
      <c r="R2546" s="2">
        <f>Ventas[[#This Row],[Total bruto (antes de descuento)]]-Ventas[[#This Row],[total_venta]]</f>
        <v>3.75</v>
      </c>
    </row>
    <row r="2547" spans="1:18" x14ac:dyDescent="0.25">
      <c r="A2547" t="s">
        <v>2640</v>
      </c>
      <c r="B2547" s="1">
        <v>45212</v>
      </c>
      <c r="C2547" t="s">
        <v>42</v>
      </c>
      <c r="D2547" t="s">
        <v>43</v>
      </c>
      <c r="E2547">
        <v>4</v>
      </c>
      <c r="F2547" s="2">
        <v>349.99</v>
      </c>
      <c r="G2547">
        <v>0</v>
      </c>
      <c r="H2547" s="2">
        <v>349.99</v>
      </c>
      <c r="I2547" s="2">
        <v>1399.96</v>
      </c>
      <c r="J2547" t="s">
        <v>19</v>
      </c>
      <c r="K2547" t="s">
        <v>44</v>
      </c>
      <c r="L2547" t="s">
        <v>21</v>
      </c>
      <c r="M2547" t="s">
        <v>53</v>
      </c>
      <c r="N2547" t="s">
        <v>54</v>
      </c>
      <c r="O2547" t="s">
        <v>35</v>
      </c>
      <c r="P2547">
        <v>3</v>
      </c>
      <c r="Q2547" s="2">
        <f>Ventas[[#This Row],[precio_base]]*Ventas[[#This Row],[cantidad]]</f>
        <v>1399.96</v>
      </c>
      <c r="R2547" s="2">
        <f>Ventas[[#This Row],[Total bruto (antes de descuento)]]-Ventas[[#This Row],[total_venta]]</f>
        <v>0</v>
      </c>
    </row>
    <row r="2548" spans="1:18" x14ac:dyDescent="0.25">
      <c r="A2548" t="s">
        <v>2641</v>
      </c>
      <c r="B2548" s="1">
        <v>44932</v>
      </c>
      <c r="C2548" t="s">
        <v>94</v>
      </c>
      <c r="D2548" t="s">
        <v>18</v>
      </c>
      <c r="E2548">
        <v>1</v>
      </c>
      <c r="F2548" s="2">
        <v>899.99</v>
      </c>
      <c r="G2548">
        <v>5</v>
      </c>
      <c r="H2548" s="2">
        <v>854.99</v>
      </c>
      <c r="I2548" s="2">
        <v>854.99</v>
      </c>
      <c r="J2548" t="s">
        <v>19</v>
      </c>
      <c r="K2548" t="s">
        <v>52</v>
      </c>
      <c r="L2548" t="s">
        <v>21</v>
      </c>
      <c r="M2548" t="s">
        <v>53</v>
      </c>
      <c r="N2548" t="s">
        <v>54</v>
      </c>
      <c r="O2548" t="s">
        <v>35</v>
      </c>
      <c r="P2548">
        <v>3</v>
      </c>
      <c r="Q2548" s="2">
        <f>Ventas[[#This Row],[precio_base]]*Ventas[[#This Row],[cantidad]]</f>
        <v>899.99</v>
      </c>
      <c r="R2548" s="2">
        <f>Ventas[[#This Row],[Total bruto (antes de descuento)]]-Ventas[[#This Row],[total_venta]]</f>
        <v>45</v>
      </c>
    </row>
    <row r="2549" spans="1:18" x14ac:dyDescent="0.25">
      <c r="A2549" t="s">
        <v>2642</v>
      </c>
      <c r="B2549" s="1">
        <v>45390</v>
      </c>
      <c r="C2549" t="s">
        <v>163</v>
      </c>
      <c r="D2549" t="s">
        <v>18</v>
      </c>
      <c r="E2549">
        <v>1</v>
      </c>
      <c r="F2549" s="2">
        <v>499.99</v>
      </c>
      <c r="G2549">
        <v>0</v>
      </c>
      <c r="H2549" s="2">
        <v>499.99</v>
      </c>
      <c r="I2549" s="2">
        <v>499.99</v>
      </c>
      <c r="J2549" t="s">
        <v>116</v>
      </c>
      <c r="K2549" t="s">
        <v>20</v>
      </c>
      <c r="L2549" t="s">
        <v>152</v>
      </c>
      <c r="M2549" t="s">
        <v>95</v>
      </c>
      <c r="N2549" t="s">
        <v>96</v>
      </c>
      <c r="O2549" t="s">
        <v>48</v>
      </c>
      <c r="Q2549" s="2">
        <f>Ventas[[#This Row],[precio_base]]*Ventas[[#This Row],[cantidad]]</f>
        <v>499.99</v>
      </c>
      <c r="R2549" s="2">
        <f>Ventas[[#This Row],[Total bruto (antes de descuento)]]-Ventas[[#This Row],[total_venta]]</f>
        <v>0</v>
      </c>
    </row>
    <row r="2550" spans="1:18" x14ac:dyDescent="0.25">
      <c r="A2550" t="s">
        <v>2643</v>
      </c>
      <c r="B2550" s="1">
        <v>45309</v>
      </c>
      <c r="C2550" t="s">
        <v>104</v>
      </c>
      <c r="D2550" t="s">
        <v>18</v>
      </c>
      <c r="E2550">
        <v>4</v>
      </c>
      <c r="F2550" s="2">
        <v>1199.99</v>
      </c>
      <c r="G2550">
        <v>0</v>
      </c>
      <c r="H2550" s="2">
        <v>1199.99</v>
      </c>
      <c r="I2550" s="2">
        <v>4799.96</v>
      </c>
      <c r="J2550" t="s">
        <v>19</v>
      </c>
      <c r="K2550" t="s">
        <v>52</v>
      </c>
      <c r="L2550" t="s">
        <v>28</v>
      </c>
      <c r="M2550" t="s">
        <v>123</v>
      </c>
      <c r="N2550" t="s">
        <v>124</v>
      </c>
      <c r="O2550" t="s">
        <v>24</v>
      </c>
      <c r="P2550">
        <v>1</v>
      </c>
      <c r="Q2550" s="2">
        <f>Ventas[[#This Row],[precio_base]]*Ventas[[#This Row],[cantidad]]</f>
        <v>4799.96</v>
      </c>
      <c r="R2550" s="2">
        <f>Ventas[[#This Row],[Total bruto (antes de descuento)]]-Ventas[[#This Row],[total_venta]]</f>
        <v>0</v>
      </c>
    </row>
    <row r="2551" spans="1:18" x14ac:dyDescent="0.25">
      <c r="A2551" t="s">
        <v>2644</v>
      </c>
      <c r="B2551" s="1">
        <v>45020</v>
      </c>
      <c r="C2551" t="s">
        <v>17</v>
      </c>
      <c r="D2551" t="s">
        <v>18</v>
      </c>
      <c r="E2551">
        <v>5</v>
      </c>
      <c r="F2551" s="2">
        <v>45.99</v>
      </c>
      <c r="G2551">
        <v>0</v>
      </c>
      <c r="H2551" s="2">
        <v>45.99</v>
      </c>
      <c r="I2551" s="2">
        <v>229.95</v>
      </c>
      <c r="J2551" t="s">
        <v>116</v>
      </c>
      <c r="K2551" t="s">
        <v>20</v>
      </c>
      <c r="L2551" t="s">
        <v>45</v>
      </c>
      <c r="M2551" t="s">
        <v>33</v>
      </c>
      <c r="N2551" t="s">
        <v>34</v>
      </c>
      <c r="O2551" t="s">
        <v>35</v>
      </c>
      <c r="Q2551" s="2">
        <f>Ventas[[#This Row],[precio_base]]*Ventas[[#This Row],[cantidad]]</f>
        <v>229.95000000000002</v>
      </c>
      <c r="R2551" s="2">
        <f>Ventas[[#This Row],[Total bruto (antes de descuento)]]-Ventas[[#This Row],[total_venta]]</f>
        <v>0</v>
      </c>
    </row>
    <row r="2552" spans="1:18" x14ac:dyDescent="0.25">
      <c r="A2552" t="s">
        <v>2645</v>
      </c>
      <c r="B2552" s="1">
        <v>45038</v>
      </c>
      <c r="C2552" t="s">
        <v>143</v>
      </c>
      <c r="D2552" t="s">
        <v>43</v>
      </c>
      <c r="E2552">
        <v>1</v>
      </c>
      <c r="F2552" s="2">
        <v>34.99</v>
      </c>
      <c r="G2552">
        <v>0</v>
      </c>
      <c r="H2552" s="2">
        <v>34.99</v>
      </c>
      <c r="I2552" s="2">
        <v>34.99</v>
      </c>
      <c r="J2552" t="s">
        <v>19</v>
      </c>
      <c r="K2552" t="s">
        <v>44</v>
      </c>
      <c r="L2552" t="s">
        <v>21</v>
      </c>
      <c r="M2552" t="s">
        <v>95</v>
      </c>
      <c r="N2552" t="s">
        <v>96</v>
      </c>
      <c r="O2552" t="s">
        <v>48</v>
      </c>
      <c r="P2552">
        <v>3</v>
      </c>
      <c r="Q2552" s="2">
        <f>Ventas[[#This Row],[precio_base]]*Ventas[[#This Row],[cantidad]]</f>
        <v>34.99</v>
      </c>
      <c r="R2552" s="2">
        <f>Ventas[[#This Row],[Total bruto (antes de descuento)]]-Ventas[[#This Row],[total_venta]]</f>
        <v>0</v>
      </c>
    </row>
    <row r="2553" spans="1:18" x14ac:dyDescent="0.25">
      <c r="A2553" t="s">
        <v>2646</v>
      </c>
      <c r="B2553" s="1">
        <v>45159</v>
      </c>
      <c r="C2553" t="s">
        <v>143</v>
      </c>
      <c r="D2553" t="s">
        <v>43</v>
      </c>
      <c r="E2553">
        <v>4</v>
      </c>
      <c r="F2553" s="2">
        <v>34.99</v>
      </c>
      <c r="G2553">
        <v>0</v>
      </c>
      <c r="H2553" s="2">
        <v>34.99</v>
      </c>
      <c r="I2553" s="2">
        <v>139.96</v>
      </c>
      <c r="J2553" t="s">
        <v>62</v>
      </c>
      <c r="K2553" t="s">
        <v>20</v>
      </c>
      <c r="L2553" t="s">
        <v>21</v>
      </c>
      <c r="M2553" t="s">
        <v>63</v>
      </c>
      <c r="N2553" t="s">
        <v>34</v>
      </c>
      <c r="O2553" t="s">
        <v>24</v>
      </c>
      <c r="Q2553" s="2">
        <f>Ventas[[#This Row],[precio_base]]*Ventas[[#This Row],[cantidad]]</f>
        <v>139.96</v>
      </c>
      <c r="R2553" s="2">
        <f>Ventas[[#This Row],[Total bruto (antes de descuento)]]-Ventas[[#This Row],[total_venta]]</f>
        <v>0</v>
      </c>
    </row>
    <row r="2554" spans="1:18" x14ac:dyDescent="0.25">
      <c r="A2554" t="s">
        <v>2647</v>
      </c>
      <c r="B2554" s="1">
        <v>44999</v>
      </c>
      <c r="C2554" t="s">
        <v>70</v>
      </c>
      <c r="D2554" t="s">
        <v>31</v>
      </c>
      <c r="E2554">
        <v>4</v>
      </c>
      <c r="F2554" s="2">
        <v>59.99</v>
      </c>
      <c r="G2554">
        <v>10</v>
      </c>
      <c r="H2554" s="2">
        <v>53.99</v>
      </c>
      <c r="I2554" s="2">
        <v>215.96</v>
      </c>
      <c r="J2554" t="s">
        <v>19</v>
      </c>
      <c r="K2554" t="s">
        <v>20</v>
      </c>
      <c r="L2554" t="s">
        <v>45</v>
      </c>
      <c r="M2554" t="s">
        <v>46</v>
      </c>
      <c r="N2554" t="s">
        <v>47</v>
      </c>
      <c r="O2554" t="s">
        <v>48</v>
      </c>
      <c r="P2554">
        <v>1</v>
      </c>
      <c r="Q2554" s="2">
        <f>Ventas[[#This Row],[precio_base]]*Ventas[[#This Row],[cantidad]]</f>
        <v>239.96</v>
      </c>
      <c r="R2554" s="2">
        <f>Ventas[[#This Row],[Total bruto (antes de descuento)]]-Ventas[[#This Row],[total_venta]]</f>
        <v>24</v>
      </c>
    </row>
    <row r="2555" spans="1:18" x14ac:dyDescent="0.25">
      <c r="A2555" t="s">
        <v>2648</v>
      </c>
      <c r="B2555" s="1">
        <v>45443</v>
      </c>
      <c r="C2555" t="s">
        <v>26</v>
      </c>
      <c r="D2555" t="s">
        <v>27</v>
      </c>
      <c r="E2555">
        <v>3</v>
      </c>
      <c r="F2555" s="2">
        <v>399.99</v>
      </c>
      <c r="G2555">
        <v>10</v>
      </c>
      <c r="H2555" s="2">
        <v>359.99</v>
      </c>
      <c r="I2555" s="2">
        <v>1079.97</v>
      </c>
      <c r="J2555" t="s">
        <v>51</v>
      </c>
      <c r="K2555" t="s">
        <v>20</v>
      </c>
      <c r="L2555" t="s">
        <v>32</v>
      </c>
      <c r="M2555" t="s">
        <v>84</v>
      </c>
      <c r="N2555" t="s">
        <v>85</v>
      </c>
      <c r="O2555" t="s">
        <v>35</v>
      </c>
      <c r="Q2555" s="2">
        <f>Ventas[[#This Row],[precio_base]]*Ventas[[#This Row],[cantidad]]</f>
        <v>1199.97</v>
      </c>
      <c r="R2555" s="2">
        <f>Ventas[[#This Row],[Total bruto (antes de descuento)]]-Ventas[[#This Row],[total_venta]]</f>
        <v>120</v>
      </c>
    </row>
    <row r="2556" spans="1:18" x14ac:dyDescent="0.25">
      <c r="A2556" t="s">
        <v>2649</v>
      </c>
      <c r="B2556" s="1">
        <v>45071</v>
      </c>
      <c r="C2556" t="s">
        <v>70</v>
      </c>
      <c r="D2556" t="s">
        <v>31</v>
      </c>
      <c r="E2556">
        <v>5</v>
      </c>
      <c r="F2556" s="2">
        <v>59.99</v>
      </c>
      <c r="G2556">
        <v>10</v>
      </c>
      <c r="H2556" s="2">
        <v>53.99</v>
      </c>
      <c r="I2556" s="2">
        <v>269.95</v>
      </c>
      <c r="J2556" t="s">
        <v>19</v>
      </c>
      <c r="K2556" t="s">
        <v>44</v>
      </c>
      <c r="L2556" t="s">
        <v>21</v>
      </c>
      <c r="M2556" t="s">
        <v>33</v>
      </c>
      <c r="N2556" t="s">
        <v>34</v>
      </c>
      <c r="O2556" t="s">
        <v>35</v>
      </c>
      <c r="P2556">
        <v>4</v>
      </c>
      <c r="Q2556" s="2">
        <f>Ventas[[#This Row],[precio_base]]*Ventas[[#This Row],[cantidad]]</f>
        <v>299.95</v>
      </c>
      <c r="R2556" s="2">
        <f>Ventas[[#This Row],[Total bruto (antes de descuento)]]-Ventas[[#This Row],[total_venta]]</f>
        <v>30</v>
      </c>
    </row>
    <row r="2557" spans="1:18" x14ac:dyDescent="0.25">
      <c r="A2557" t="s">
        <v>2650</v>
      </c>
      <c r="B2557" s="1">
        <v>45279</v>
      </c>
      <c r="C2557" t="s">
        <v>78</v>
      </c>
      <c r="D2557" t="s">
        <v>18</v>
      </c>
      <c r="E2557">
        <v>5</v>
      </c>
      <c r="F2557" s="2">
        <v>349.99</v>
      </c>
      <c r="G2557">
        <v>0</v>
      </c>
      <c r="H2557" s="2">
        <v>349.99</v>
      </c>
      <c r="I2557" s="2">
        <v>1749.95</v>
      </c>
      <c r="J2557" t="s">
        <v>19</v>
      </c>
      <c r="K2557" t="s">
        <v>52</v>
      </c>
      <c r="L2557" t="s">
        <v>45</v>
      </c>
      <c r="M2557" t="s">
        <v>101</v>
      </c>
      <c r="N2557" t="s">
        <v>102</v>
      </c>
      <c r="O2557" t="s">
        <v>35</v>
      </c>
      <c r="P2557">
        <v>1</v>
      </c>
      <c r="Q2557" s="2">
        <f>Ventas[[#This Row],[precio_base]]*Ventas[[#This Row],[cantidad]]</f>
        <v>1749.95</v>
      </c>
      <c r="R2557" s="2">
        <f>Ventas[[#This Row],[Total bruto (antes de descuento)]]-Ventas[[#This Row],[total_venta]]</f>
        <v>0</v>
      </c>
    </row>
    <row r="2558" spans="1:18" x14ac:dyDescent="0.25">
      <c r="A2558" t="s">
        <v>2651</v>
      </c>
      <c r="B2558" s="1">
        <v>45566</v>
      </c>
      <c r="C2558" t="s">
        <v>70</v>
      </c>
      <c r="D2558" t="s">
        <v>31</v>
      </c>
      <c r="E2558">
        <v>5</v>
      </c>
      <c r="F2558" s="2">
        <v>59.99</v>
      </c>
      <c r="G2558">
        <v>0</v>
      </c>
      <c r="H2558" s="2">
        <v>59.99</v>
      </c>
      <c r="I2558" s="2">
        <v>299.95</v>
      </c>
      <c r="J2558" t="s">
        <v>116</v>
      </c>
      <c r="K2558" t="s">
        <v>52</v>
      </c>
      <c r="L2558" t="s">
        <v>32</v>
      </c>
      <c r="M2558" t="s">
        <v>22</v>
      </c>
      <c r="N2558" t="s">
        <v>23</v>
      </c>
      <c r="O2558" t="s">
        <v>24</v>
      </c>
      <c r="Q2558" s="2">
        <f>Ventas[[#This Row],[precio_base]]*Ventas[[#This Row],[cantidad]]</f>
        <v>299.95</v>
      </c>
      <c r="R2558" s="2">
        <f>Ventas[[#This Row],[Total bruto (antes de descuento)]]-Ventas[[#This Row],[total_venta]]</f>
        <v>0</v>
      </c>
    </row>
    <row r="2559" spans="1:18" x14ac:dyDescent="0.25">
      <c r="A2559" t="s">
        <v>2652</v>
      </c>
      <c r="B2559" s="1">
        <v>45011</v>
      </c>
      <c r="C2559" t="s">
        <v>115</v>
      </c>
      <c r="D2559" t="s">
        <v>18</v>
      </c>
      <c r="E2559">
        <v>1</v>
      </c>
      <c r="F2559" s="2">
        <v>799.99</v>
      </c>
      <c r="G2559">
        <v>0</v>
      </c>
      <c r="H2559" s="2">
        <v>799.99</v>
      </c>
      <c r="I2559" s="2">
        <v>799.99</v>
      </c>
      <c r="J2559" t="s">
        <v>19</v>
      </c>
      <c r="K2559" t="s">
        <v>20</v>
      </c>
      <c r="L2559" t="s">
        <v>28</v>
      </c>
      <c r="M2559" t="s">
        <v>46</v>
      </c>
      <c r="N2559" t="s">
        <v>47</v>
      </c>
      <c r="O2559" t="s">
        <v>48</v>
      </c>
      <c r="P2559">
        <v>5</v>
      </c>
      <c r="Q2559" s="2">
        <f>Ventas[[#This Row],[precio_base]]*Ventas[[#This Row],[cantidad]]</f>
        <v>799.99</v>
      </c>
      <c r="R2559" s="2">
        <f>Ventas[[#This Row],[Total bruto (antes de descuento)]]-Ventas[[#This Row],[total_venta]]</f>
        <v>0</v>
      </c>
    </row>
    <row r="2560" spans="1:18" x14ac:dyDescent="0.25">
      <c r="A2560" t="s">
        <v>2653</v>
      </c>
      <c r="B2560" s="1">
        <v>45339</v>
      </c>
      <c r="C2560" t="s">
        <v>163</v>
      </c>
      <c r="D2560" t="s">
        <v>18</v>
      </c>
      <c r="E2560">
        <v>2</v>
      </c>
      <c r="F2560" s="2">
        <v>499.99</v>
      </c>
      <c r="G2560">
        <v>0</v>
      </c>
      <c r="H2560" s="2">
        <v>499.99</v>
      </c>
      <c r="I2560" s="2">
        <v>999.98</v>
      </c>
      <c r="J2560" t="s">
        <v>19</v>
      </c>
      <c r="K2560" t="s">
        <v>20</v>
      </c>
      <c r="L2560" t="s">
        <v>32</v>
      </c>
      <c r="M2560" t="s">
        <v>58</v>
      </c>
      <c r="N2560" t="s">
        <v>59</v>
      </c>
      <c r="O2560" t="s">
        <v>24</v>
      </c>
      <c r="P2560">
        <v>3</v>
      </c>
      <c r="Q2560" s="2">
        <f>Ventas[[#This Row],[precio_base]]*Ventas[[#This Row],[cantidad]]</f>
        <v>999.98</v>
      </c>
      <c r="R2560" s="2">
        <f>Ventas[[#This Row],[Total bruto (antes de descuento)]]-Ventas[[#This Row],[total_venta]]</f>
        <v>0</v>
      </c>
    </row>
    <row r="2561" spans="1:18" x14ac:dyDescent="0.25">
      <c r="A2561" t="s">
        <v>2654</v>
      </c>
      <c r="B2561" s="1">
        <v>45375</v>
      </c>
      <c r="C2561" t="s">
        <v>61</v>
      </c>
      <c r="D2561" t="s">
        <v>38</v>
      </c>
      <c r="E2561">
        <v>5</v>
      </c>
      <c r="F2561" s="2">
        <v>19.989999999999998</v>
      </c>
      <c r="G2561">
        <v>20</v>
      </c>
      <c r="H2561" s="2">
        <v>15.99</v>
      </c>
      <c r="I2561" s="2">
        <v>79.95</v>
      </c>
      <c r="J2561" t="s">
        <v>62</v>
      </c>
      <c r="K2561" t="s">
        <v>20</v>
      </c>
      <c r="L2561" t="s">
        <v>152</v>
      </c>
      <c r="M2561" t="s">
        <v>22</v>
      </c>
      <c r="N2561" t="s">
        <v>23</v>
      </c>
      <c r="O2561" t="s">
        <v>24</v>
      </c>
      <c r="Q2561" s="2">
        <f>Ventas[[#This Row],[precio_base]]*Ventas[[#This Row],[cantidad]]</f>
        <v>99.949999999999989</v>
      </c>
      <c r="R2561" s="2">
        <f>Ventas[[#This Row],[Total bruto (antes de descuento)]]-Ventas[[#This Row],[total_venta]]</f>
        <v>19.999999999999986</v>
      </c>
    </row>
    <row r="2562" spans="1:18" x14ac:dyDescent="0.25">
      <c r="A2562" t="s">
        <v>2655</v>
      </c>
      <c r="B2562" s="1">
        <v>45357</v>
      </c>
      <c r="C2562" t="s">
        <v>87</v>
      </c>
      <c r="D2562" t="s">
        <v>27</v>
      </c>
      <c r="E2562">
        <v>1</v>
      </c>
      <c r="F2562" s="2">
        <v>249.99</v>
      </c>
      <c r="G2562">
        <v>5</v>
      </c>
      <c r="H2562" s="2">
        <v>237.49</v>
      </c>
      <c r="I2562" s="2">
        <v>237.49</v>
      </c>
      <c r="J2562" t="s">
        <v>62</v>
      </c>
      <c r="K2562" t="s">
        <v>20</v>
      </c>
      <c r="L2562" t="s">
        <v>28</v>
      </c>
      <c r="M2562" t="s">
        <v>65</v>
      </c>
      <c r="N2562" t="s">
        <v>54</v>
      </c>
      <c r="O2562" t="s">
        <v>35</v>
      </c>
      <c r="Q2562" s="2">
        <f>Ventas[[#This Row],[precio_base]]*Ventas[[#This Row],[cantidad]]</f>
        <v>249.99</v>
      </c>
      <c r="R2562" s="2">
        <f>Ventas[[#This Row],[Total bruto (antes de descuento)]]-Ventas[[#This Row],[total_venta]]</f>
        <v>12.5</v>
      </c>
    </row>
    <row r="2563" spans="1:18" x14ac:dyDescent="0.25">
      <c r="A2563" t="s">
        <v>2656</v>
      </c>
      <c r="B2563" s="1">
        <v>45385</v>
      </c>
      <c r="C2563" t="s">
        <v>115</v>
      </c>
      <c r="D2563" t="s">
        <v>18</v>
      </c>
      <c r="E2563">
        <v>5</v>
      </c>
      <c r="F2563" s="2">
        <v>799.99</v>
      </c>
      <c r="G2563">
        <v>10</v>
      </c>
      <c r="H2563" s="2">
        <v>719.99</v>
      </c>
      <c r="I2563" s="2">
        <v>3599.95</v>
      </c>
      <c r="J2563" t="s">
        <v>19</v>
      </c>
      <c r="K2563" t="s">
        <v>57</v>
      </c>
      <c r="L2563" t="s">
        <v>32</v>
      </c>
      <c r="M2563" t="s">
        <v>84</v>
      </c>
      <c r="N2563" t="s">
        <v>85</v>
      </c>
      <c r="O2563" t="s">
        <v>35</v>
      </c>
      <c r="P2563">
        <v>5</v>
      </c>
      <c r="Q2563" s="2">
        <f>Ventas[[#This Row],[precio_base]]*Ventas[[#This Row],[cantidad]]</f>
        <v>3999.95</v>
      </c>
      <c r="R2563" s="2">
        <f>Ventas[[#This Row],[Total bruto (antes de descuento)]]-Ventas[[#This Row],[total_venta]]</f>
        <v>400</v>
      </c>
    </row>
    <row r="2564" spans="1:18" x14ac:dyDescent="0.25">
      <c r="A2564" t="s">
        <v>2657</v>
      </c>
      <c r="B2564" s="1">
        <v>45442</v>
      </c>
      <c r="C2564" t="s">
        <v>115</v>
      </c>
      <c r="D2564" t="s">
        <v>18</v>
      </c>
      <c r="E2564">
        <v>5</v>
      </c>
      <c r="F2564" s="2">
        <v>799.99</v>
      </c>
      <c r="G2564">
        <v>0</v>
      </c>
      <c r="H2564" s="2">
        <v>799.99</v>
      </c>
      <c r="I2564" s="2">
        <v>3999.95</v>
      </c>
      <c r="J2564" t="s">
        <v>116</v>
      </c>
      <c r="K2564" t="s">
        <v>52</v>
      </c>
      <c r="L2564" t="s">
        <v>45</v>
      </c>
      <c r="M2564" t="s">
        <v>123</v>
      </c>
      <c r="N2564" t="s">
        <v>124</v>
      </c>
      <c r="O2564" t="s">
        <v>24</v>
      </c>
      <c r="Q2564" s="2">
        <f>Ventas[[#This Row],[precio_base]]*Ventas[[#This Row],[cantidad]]</f>
        <v>3999.95</v>
      </c>
      <c r="R2564" s="2">
        <f>Ventas[[#This Row],[Total bruto (antes de descuento)]]-Ventas[[#This Row],[total_venta]]</f>
        <v>0</v>
      </c>
    </row>
    <row r="2565" spans="1:18" x14ac:dyDescent="0.25">
      <c r="A2565" t="s">
        <v>2658</v>
      </c>
      <c r="B2565" s="1">
        <v>45572</v>
      </c>
      <c r="C2565" t="s">
        <v>42</v>
      </c>
      <c r="D2565" t="s">
        <v>43</v>
      </c>
      <c r="E2565">
        <v>3</v>
      </c>
      <c r="F2565" s="2">
        <v>349.99</v>
      </c>
      <c r="G2565">
        <v>5</v>
      </c>
      <c r="H2565" s="2">
        <v>332.49</v>
      </c>
      <c r="I2565" s="2">
        <v>997.47</v>
      </c>
      <c r="J2565" t="s">
        <v>90</v>
      </c>
      <c r="K2565" t="s">
        <v>20</v>
      </c>
      <c r="L2565" t="s">
        <v>21</v>
      </c>
      <c r="M2565" t="s">
        <v>65</v>
      </c>
      <c r="N2565" t="s">
        <v>54</v>
      </c>
      <c r="O2565" t="s">
        <v>35</v>
      </c>
      <c r="Q2565" s="2">
        <f>Ventas[[#This Row],[precio_base]]*Ventas[[#This Row],[cantidad]]</f>
        <v>1049.97</v>
      </c>
      <c r="R2565" s="2">
        <f>Ventas[[#This Row],[Total bruto (antes de descuento)]]-Ventas[[#This Row],[total_venta]]</f>
        <v>52.5</v>
      </c>
    </row>
    <row r="2566" spans="1:18" x14ac:dyDescent="0.25">
      <c r="A2566" t="s">
        <v>2659</v>
      </c>
      <c r="B2566" s="1">
        <v>45383</v>
      </c>
      <c r="C2566" t="s">
        <v>143</v>
      </c>
      <c r="D2566" t="s">
        <v>43</v>
      </c>
      <c r="E2566">
        <v>4</v>
      </c>
      <c r="F2566" s="2">
        <v>34.99</v>
      </c>
      <c r="G2566">
        <v>0</v>
      </c>
      <c r="H2566" s="2">
        <v>34.99</v>
      </c>
      <c r="I2566" s="2">
        <v>139.96</v>
      </c>
      <c r="J2566" t="s">
        <v>51</v>
      </c>
      <c r="K2566" t="s">
        <v>20</v>
      </c>
      <c r="L2566" t="s">
        <v>28</v>
      </c>
      <c r="M2566" t="s">
        <v>120</v>
      </c>
      <c r="N2566" t="s">
        <v>23</v>
      </c>
      <c r="O2566" t="s">
        <v>24</v>
      </c>
      <c r="Q2566" s="2">
        <f>Ventas[[#This Row],[precio_base]]*Ventas[[#This Row],[cantidad]]</f>
        <v>139.96</v>
      </c>
      <c r="R2566" s="2">
        <f>Ventas[[#This Row],[Total bruto (antes de descuento)]]-Ventas[[#This Row],[total_venta]]</f>
        <v>0</v>
      </c>
    </row>
    <row r="2567" spans="1:18" x14ac:dyDescent="0.25">
      <c r="A2567" t="s">
        <v>2660</v>
      </c>
      <c r="B2567" s="1">
        <v>45287</v>
      </c>
      <c r="C2567" t="s">
        <v>56</v>
      </c>
      <c r="D2567" t="s">
        <v>18</v>
      </c>
      <c r="E2567">
        <v>3</v>
      </c>
      <c r="F2567" s="2">
        <v>89.99</v>
      </c>
      <c r="G2567">
        <v>5</v>
      </c>
      <c r="H2567" s="2">
        <v>85.49</v>
      </c>
      <c r="I2567" s="2">
        <v>256.47000000000003</v>
      </c>
      <c r="J2567" t="s">
        <v>19</v>
      </c>
      <c r="K2567" t="s">
        <v>20</v>
      </c>
      <c r="L2567" t="s">
        <v>32</v>
      </c>
      <c r="M2567" t="s">
        <v>33</v>
      </c>
      <c r="N2567" t="s">
        <v>34</v>
      </c>
      <c r="O2567" t="s">
        <v>35</v>
      </c>
      <c r="P2567">
        <v>5</v>
      </c>
      <c r="Q2567" s="2">
        <f>Ventas[[#This Row],[precio_base]]*Ventas[[#This Row],[cantidad]]</f>
        <v>269.96999999999997</v>
      </c>
      <c r="R2567" s="2">
        <f>Ventas[[#This Row],[Total bruto (antes de descuento)]]-Ventas[[#This Row],[total_venta]]</f>
        <v>13.499999999999943</v>
      </c>
    </row>
    <row r="2568" spans="1:18" x14ac:dyDescent="0.25">
      <c r="A2568" t="s">
        <v>2661</v>
      </c>
      <c r="B2568" s="1">
        <v>44961</v>
      </c>
      <c r="C2568" t="s">
        <v>50</v>
      </c>
      <c r="D2568" t="s">
        <v>27</v>
      </c>
      <c r="E2568">
        <v>3</v>
      </c>
      <c r="F2568" s="2">
        <v>149.99</v>
      </c>
      <c r="G2568">
        <v>20</v>
      </c>
      <c r="H2568" s="2">
        <v>119.99</v>
      </c>
      <c r="I2568" s="2">
        <v>359.97</v>
      </c>
      <c r="J2568" t="s">
        <v>19</v>
      </c>
      <c r="K2568" t="s">
        <v>44</v>
      </c>
      <c r="L2568" t="s">
        <v>28</v>
      </c>
      <c r="M2568" t="s">
        <v>46</v>
      </c>
      <c r="N2568" t="s">
        <v>47</v>
      </c>
      <c r="O2568" t="s">
        <v>48</v>
      </c>
      <c r="P2568">
        <v>1</v>
      </c>
      <c r="Q2568" s="2">
        <f>Ventas[[#This Row],[precio_base]]*Ventas[[#This Row],[cantidad]]</f>
        <v>449.97</v>
      </c>
      <c r="R2568" s="2">
        <f>Ventas[[#This Row],[Total bruto (antes de descuento)]]-Ventas[[#This Row],[total_venta]]</f>
        <v>90</v>
      </c>
    </row>
    <row r="2569" spans="1:18" x14ac:dyDescent="0.25">
      <c r="A2569" t="s">
        <v>2662</v>
      </c>
      <c r="B2569" s="1">
        <v>45609</v>
      </c>
      <c r="C2569" t="s">
        <v>156</v>
      </c>
      <c r="D2569" t="s">
        <v>27</v>
      </c>
      <c r="E2569">
        <v>1</v>
      </c>
      <c r="F2569" s="2">
        <v>49.99</v>
      </c>
      <c r="G2569">
        <v>0</v>
      </c>
      <c r="H2569" s="2">
        <v>49.99</v>
      </c>
      <c r="I2569" s="2">
        <v>49.99</v>
      </c>
      <c r="J2569" t="s">
        <v>19</v>
      </c>
      <c r="K2569" t="s">
        <v>57</v>
      </c>
      <c r="L2569" t="s">
        <v>45</v>
      </c>
      <c r="M2569" t="s">
        <v>95</v>
      </c>
      <c r="N2569" t="s">
        <v>96</v>
      </c>
      <c r="O2569" t="s">
        <v>48</v>
      </c>
      <c r="P2569">
        <v>5</v>
      </c>
      <c r="Q2569" s="2">
        <f>Ventas[[#This Row],[precio_base]]*Ventas[[#This Row],[cantidad]]</f>
        <v>49.99</v>
      </c>
      <c r="R2569" s="2">
        <f>Ventas[[#This Row],[Total bruto (antes de descuento)]]-Ventas[[#This Row],[total_venta]]</f>
        <v>0</v>
      </c>
    </row>
    <row r="2570" spans="1:18" x14ac:dyDescent="0.25">
      <c r="A2570" t="s">
        <v>2663</v>
      </c>
      <c r="B2570" s="1">
        <v>45324</v>
      </c>
      <c r="C2570" t="s">
        <v>17</v>
      </c>
      <c r="D2570" t="s">
        <v>18</v>
      </c>
      <c r="E2570">
        <v>5</v>
      </c>
      <c r="F2570" s="2">
        <v>45.99</v>
      </c>
      <c r="G2570">
        <v>15</v>
      </c>
      <c r="H2570" s="2">
        <v>39.090000000000003</v>
      </c>
      <c r="I2570" s="2">
        <v>195.45</v>
      </c>
      <c r="J2570" t="s">
        <v>19</v>
      </c>
      <c r="K2570" t="s">
        <v>52</v>
      </c>
      <c r="L2570" t="s">
        <v>28</v>
      </c>
      <c r="M2570" t="s">
        <v>123</v>
      </c>
      <c r="N2570" t="s">
        <v>124</v>
      </c>
      <c r="O2570" t="s">
        <v>24</v>
      </c>
      <c r="P2570">
        <v>4</v>
      </c>
      <c r="Q2570" s="2">
        <f>Ventas[[#This Row],[precio_base]]*Ventas[[#This Row],[cantidad]]</f>
        <v>229.95000000000002</v>
      </c>
      <c r="R2570" s="2">
        <f>Ventas[[#This Row],[Total bruto (antes de descuento)]]-Ventas[[#This Row],[total_venta]]</f>
        <v>34.500000000000028</v>
      </c>
    </row>
    <row r="2571" spans="1:18" x14ac:dyDescent="0.25">
      <c r="A2571" t="s">
        <v>2664</v>
      </c>
      <c r="B2571" s="1">
        <v>45625</v>
      </c>
      <c r="C2571" t="s">
        <v>109</v>
      </c>
      <c r="D2571" t="s">
        <v>38</v>
      </c>
      <c r="E2571">
        <v>1</v>
      </c>
      <c r="F2571" s="2">
        <v>39.99</v>
      </c>
      <c r="G2571">
        <v>15</v>
      </c>
      <c r="H2571" s="2">
        <v>33.99</v>
      </c>
      <c r="I2571" s="2">
        <v>33.99</v>
      </c>
      <c r="J2571" t="s">
        <v>51</v>
      </c>
      <c r="K2571" t="s">
        <v>44</v>
      </c>
      <c r="L2571" t="s">
        <v>45</v>
      </c>
      <c r="M2571" t="s">
        <v>63</v>
      </c>
      <c r="N2571" t="s">
        <v>34</v>
      </c>
      <c r="O2571" t="s">
        <v>24</v>
      </c>
      <c r="Q2571" s="2">
        <f>Ventas[[#This Row],[precio_base]]*Ventas[[#This Row],[cantidad]]</f>
        <v>39.99</v>
      </c>
      <c r="R2571" s="2">
        <f>Ventas[[#This Row],[Total bruto (antes de descuento)]]-Ventas[[#This Row],[total_venta]]</f>
        <v>6</v>
      </c>
    </row>
    <row r="2572" spans="1:18" x14ac:dyDescent="0.25">
      <c r="A2572" t="s">
        <v>2665</v>
      </c>
      <c r="B2572" s="1">
        <v>45562</v>
      </c>
      <c r="C2572" t="s">
        <v>89</v>
      </c>
      <c r="D2572" t="s">
        <v>38</v>
      </c>
      <c r="E2572">
        <v>2</v>
      </c>
      <c r="F2572" s="2">
        <v>69.989999999999995</v>
      </c>
      <c r="G2572">
        <v>0</v>
      </c>
      <c r="H2572" s="2">
        <v>69.989999999999995</v>
      </c>
      <c r="I2572" s="2">
        <v>139.97999999999999</v>
      </c>
      <c r="J2572" t="s">
        <v>62</v>
      </c>
      <c r="K2572" t="s">
        <v>20</v>
      </c>
      <c r="L2572" t="s">
        <v>152</v>
      </c>
      <c r="M2572" t="s">
        <v>53</v>
      </c>
      <c r="N2572" t="s">
        <v>54</v>
      </c>
      <c r="O2572" t="s">
        <v>35</v>
      </c>
      <c r="Q2572" s="2">
        <f>Ventas[[#This Row],[precio_base]]*Ventas[[#This Row],[cantidad]]</f>
        <v>139.97999999999999</v>
      </c>
      <c r="R2572" s="2">
        <f>Ventas[[#This Row],[Total bruto (antes de descuento)]]-Ventas[[#This Row],[total_venta]]</f>
        <v>0</v>
      </c>
    </row>
    <row r="2573" spans="1:18" x14ac:dyDescent="0.25">
      <c r="A2573" t="s">
        <v>2666</v>
      </c>
      <c r="B2573" s="1">
        <v>45625</v>
      </c>
      <c r="C2573" t="s">
        <v>205</v>
      </c>
      <c r="D2573" t="s">
        <v>18</v>
      </c>
      <c r="E2573">
        <v>1</v>
      </c>
      <c r="F2573" s="2">
        <v>129.99</v>
      </c>
      <c r="G2573">
        <v>0</v>
      </c>
      <c r="H2573" s="2">
        <v>129.99</v>
      </c>
      <c r="I2573" s="2">
        <v>129.99</v>
      </c>
      <c r="J2573" t="s">
        <v>51</v>
      </c>
      <c r="K2573" t="s">
        <v>20</v>
      </c>
      <c r="L2573" t="s">
        <v>21</v>
      </c>
      <c r="M2573" t="s">
        <v>63</v>
      </c>
      <c r="N2573" t="s">
        <v>34</v>
      </c>
      <c r="O2573" t="s">
        <v>24</v>
      </c>
      <c r="Q2573" s="2">
        <f>Ventas[[#This Row],[precio_base]]*Ventas[[#This Row],[cantidad]]</f>
        <v>129.99</v>
      </c>
      <c r="R2573" s="2">
        <f>Ventas[[#This Row],[Total bruto (antes de descuento)]]-Ventas[[#This Row],[total_venta]]</f>
        <v>0</v>
      </c>
    </row>
    <row r="2574" spans="1:18" x14ac:dyDescent="0.25">
      <c r="A2574" t="s">
        <v>2667</v>
      </c>
      <c r="B2574" s="1">
        <v>45506</v>
      </c>
      <c r="C2574" t="s">
        <v>89</v>
      </c>
      <c r="D2574" t="s">
        <v>38</v>
      </c>
      <c r="E2574">
        <v>1</v>
      </c>
      <c r="F2574" s="2">
        <v>69.989999999999995</v>
      </c>
      <c r="G2574">
        <v>0</v>
      </c>
      <c r="H2574" s="2">
        <v>69.989999999999995</v>
      </c>
      <c r="I2574" s="2">
        <v>69.989999999999995</v>
      </c>
      <c r="J2574" t="s">
        <v>19</v>
      </c>
      <c r="K2574" t="s">
        <v>52</v>
      </c>
      <c r="L2574" t="s">
        <v>28</v>
      </c>
      <c r="M2574" t="s">
        <v>120</v>
      </c>
      <c r="N2574" t="s">
        <v>23</v>
      </c>
      <c r="O2574" t="s">
        <v>24</v>
      </c>
      <c r="P2574">
        <v>1</v>
      </c>
      <c r="Q2574" s="2">
        <f>Ventas[[#This Row],[precio_base]]*Ventas[[#This Row],[cantidad]]</f>
        <v>69.989999999999995</v>
      </c>
      <c r="R2574" s="2">
        <f>Ventas[[#This Row],[Total bruto (antes de descuento)]]-Ventas[[#This Row],[total_venta]]</f>
        <v>0</v>
      </c>
    </row>
    <row r="2575" spans="1:18" x14ac:dyDescent="0.25">
      <c r="A2575" t="s">
        <v>2668</v>
      </c>
      <c r="B2575" s="1">
        <v>45007</v>
      </c>
      <c r="C2575" t="s">
        <v>141</v>
      </c>
      <c r="D2575" t="s">
        <v>38</v>
      </c>
      <c r="E2575">
        <v>1</v>
      </c>
      <c r="F2575" s="2">
        <v>89.99</v>
      </c>
      <c r="G2575">
        <v>0</v>
      </c>
      <c r="H2575" s="2">
        <v>89.99</v>
      </c>
      <c r="I2575" s="2">
        <v>89.99</v>
      </c>
      <c r="J2575" t="s">
        <v>19</v>
      </c>
      <c r="K2575" t="s">
        <v>52</v>
      </c>
      <c r="L2575" t="s">
        <v>152</v>
      </c>
      <c r="M2575" t="s">
        <v>84</v>
      </c>
      <c r="N2575" t="s">
        <v>85</v>
      </c>
      <c r="O2575" t="s">
        <v>35</v>
      </c>
      <c r="P2575">
        <v>3</v>
      </c>
      <c r="Q2575" s="2">
        <f>Ventas[[#This Row],[precio_base]]*Ventas[[#This Row],[cantidad]]</f>
        <v>89.99</v>
      </c>
      <c r="R2575" s="2">
        <f>Ventas[[#This Row],[Total bruto (antes de descuento)]]-Ventas[[#This Row],[total_venta]]</f>
        <v>0</v>
      </c>
    </row>
    <row r="2576" spans="1:18" x14ac:dyDescent="0.25">
      <c r="A2576" t="s">
        <v>2669</v>
      </c>
      <c r="B2576" s="1">
        <v>45597</v>
      </c>
      <c r="C2576" t="s">
        <v>81</v>
      </c>
      <c r="D2576" t="s">
        <v>31</v>
      </c>
      <c r="E2576">
        <v>5</v>
      </c>
      <c r="F2576" s="2">
        <v>189.99</v>
      </c>
      <c r="G2576">
        <v>0</v>
      </c>
      <c r="H2576" s="2">
        <v>189.99</v>
      </c>
      <c r="I2576" s="2">
        <v>949.95</v>
      </c>
      <c r="J2576" t="s">
        <v>19</v>
      </c>
      <c r="K2576" t="s">
        <v>44</v>
      </c>
      <c r="L2576" t="s">
        <v>21</v>
      </c>
      <c r="M2576" t="s">
        <v>53</v>
      </c>
      <c r="N2576" t="s">
        <v>54</v>
      </c>
      <c r="O2576" t="s">
        <v>35</v>
      </c>
      <c r="P2576">
        <v>3</v>
      </c>
      <c r="Q2576" s="2">
        <f>Ventas[[#This Row],[precio_base]]*Ventas[[#This Row],[cantidad]]</f>
        <v>949.95</v>
      </c>
      <c r="R2576" s="2">
        <f>Ventas[[#This Row],[Total bruto (antes de descuento)]]-Ventas[[#This Row],[total_venta]]</f>
        <v>0</v>
      </c>
    </row>
    <row r="2577" spans="1:18" x14ac:dyDescent="0.25">
      <c r="A2577" t="s">
        <v>2670</v>
      </c>
      <c r="B2577" s="1">
        <v>44971</v>
      </c>
      <c r="C2577" t="s">
        <v>143</v>
      </c>
      <c r="D2577" t="s">
        <v>43</v>
      </c>
      <c r="E2577">
        <v>4</v>
      </c>
      <c r="F2577" s="2">
        <v>34.99</v>
      </c>
      <c r="G2577">
        <v>0</v>
      </c>
      <c r="H2577" s="2">
        <v>34.99</v>
      </c>
      <c r="I2577" s="2">
        <v>139.96</v>
      </c>
      <c r="J2577" t="s">
        <v>51</v>
      </c>
      <c r="K2577" t="s">
        <v>20</v>
      </c>
      <c r="L2577" t="s">
        <v>21</v>
      </c>
      <c r="M2577" t="s">
        <v>84</v>
      </c>
      <c r="N2577" t="s">
        <v>85</v>
      </c>
      <c r="O2577" t="s">
        <v>35</v>
      </c>
      <c r="Q2577" s="2">
        <f>Ventas[[#This Row],[precio_base]]*Ventas[[#This Row],[cantidad]]</f>
        <v>139.96</v>
      </c>
      <c r="R2577" s="2">
        <f>Ventas[[#This Row],[Total bruto (antes de descuento)]]-Ventas[[#This Row],[total_venta]]</f>
        <v>0</v>
      </c>
    </row>
    <row r="2578" spans="1:18" x14ac:dyDescent="0.25">
      <c r="A2578" t="s">
        <v>2671</v>
      </c>
      <c r="B2578" s="1">
        <v>45536</v>
      </c>
      <c r="C2578" t="s">
        <v>50</v>
      </c>
      <c r="D2578" t="s">
        <v>27</v>
      </c>
      <c r="E2578">
        <v>1</v>
      </c>
      <c r="F2578" s="2">
        <v>149.99</v>
      </c>
      <c r="G2578">
        <v>0</v>
      </c>
      <c r="H2578" s="2">
        <v>149.99</v>
      </c>
      <c r="I2578" s="2">
        <v>149.99</v>
      </c>
      <c r="J2578" t="s">
        <v>51</v>
      </c>
      <c r="K2578" t="s">
        <v>44</v>
      </c>
      <c r="L2578" t="s">
        <v>28</v>
      </c>
      <c r="M2578" t="s">
        <v>33</v>
      </c>
      <c r="N2578" t="s">
        <v>34</v>
      </c>
      <c r="O2578" t="s">
        <v>35</v>
      </c>
      <c r="Q2578" s="2">
        <f>Ventas[[#This Row],[precio_base]]*Ventas[[#This Row],[cantidad]]</f>
        <v>149.99</v>
      </c>
      <c r="R2578" s="2">
        <f>Ventas[[#This Row],[Total bruto (antes de descuento)]]-Ventas[[#This Row],[total_venta]]</f>
        <v>0</v>
      </c>
    </row>
    <row r="2579" spans="1:18" x14ac:dyDescent="0.25">
      <c r="A2579" t="s">
        <v>2672</v>
      </c>
      <c r="B2579" s="1">
        <v>45163</v>
      </c>
      <c r="C2579" t="s">
        <v>81</v>
      </c>
      <c r="D2579" t="s">
        <v>31</v>
      </c>
      <c r="E2579">
        <v>1</v>
      </c>
      <c r="F2579" s="2">
        <v>189.99</v>
      </c>
      <c r="G2579">
        <v>0</v>
      </c>
      <c r="H2579" s="2">
        <v>189.99</v>
      </c>
      <c r="I2579" s="2">
        <v>189.99</v>
      </c>
      <c r="J2579" t="s">
        <v>19</v>
      </c>
      <c r="K2579" t="s">
        <v>20</v>
      </c>
      <c r="L2579" t="s">
        <v>28</v>
      </c>
      <c r="M2579" t="s">
        <v>120</v>
      </c>
      <c r="N2579" t="s">
        <v>23</v>
      </c>
      <c r="O2579" t="s">
        <v>24</v>
      </c>
      <c r="P2579">
        <v>2</v>
      </c>
      <c r="Q2579" s="2">
        <f>Ventas[[#This Row],[precio_base]]*Ventas[[#This Row],[cantidad]]</f>
        <v>189.99</v>
      </c>
      <c r="R2579" s="2">
        <f>Ventas[[#This Row],[Total bruto (antes de descuento)]]-Ventas[[#This Row],[total_venta]]</f>
        <v>0</v>
      </c>
    </row>
    <row r="2580" spans="1:18" x14ac:dyDescent="0.25">
      <c r="A2580" t="s">
        <v>2673</v>
      </c>
      <c r="B2580" s="1">
        <v>45238</v>
      </c>
      <c r="C2580" t="s">
        <v>98</v>
      </c>
      <c r="D2580" t="s">
        <v>31</v>
      </c>
      <c r="E2580">
        <v>1</v>
      </c>
      <c r="F2580" s="2">
        <v>99.99</v>
      </c>
      <c r="G2580">
        <v>0</v>
      </c>
      <c r="H2580" s="2">
        <v>99.99</v>
      </c>
      <c r="I2580" s="2">
        <v>99.99</v>
      </c>
      <c r="J2580" t="s">
        <v>51</v>
      </c>
      <c r="K2580" t="s">
        <v>20</v>
      </c>
      <c r="L2580" t="s">
        <v>21</v>
      </c>
      <c r="M2580" t="s">
        <v>33</v>
      </c>
      <c r="N2580" t="s">
        <v>34</v>
      </c>
      <c r="O2580" t="s">
        <v>35</v>
      </c>
      <c r="Q2580" s="2">
        <f>Ventas[[#This Row],[precio_base]]*Ventas[[#This Row],[cantidad]]</f>
        <v>99.99</v>
      </c>
      <c r="R2580" s="2">
        <f>Ventas[[#This Row],[Total bruto (antes de descuento)]]-Ventas[[#This Row],[total_venta]]</f>
        <v>0</v>
      </c>
    </row>
    <row r="2581" spans="1:18" x14ac:dyDescent="0.25">
      <c r="A2581" t="s">
        <v>2674</v>
      </c>
      <c r="B2581" s="1">
        <v>45056</v>
      </c>
      <c r="C2581" t="s">
        <v>94</v>
      </c>
      <c r="D2581" t="s">
        <v>18</v>
      </c>
      <c r="E2581">
        <v>2</v>
      </c>
      <c r="F2581" s="2">
        <v>899.99</v>
      </c>
      <c r="G2581">
        <v>5</v>
      </c>
      <c r="H2581" s="2">
        <v>854.99</v>
      </c>
      <c r="I2581" s="2">
        <v>1709.98</v>
      </c>
      <c r="J2581" t="s">
        <v>19</v>
      </c>
      <c r="K2581" t="s">
        <v>44</v>
      </c>
      <c r="L2581" t="s">
        <v>28</v>
      </c>
      <c r="M2581" t="s">
        <v>33</v>
      </c>
      <c r="N2581" t="s">
        <v>34</v>
      </c>
      <c r="O2581" t="s">
        <v>35</v>
      </c>
      <c r="P2581">
        <v>1</v>
      </c>
      <c r="Q2581" s="2">
        <f>Ventas[[#This Row],[precio_base]]*Ventas[[#This Row],[cantidad]]</f>
        <v>1799.98</v>
      </c>
      <c r="R2581" s="2">
        <f>Ventas[[#This Row],[Total bruto (antes de descuento)]]-Ventas[[#This Row],[total_venta]]</f>
        <v>90</v>
      </c>
    </row>
    <row r="2582" spans="1:18" x14ac:dyDescent="0.25">
      <c r="A2582" t="s">
        <v>2675</v>
      </c>
      <c r="B2582" s="1">
        <v>45000</v>
      </c>
      <c r="C2582" t="s">
        <v>50</v>
      </c>
      <c r="D2582" t="s">
        <v>27</v>
      </c>
      <c r="E2582">
        <v>3</v>
      </c>
      <c r="F2582" s="2">
        <v>149.99</v>
      </c>
      <c r="G2582">
        <v>15</v>
      </c>
      <c r="H2582" s="2">
        <v>127.49</v>
      </c>
      <c r="I2582" s="2">
        <v>382.47</v>
      </c>
      <c r="J2582" t="s">
        <v>51</v>
      </c>
      <c r="K2582" t="s">
        <v>57</v>
      </c>
      <c r="L2582" t="s">
        <v>152</v>
      </c>
      <c r="M2582" t="s">
        <v>95</v>
      </c>
      <c r="N2582" t="s">
        <v>96</v>
      </c>
      <c r="O2582" t="s">
        <v>48</v>
      </c>
      <c r="Q2582" s="2">
        <f>Ventas[[#This Row],[precio_base]]*Ventas[[#This Row],[cantidad]]</f>
        <v>449.97</v>
      </c>
      <c r="R2582" s="2">
        <f>Ventas[[#This Row],[Total bruto (antes de descuento)]]-Ventas[[#This Row],[total_venta]]</f>
        <v>67.5</v>
      </c>
    </row>
    <row r="2583" spans="1:18" x14ac:dyDescent="0.25">
      <c r="A2583" t="s">
        <v>2676</v>
      </c>
      <c r="B2583" s="1">
        <v>45271</v>
      </c>
      <c r="C2583" t="s">
        <v>130</v>
      </c>
      <c r="D2583" t="s">
        <v>43</v>
      </c>
      <c r="E2583">
        <v>5</v>
      </c>
      <c r="F2583" s="2">
        <v>24.99</v>
      </c>
      <c r="G2583">
        <v>10</v>
      </c>
      <c r="H2583" s="2">
        <v>22.49</v>
      </c>
      <c r="I2583" s="2">
        <v>112.45</v>
      </c>
      <c r="J2583" t="s">
        <v>62</v>
      </c>
      <c r="K2583" t="s">
        <v>20</v>
      </c>
      <c r="L2583" t="s">
        <v>28</v>
      </c>
      <c r="M2583" t="s">
        <v>65</v>
      </c>
      <c r="N2583" t="s">
        <v>54</v>
      </c>
      <c r="O2583" t="s">
        <v>35</v>
      </c>
      <c r="Q2583" s="2">
        <f>Ventas[[#This Row],[precio_base]]*Ventas[[#This Row],[cantidad]]</f>
        <v>124.94999999999999</v>
      </c>
      <c r="R2583" s="2">
        <f>Ventas[[#This Row],[Total bruto (antes de descuento)]]-Ventas[[#This Row],[total_venta]]</f>
        <v>12.499999999999986</v>
      </c>
    </row>
    <row r="2584" spans="1:18" x14ac:dyDescent="0.25">
      <c r="A2584" t="s">
        <v>2677</v>
      </c>
      <c r="B2584" s="1">
        <v>45176</v>
      </c>
      <c r="C2584" t="s">
        <v>122</v>
      </c>
      <c r="D2584" t="s">
        <v>43</v>
      </c>
      <c r="E2584">
        <v>3</v>
      </c>
      <c r="F2584" s="2">
        <v>44.99</v>
      </c>
      <c r="G2584">
        <v>15</v>
      </c>
      <c r="H2584" s="2">
        <v>38.24</v>
      </c>
      <c r="I2584" s="2">
        <v>114.72</v>
      </c>
      <c r="J2584" t="s">
        <v>19</v>
      </c>
      <c r="K2584" t="s">
        <v>20</v>
      </c>
      <c r="L2584" t="s">
        <v>45</v>
      </c>
      <c r="M2584" t="s">
        <v>63</v>
      </c>
      <c r="N2584" t="s">
        <v>34</v>
      </c>
      <c r="O2584" t="s">
        <v>24</v>
      </c>
      <c r="P2584">
        <v>1</v>
      </c>
      <c r="Q2584" s="2">
        <f>Ventas[[#This Row],[precio_base]]*Ventas[[#This Row],[cantidad]]</f>
        <v>134.97</v>
      </c>
      <c r="R2584" s="2">
        <f>Ventas[[#This Row],[Total bruto (antes de descuento)]]-Ventas[[#This Row],[total_venta]]</f>
        <v>20.25</v>
      </c>
    </row>
    <row r="2585" spans="1:18" x14ac:dyDescent="0.25">
      <c r="A2585" t="s">
        <v>2678</v>
      </c>
      <c r="B2585" s="1">
        <v>44987</v>
      </c>
      <c r="C2585" t="s">
        <v>37</v>
      </c>
      <c r="D2585" t="s">
        <v>38</v>
      </c>
      <c r="E2585">
        <v>4</v>
      </c>
      <c r="F2585" s="2">
        <v>34.99</v>
      </c>
      <c r="G2585">
        <v>10</v>
      </c>
      <c r="H2585" s="2">
        <v>31.49</v>
      </c>
      <c r="I2585" s="2">
        <v>125.96</v>
      </c>
      <c r="J2585" t="s">
        <v>90</v>
      </c>
      <c r="K2585" t="s">
        <v>44</v>
      </c>
      <c r="L2585" t="s">
        <v>45</v>
      </c>
      <c r="M2585" t="s">
        <v>46</v>
      </c>
      <c r="N2585" t="s">
        <v>47</v>
      </c>
      <c r="O2585" t="s">
        <v>48</v>
      </c>
      <c r="Q2585" s="2">
        <f>Ventas[[#This Row],[precio_base]]*Ventas[[#This Row],[cantidad]]</f>
        <v>139.96</v>
      </c>
      <c r="R2585" s="2">
        <f>Ventas[[#This Row],[Total bruto (antes de descuento)]]-Ventas[[#This Row],[total_venta]]</f>
        <v>14.000000000000014</v>
      </c>
    </row>
    <row r="2586" spans="1:18" x14ac:dyDescent="0.25">
      <c r="A2586" t="s">
        <v>2679</v>
      </c>
      <c r="B2586" s="1">
        <v>45365</v>
      </c>
      <c r="C2586" t="s">
        <v>122</v>
      </c>
      <c r="D2586" t="s">
        <v>43</v>
      </c>
      <c r="E2586">
        <v>5</v>
      </c>
      <c r="F2586" s="2">
        <v>44.99</v>
      </c>
      <c r="G2586">
        <v>0</v>
      </c>
      <c r="H2586" s="2">
        <v>44.99</v>
      </c>
      <c r="I2586" s="2">
        <v>224.95</v>
      </c>
      <c r="J2586" t="s">
        <v>19</v>
      </c>
      <c r="K2586" t="s">
        <v>44</v>
      </c>
      <c r="L2586" t="s">
        <v>45</v>
      </c>
      <c r="M2586" t="s">
        <v>120</v>
      </c>
      <c r="N2586" t="s">
        <v>23</v>
      </c>
      <c r="O2586" t="s">
        <v>24</v>
      </c>
      <c r="P2586">
        <v>1</v>
      </c>
      <c r="Q2586" s="2">
        <f>Ventas[[#This Row],[precio_base]]*Ventas[[#This Row],[cantidad]]</f>
        <v>224.95000000000002</v>
      </c>
      <c r="R2586" s="2">
        <f>Ventas[[#This Row],[Total bruto (antes de descuento)]]-Ventas[[#This Row],[total_venta]]</f>
        <v>0</v>
      </c>
    </row>
    <row r="2587" spans="1:18" x14ac:dyDescent="0.25">
      <c r="A2587" t="s">
        <v>2680</v>
      </c>
      <c r="B2587" s="1">
        <v>45639</v>
      </c>
      <c r="C2587" t="s">
        <v>130</v>
      </c>
      <c r="D2587" t="s">
        <v>43</v>
      </c>
      <c r="E2587">
        <v>2</v>
      </c>
      <c r="F2587" s="2">
        <v>24.99</v>
      </c>
      <c r="G2587">
        <v>5</v>
      </c>
      <c r="H2587" s="2">
        <v>23.74</v>
      </c>
      <c r="I2587" s="2">
        <v>47.48</v>
      </c>
      <c r="J2587" t="s">
        <v>19</v>
      </c>
      <c r="K2587" t="s">
        <v>44</v>
      </c>
      <c r="L2587" t="s">
        <v>28</v>
      </c>
      <c r="M2587" t="s">
        <v>84</v>
      </c>
      <c r="N2587" t="s">
        <v>85</v>
      </c>
      <c r="O2587" t="s">
        <v>35</v>
      </c>
      <c r="P2587">
        <v>2</v>
      </c>
      <c r="Q2587" s="2">
        <f>Ventas[[#This Row],[precio_base]]*Ventas[[#This Row],[cantidad]]</f>
        <v>49.98</v>
      </c>
      <c r="R2587" s="2">
        <f>Ventas[[#This Row],[Total bruto (antes de descuento)]]-Ventas[[#This Row],[total_venta]]</f>
        <v>2.5</v>
      </c>
    </row>
    <row r="2588" spans="1:18" x14ac:dyDescent="0.25">
      <c r="A2588" t="s">
        <v>2681</v>
      </c>
      <c r="B2588" s="1">
        <v>45605</v>
      </c>
      <c r="C2588" t="s">
        <v>115</v>
      </c>
      <c r="D2588" t="s">
        <v>18</v>
      </c>
      <c r="E2588">
        <v>5</v>
      </c>
      <c r="F2588" s="2">
        <v>799.99</v>
      </c>
      <c r="G2588">
        <v>20</v>
      </c>
      <c r="H2588" s="2">
        <v>639.99</v>
      </c>
      <c r="I2588" s="2">
        <v>3199.95</v>
      </c>
      <c r="J2588" t="s">
        <v>19</v>
      </c>
      <c r="K2588" t="s">
        <v>44</v>
      </c>
      <c r="L2588" t="s">
        <v>152</v>
      </c>
      <c r="M2588" t="s">
        <v>33</v>
      </c>
      <c r="N2588" t="s">
        <v>34</v>
      </c>
      <c r="O2588" t="s">
        <v>35</v>
      </c>
      <c r="P2588">
        <v>2</v>
      </c>
      <c r="Q2588" s="2">
        <f>Ventas[[#This Row],[precio_base]]*Ventas[[#This Row],[cantidad]]</f>
        <v>3999.95</v>
      </c>
      <c r="R2588" s="2">
        <f>Ventas[[#This Row],[Total bruto (antes de descuento)]]-Ventas[[#This Row],[total_venta]]</f>
        <v>800</v>
      </c>
    </row>
    <row r="2589" spans="1:18" x14ac:dyDescent="0.25">
      <c r="A2589" t="s">
        <v>2682</v>
      </c>
      <c r="B2589" s="1">
        <v>44948</v>
      </c>
      <c r="C2589" t="s">
        <v>104</v>
      </c>
      <c r="D2589" t="s">
        <v>18</v>
      </c>
      <c r="E2589">
        <v>4</v>
      </c>
      <c r="F2589" s="2">
        <v>1199.99</v>
      </c>
      <c r="G2589">
        <v>5</v>
      </c>
      <c r="H2589" s="2">
        <v>1139.99</v>
      </c>
      <c r="I2589" s="2">
        <v>4559.96</v>
      </c>
      <c r="J2589" t="s">
        <v>19</v>
      </c>
      <c r="K2589" t="s">
        <v>52</v>
      </c>
      <c r="L2589" t="s">
        <v>21</v>
      </c>
      <c r="M2589" t="s">
        <v>39</v>
      </c>
      <c r="N2589" t="s">
        <v>40</v>
      </c>
      <c r="O2589" t="s">
        <v>35</v>
      </c>
      <c r="P2589">
        <v>3</v>
      </c>
      <c r="Q2589" s="2">
        <f>Ventas[[#This Row],[precio_base]]*Ventas[[#This Row],[cantidad]]</f>
        <v>4799.96</v>
      </c>
      <c r="R2589" s="2">
        <f>Ventas[[#This Row],[Total bruto (antes de descuento)]]-Ventas[[#This Row],[total_venta]]</f>
        <v>240</v>
      </c>
    </row>
    <row r="2590" spans="1:18" x14ac:dyDescent="0.25">
      <c r="A2590" t="s">
        <v>2683</v>
      </c>
      <c r="B2590" s="1">
        <v>44935</v>
      </c>
      <c r="C2590" t="s">
        <v>115</v>
      </c>
      <c r="D2590" t="s">
        <v>18</v>
      </c>
      <c r="E2590">
        <v>2</v>
      </c>
      <c r="F2590" s="2">
        <v>799.99</v>
      </c>
      <c r="G2590">
        <v>15</v>
      </c>
      <c r="H2590" s="2">
        <v>679.99</v>
      </c>
      <c r="I2590" s="2">
        <v>1359.98</v>
      </c>
      <c r="J2590" t="s">
        <v>19</v>
      </c>
      <c r="K2590" t="s">
        <v>20</v>
      </c>
      <c r="L2590" t="s">
        <v>21</v>
      </c>
      <c r="M2590" t="s">
        <v>46</v>
      </c>
      <c r="N2590" t="s">
        <v>47</v>
      </c>
      <c r="O2590" t="s">
        <v>48</v>
      </c>
      <c r="P2590">
        <v>4</v>
      </c>
      <c r="Q2590" s="2">
        <f>Ventas[[#This Row],[precio_base]]*Ventas[[#This Row],[cantidad]]</f>
        <v>1599.98</v>
      </c>
      <c r="R2590" s="2">
        <f>Ventas[[#This Row],[Total bruto (antes de descuento)]]-Ventas[[#This Row],[total_venta]]</f>
        <v>240</v>
      </c>
    </row>
    <row r="2591" spans="1:18" x14ac:dyDescent="0.25">
      <c r="A2591" t="s">
        <v>2684</v>
      </c>
      <c r="B2591" s="1">
        <v>45247</v>
      </c>
      <c r="C2591" t="s">
        <v>61</v>
      </c>
      <c r="D2591" t="s">
        <v>38</v>
      </c>
      <c r="E2591">
        <v>2</v>
      </c>
      <c r="F2591" s="2">
        <v>19.989999999999998</v>
      </c>
      <c r="G2591">
        <v>5</v>
      </c>
      <c r="H2591" s="2">
        <v>18.989999999999998</v>
      </c>
      <c r="I2591" s="2">
        <v>37.979999999999997</v>
      </c>
      <c r="J2591" t="s">
        <v>19</v>
      </c>
      <c r="K2591" t="s">
        <v>44</v>
      </c>
      <c r="L2591" t="s">
        <v>21</v>
      </c>
      <c r="M2591" t="s">
        <v>95</v>
      </c>
      <c r="N2591" t="s">
        <v>96</v>
      </c>
      <c r="O2591" t="s">
        <v>48</v>
      </c>
      <c r="P2591">
        <v>5</v>
      </c>
      <c r="Q2591" s="2">
        <f>Ventas[[#This Row],[precio_base]]*Ventas[[#This Row],[cantidad]]</f>
        <v>39.979999999999997</v>
      </c>
      <c r="R2591" s="2">
        <f>Ventas[[#This Row],[Total bruto (antes de descuento)]]-Ventas[[#This Row],[total_venta]]</f>
        <v>2</v>
      </c>
    </row>
    <row r="2592" spans="1:18" x14ac:dyDescent="0.25">
      <c r="A2592" t="s">
        <v>2685</v>
      </c>
      <c r="B2592" s="1">
        <v>44989</v>
      </c>
      <c r="C2592" t="s">
        <v>72</v>
      </c>
      <c r="D2592" t="s">
        <v>31</v>
      </c>
      <c r="E2592">
        <v>2</v>
      </c>
      <c r="F2592" s="2">
        <v>29.99</v>
      </c>
      <c r="G2592">
        <v>15</v>
      </c>
      <c r="H2592" s="2">
        <v>25.49</v>
      </c>
      <c r="I2592" s="2">
        <v>50.98</v>
      </c>
      <c r="J2592" t="s">
        <v>90</v>
      </c>
      <c r="K2592" t="s">
        <v>52</v>
      </c>
      <c r="L2592" t="s">
        <v>21</v>
      </c>
      <c r="M2592" t="s">
        <v>84</v>
      </c>
      <c r="N2592" t="s">
        <v>85</v>
      </c>
      <c r="O2592" t="s">
        <v>35</v>
      </c>
      <c r="Q2592" s="2">
        <f>Ventas[[#This Row],[precio_base]]*Ventas[[#This Row],[cantidad]]</f>
        <v>59.98</v>
      </c>
      <c r="R2592" s="2">
        <f>Ventas[[#This Row],[Total bruto (antes de descuento)]]-Ventas[[#This Row],[total_venta]]</f>
        <v>9</v>
      </c>
    </row>
    <row r="2593" spans="1:18" x14ac:dyDescent="0.25">
      <c r="A2593" t="s">
        <v>2686</v>
      </c>
      <c r="B2593" s="1">
        <v>45153</v>
      </c>
      <c r="C2593" t="s">
        <v>83</v>
      </c>
      <c r="D2593" t="s">
        <v>38</v>
      </c>
      <c r="E2593">
        <v>3</v>
      </c>
      <c r="F2593" s="2">
        <v>49.99</v>
      </c>
      <c r="G2593">
        <v>20</v>
      </c>
      <c r="H2593" s="2">
        <v>39.99</v>
      </c>
      <c r="I2593" s="2">
        <v>119.97</v>
      </c>
      <c r="J2593" t="s">
        <v>19</v>
      </c>
      <c r="K2593" t="s">
        <v>44</v>
      </c>
      <c r="L2593" t="s">
        <v>21</v>
      </c>
      <c r="M2593" t="s">
        <v>46</v>
      </c>
      <c r="N2593" t="s">
        <v>47</v>
      </c>
      <c r="O2593" t="s">
        <v>48</v>
      </c>
      <c r="P2593">
        <v>1</v>
      </c>
      <c r="Q2593" s="2">
        <f>Ventas[[#This Row],[precio_base]]*Ventas[[#This Row],[cantidad]]</f>
        <v>149.97</v>
      </c>
      <c r="R2593" s="2">
        <f>Ventas[[#This Row],[Total bruto (antes de descuento)]]-Ventas[[#This Row],[total_venta]]</f>
        <v>30</v>
      </c>
    </row>
    <row r="2594" spans="1:18" x14ac:dyDescent="0.25">
      <c r="A2594" t="s">
        <v>2687</v>
      </c>
      <c r="B2594" s="1">
        <v>45585</v>
      </c>
      <c r="C2594" t="s">
        <v>130</v>
      </c>
      <c r="D2594" t="s">
        <v>43</v>
      </c>
      <c r="E2594">
        <v>4</v>
      </c>
      <c r="F2594" s="2">
        <v>24.99</v>
      </c>
      <c r="G2594">
        <v>20</v>
      </c>
      <c r="H2594" s="2">
        <v>19.989999999999998</v>
      </c>
      <c r="I2594" s="2">
        <v>79.959999999999994</v>
      </c>
      <c r="J2594" t="s">
        <v>51</v>
      </c>
      <c r="K2594" t="s">
        <v>20</v>
      </c>
      <c r="L2594" t="s">
        <v>28</v>
      </c>
      <c r="M2594" t="s">
        <v>123</v>
      </c>
      <c r="N2594" t="s">
        <v>124</v>
      </c>
      <c r="O2594" t="s">
        <v>24</v>
      </c>
      <c r="Q2594" s="2">
        <f>Ventas[[#This Row],[precio_base]]*Ventas[[#This Row],[cantidad]]</f>
        <v>99.96</v>
      </c>
      <c r="R2594" s="2">
        <f>Ventas[[#This Row],[Total bruto (antes de descuento)]]-Ventas[[#This Row],[total_venta]]</f>
        <v>20</v>
      </c>
    </row>
    <row r="2595" spans="1:18" x14ac:dyDescent="0.25">
      <c r="A2595" t="s">
        <v>2688</v>
      </c>
      <c r="B2595" s="1">
        <v>45480</v>
      </c>
      <c r="C2595" t="s">
        <v>50</v>
      </c>
      <c r="D2595" t="s">
        <v>27</v>
      </c>
      <c r="E2595">
        <v>4</v>
      </c>
      <c r="F2595" s="2">
        <v>149.99</v>
      </c>
      <c r="G2595">
        <v>10</v>
      </c>
      <c r="H2595" s="2">
        <v>134.99</v>
      </c>
      <c r="I2595" s="2">
        <v>539.96</v>
      </c>
      <c r="J2595" t="s">
        <v>19</v>
      </c>
      <c r="K2595" t="s">
        <v>20</v>
      </c>
      <c r="L2595" t="s">
        <v>152</v>
      </c>
      <c r="M2595" t="s">
        <v>46</v>
      </c>
      <c r="N2595" t="s">
        <v>47</v>
      </c>
      <c r="O2595" t="s">
        <v>48</v>
      </c>
      <c r="P2595">
        <v>1</v>
      </c>
      <c r="Q2595" s="2">
        <f>Ventas[[#This Row],[precio_base]]*Ventas[[#This Row],[cantidad]]</f>
        <v>599.96</v>
      </c>
      <c r="R2595" s="2">
        <f>Ventas[[#This Row],[Total bruto (antes de descuento)]]-Ventas[[#This Row],[total_venta]]</f>
        <v>60</v>
      </c>
    </row>
    <row r="2596" spans="1:18" x14ac:dyDescent="0.25">
      <c r="A2596" t="s">
        <v>2689</v>
      </c>
      <c r="B2596" s="1">
        <v>45320</v>
      </c>
      <c r="C2596" t="s">
        <v>109</v>
      </c>
      <c r="D2596" t="s">
        <v>38</v>
      </c>
      <c r="E2596">
        <v>4</v>
      </c>
      <c r="F2596" s="2">
        <v>39.99</v>
      </c>
      <c r="G2596">
        <v>0</v>
      </c>
      <c r="H2596" s="2">
        <v>39.99</v>
      </c>
      <c r="I2596" s="2">
        <v>159.96</v>
      </c>
      <c r="J2596" t="s">
        <v>51</v>
      </c>
      <c r="K2596" t="s">
        <v>52</v>
      </c>
      <c r="L2596" t="s">
        <v>21</v>
      </c>
      <c r="M2596" t="s">
        <v>33</v>
      </c>
      <c r="N2596" t="s">
        <v>34</v>
      </c>
      <c r="O2596" t="s">
        <v>35</v>
      </c>
      <c r="Q2596" s="2">
        <f>Ventas[[#This Row],[precio_base]]*Ventas[[#This Row],[cantidad]]</f>
        <v>159.96</v>
      </c>
      <c r="R2596" s="2">
        <f>Ventas[[#This Row],[Total bruto (antes de descuento)]]-Ventas[[#This Row],[total_venta]]</f>
        <v>0</v>
      </c>
    </row>
    <row r="2597" spans="1:18" x14ac:dyDescent="0.25">
      <c r="A2597" t="s">
        <v>2690</v>
      </c>
      <c r="B2597" s="1">
        <v>45621</v>
      </c>
      <c r="C2597" t="s">
        <v>141</v>
      </c>
      <c r="D2597" t="s">
        <v>38</v>
      </c>
      <c r="E2597">
        <v>4</v>
      </c>
      <c r="F2597" s="2">
        <v>89.99</v>
      </c>
      <c r="G2597">
        <v>0</v>
      </c>
      <c r="H2597" s="2">
        <v>89.99</v>
      </c>
      <c r="I2597" s="2">
        <v>359.96</v>
      </c>
      <c r="J2597" t="s">
        <v>51</v>
      </c>
      <c r="K2597" t="s">
        <v>44</v>
      </c>
      <c r="L2597" t="s">
        <v>152</v>
      </c>
      <c r="M2597" t="s">
        <v>33</v>
      </c>
      <c r="N2597" t="s">
        <v>34</v>
      </c>
      <c r="O2597" t="s">
        <v>35</v>
      </c>
      <c r="Q2597" s="2">
        <f>Ventas[[#This Row],[precio_base]]*Ventas[[#This Row],[cantidad]]</f>
        <v>359.96</v>
      </c>
      <c r="R2597" s="2">
        <f>Ventas[[#This Row],[Total bruto (antes de descuento)]]-Ventas[[#This Row],[total_venta]]</f>
        <v>0</v>
      </c>
    </row>
    <row r="2598" spans="1:18" x14ac:dyDescent="0.25">
      <c r="A2598" t="s">
        <v>2691</v>
      </c>
      <c r="B2598" s="1">
        <v>45388</v>
      </c>
      <c r="C2598" t="s">
        <v>141</v>
      </c>
      <c r="D2598" t="s">
        <v>38</v>
      </c>
      <c r="E2598">
        <v>5</v>
      </c>
      <c r="F2598" s="2">
        <v>89.99</v>
      </c>
      <c r="G2598">
        <v>20</v>
      </c>
      <c r="H2598" s="2">
        <v>71.989999999999995</v>
      </c>
      <c r="I2598" s="2">
        <v>359.95</v>
      </c>
      <c r="J2598" t="s">
        <v>19</v>
      </c>
      <c r="K2598" t="s">
        <v>44</v>
      </c>
      <c r="L2598" t="s">
        <v>45</v>
      </c>
      <c r="M2598" t="s">
        <v>63</v>
      </c>
      <c r="N2598" t="s">
        <v>34</v>
      </c>
      <c r="O2598" t="s">
        <v>24</v>
      </c>
      <c r="P2598">
        <v>4</v>
      </c>
      <c r="Q2598" s="2">
        <f>Ventas[[#This Row],[precio_base]]*Ventas[[#This Row],[cantidad]]</f>
        <v>449.95</v>
      </c>
      <c r="R2598" s="2">
        <f>Ventas[[#This Row],[Total bruto (antes de descuento)]]-Ventas[[#This Row],[total_venta]]</f>
        <v>90</v>
      </c>
    </row>
    <row r="2599" spans="1:18" x14ac:dyDescent="0.25">
      <c r="A2599" t="s">
        <v>2692</v>
      </c>
      <c r="B2599" s="1">
        <v>45246</v>
      </c>
      <c r="C2599" t="s">
        <v>205</v>
      </c>
      <c r="D2599" t="s">
        <v>18</v>
      </c>
      <c r="E2599">
        <v>4</v>
      </c>
      <c r="F2599" s="2">
        <v>129.99</v>
      </c>
      <c r="G2599">
        <v>0</v>
      </c>
      <c r="H2599" s="2">
        <v>129.99</v>
      </c>
      <c r="I2599" s="2">
        <v>519.96</v>
      </c>
      <c r="J2599" t="s">
        <v>19</v>
      </c>
      <c r="K2599" t="s">
        <v>20</v>
      </c>
      <c r="L2599" t="s">
        <v>28</v>
      </c>
      <c r="M2599" t="s">
        <v>67</v>
      </c>
      <c r="N2599" t="s">
        <v>68</v>
      </c>
      <c r="O2599" t="s">
        <v>35</v>
      </c>
      <c r="P2599">
        <v>2</v>
      </c>
      <c r="Q2599" s="2">
        <f>Ventas[[#This Row],[precio_base]]*Ventas[[#This Row],[cantidad]]</f>
        <v>519.96</v>
      </c>
      <c r="R2599" s="2">
        <f>Ventas[[#This Row],[Total bruto (antes de descuento)]]-Ventas[[#This Row],[total_venta]]</f>
        <v>0</v>
      </c>
    </row>
    <row r="2600" spans="1:18" x14ac:dyDescent="0.25">
      <c r="A2600" t="s">
        <v>2693</v>
      </c>
      <c r="B2600" s="1">
        <v>44935</v>
      </c>
      <c r="C2600" t="s">
        <v>130</v>
      </c>
      <c r="D2600" t="s">
        <v>43</v>
      </c>
      <c r="E2600">
        <v>2</v>
      </c>
      <c r="F2600" s="2">
        <v>24.99</v>
      </c>
      <c r="G2600">
        <v>5</v>
      </c>
      <c r="H2600" s="2">
        <v>23.74</v>
      </c>
      <c r="I2600" s="2">
        <v>47.48</v>
      </c>
      <c r="J2600" t="s">
        <v>19</v>
      </c>
      <c r="K2600" t="s">
        <v>20</v>
      </c>
      <c r="L2600" t="s">
        <v>21</v>
      </c>
      <c r="M2600" t="s">
        <v>65</v>
      </c>
      <c r="N2600" t="s">
        <v>54</v>
      </c>
      <c r="O2600" t="s">
        <v>35</v>
      </c>
      <c r="P2600">
        <v>4</v>
      </c>
      <c r="Q2600" s="2">
        <f>Ventas[[#This Row],[precio_base]]*Ventas[[#This Row],[cantidad]]</f>
        <v>49.98</v>
      </c>
      <c r="R2600" s="2">
        <f>Ventas[[#This Row],[Total bruto (antes de descuento)]]-Ventas[[#This Row],[total_venta]]</f>
        <v>2.5</v>
      </c>
    </row>
    <row r="2601" spans="1:18" x14ac:dyDescent="0.25">
      <c r="A2601" t="s">
        <v>2694</v>
      </c>
      <c r="B2601" s="1">
        <v>44952</v>
      </c>
      <c r="C2601" t="s">
        <v>30</v>
      </c>
      <c r="D2601" t="s">
        <v>31</v>
      </c>
      <c r="E2601">
        <v>5</v>
      </c>
      <c r="F2601" s="2">
        <v>299.99</v>
      </c>
      <c r="G2601">
        <v>0</v>
      </c>
      <c r="H2601" s="2">
        <v>299.99</v>
      </c>
      <c r="I2601" s="2">
        <v>1499.95</v>
      </c>
      <c r="J2601" t="s">
        <v>19</v>
      </c>
      <c r="K2601" t="s">
        <v>20</v>
      </c>
      <c r="L2601" t="s">
        <v>32</v>
      </c>
      <c r="M2601" t="s">
        <v>101</v>
      </c>
      <c r="N2601" t="s">
        <v>102</v>
      </c>
      <c r="O2601" t="s">
        <v>35</v>
      </c>
      <c r="P2601">
        <v>2</v>
      </c>
      <c r="Q2601" s="2">
        <f>Ventas[[#This Row],[precio_base]]*Ventas[[#This Row],[cantidad]]</f>
        <v>1499.95</v>
      </c>
      <c r="R2601" s="2">
        <f>Ventas[[#This Row],[Total bruto (antes de descuento)]]-Ventas[[#This Row],[total_venta]]</f>
        <v>0</v>
      </c>
    </row>
    <row r="2602" spans="1:18" x14ac:dyDescent="0.25">
      <c r="A2602" t="s">
        <v>2695</v>
      </c>
      <c r="B2602" s="1">
        <v>45158</v>
      </c>
      <c r="C2602" t="s">
        <v>30</v>
      </c>
      <c r="D2602" t="s">
        <v>31</v>
      </c>
      <c r="E2602">
        <v>5</v>
      </c>
      <c r="F2602" s="2">
        <v>299.99</v>
      </c>
      <c r="G2602">
        <v>0</v>
      </c>
      <c r="H2602" s="2">
        <v>299.99</v>
      </c>
      <c r="I2602" s="2">
        <v>1499.95</v>
      </c>
      <c r="J2602" t="s">
        <v>19</v>
      </c>
      <c r="K2602" t="s">
        <v>44</v>
      </c>
      <c r="L2602" t="s">
        <v>21</v>
      </c>
      <c r="M2602" t="s">
        <v>120</v>
      </c>
      <c r="N2602" t="s">
        <v>23</v>
      </c>
      <c r="O2602" t="s">
        <v>24</v>
      </c>
      <c r="P2602">
        <v>5</v>
      </c>
      <c r="Q2602" s="2">
        <f>Ventas[[#This Row],[precio_base]]*Ventas[[#This Row],[cantidad]]</f>
        <v>1499.95</v>
      </c>
      <c r="R2602" s="2">
        <f>Ventas[[#This Row],[Total bruto (antes de descuento)]]-Ventas[[#This Row],[total_venta]]</f>
        <v>0</v>
      </c>
    </row>
    <row r="2603" spans="1:18" x14ac:dyDescent="0.25">
      <c r="A2603" t="s">
        <v>2696</v>
      </c>
      <c r="B2603" s="1">
        <v>45603</v>
      </c>
      <c r="C2603" t="s">
        <v>205</v>
      </c>
      <c r="D2603" t="s">
        <v>18</v>
      </c>
      <c r="E2603">
        <v>1</v>
      </c>
      <c r="F2603" s="2">
        <v>129.99</v>
      </c>
      <c r="G2603">
        <v>0</v>
      </c>
      <c r="H2603" s="2">
        <v>129.99</v>
      </c>
      <c r="I2603" s="2">
        <v>129.99</v>
      </c>
      <c r="J2603" t="s">
        <v>90</v>
      </c>
      <c r="K2603" t="s">
        <v>52</v>
      </c>
      <c r="L2603" t="s">
        <v>45</v>
      </c>
      <c r="M2603" t="s">
        <v>65</v>
      </c>
      <c r="N2603" t="s">
        <v>54</v>
      </c>
      <c r="O2603" t="s">
        <v>35</v>
      </c>
      <c r="Q2603" s="2">
        <f>Ventas[[#This Row],[precio_base]]*Ventas[[#This Row],[cantidad]]</f>
        <v>129.99</v>
      </c>
      <c r="R2603" s="2">
        <f>Ventas[[#This Row],[Total bruto (antes de descuento)]]-Ventas[[#This Row],[total_venta]]</f>
        <v>0</v>
      </c>
    </row>
    <row r="2604" spans="1:18" x14ac:dyDescent="0.25">
      <c r="A2604" t="s">
        <v>2697</v>
      </c>
      <c r="B2604" s="1">
        <v>45427</v>
      </c>
      <c r="C2604" t="s">
        <v>76</v>
      </c>
      <c r="D2604" t="s">
        <v>31</v>
      </c>
      <c r="E2604">
        <v>1</v>
      </c>
      <c r="F2604" s="2">
        <v>69.989999999999995</v>
      </c>
      <c r="G2604">
        <v>15</v>
      </c>
      <c r="H2604" s="2">
        <v>59.49</v>
      </c>
      <c r="I2604" s="2">
        <v>59.49</v>
      </c>
      <c r="J2604" t="s">
        <v>19</v>
      </c>
      <c r="K2604" t="s">
        <v>20</v>
      </c>
      <c r="L2604" t="s">
        <v>28</v>
      </c>
      <c r="M2604" t="s">
        <v>95</v>
      </c>
      <c r="N2604" t="s">
        <v>96</v>
      </c>
      <c r="O2604" t="s">
        <v>48</v>
      </c>
      <c r="P2604">
        <v>5</v>
      </c>
      <c r="Q2604" s="2">
        <f>Ventas[[#This Row],[precio_base]]*Ventas[[#This Row],[cantidad]]</f>
        <v>69.989999999999995</v>
      </c>
      <c r="R2604" s="2">
        <f>Ventas[[#This Row],[Total bruto (antes de descuento)]]-Ventas[[#This Row],[total_venta]]</f>
        <v>10.499999999999993</v>
      </c>
    </row>
    <row r="2605" spans="1:18" x14ac:dyDescent="0.25">
      <c r="A2605" t="s">
        <v>2698</v>
      </c>
      <c r="B2605" s="1">
        <v>45374</v>
      </c>
      <c r="C2605" t="s">
        <v>115</v>
      </c>
      <c r="D2605" t="s">
        <v>18</v>
      </c>
      <c r="E2605">
        <v>5</v>
      </c>
      <c r="F2605" s="2">
        <v>799.99</v>
      </c>
      <c r="G2605">
        <v>0</v>
      </c>
      <c r="H2605" s="2">
        <v>799.99</v>
      </c>
      <c r="I2605" s="2">
        <v>3999.95</v>
      </c>
      <c r="J2605" t="s">
        <v>19</v>
      </c>
      <c r="K2605" t="s">
        <v>20</v>
      </c>
      <c r="L2605" t="s">
        <v>45</v>
      </c>
      <c r="M2605" t="s">
        <v>65</v>
      </c>
      <c r="N2605" t="s">
        <v>54</v>
      </c>
      <c r="O2605" t="s">
        <v>35</v>
      </c>
      <c r="P2605">
        <v>3</v>
      </c>
      <c r="Q2605" s="2">
        <f>Ventas[[#This Row],[precio_base]]*Ventas[[#This Row],[cantidad]]</f>
        <v>3999.95</v>
      </c>
      <c r="R2605" s="2">
        <f>Ventas[[#This Row],[Total bruto (antes de descuento)]]-Ventas[[#This Row],[total_venta]]</f>
        <v>0</v>
      </c>
    </row>
    <row r="2606" spans="1:18" x14ac:dyDescent="0.25">
      <c r="A2606" t="s">
        <v>2699</v>
      </c>
      <c r="B2606" s="1">
        <v>45509</v>
      </c>
      <c r="C2606" t="s">
        <v>76</v>
      </c>
      <c r="D2606" t="s">
        <v>31</v>
      </c>
      <c r="E2606">
        <v>4</v>
      </c>
      <c r="F2606" s="2">
        <v>69.989999999999995</v>
      </c>
      <c r="G2606">
        <v>15</v>
      </c>
      <c r="H2606" s="2">
        <v>59.49</v>
      </c>
      <c r="I2606" s="2">
        <v>237.96</v>
      </c>
      <c r="J2606" t="s">
        <v>116</v>
      </c>
      <c r="K2606" t="s">
        <v>44</v>
      </c>
      <c r="L2606" t="s">
        <v>21</v>
      </c>
      <c r="M2606" t="s">
        <v>63</v>
      </c>
      <c r="N2606" t="s">
        <v>34</v>
      </c>
      <c r="O2606" t="s">
        <v>24</v>
      </c>
      <c r="Q2606" s="2">
        <f>Ventas[[#This Row],[precio_base]]*Ventas[[#This Row],[cantidad]]</f>
        <v>279.95999999999998</v>
      </c>
      <c r="R2606" s="2">
        <f>Ventas[[#This Row],[Total bruto (antes de descuento)]]-Ventas[[#This Row],[total_venta]]</f>
        <v>41.999999999999972</v>
      </c>
    </row>
    <row r="2607" spans="1:18" x14ac:dyDescent="0.25">
      <c r="A2607" t="s">
        <v>2700</v>
      </c>
      <c r="B2607" s="1">
        <v>45496</v>
      </c>
      <c r="C2607" t="s">
        <v>87</v>
      </c>
      <c r="D2607" t="s">
        <v>27</v>
      </c>
      <c r="E2607">
        <v>1</v>
      </c>
      <c r="F2607" s="2">
        <v>249.99</v>
      </c>
      <c r="G2607">
        <v>15</v>
      </c>
      <c r="H2607" s="2">
        <v>212.49</v>
      </c>
      <c r="I2607" s="2">
        <v>212.49</v>
      </c>
      <c r="J2607" t="s">
        <v>19</v>
      </c>
      <c r="K2607" t="s">
        <v>20</v>
      </c>
      <c r="L2607" t="s">
        <v>21</v>
      </c>
      <c r="M2607" t="s">
        <v>39</v>
      </c>
      <c r="N2607" t="s">
        <v>40</v>
      </c>
      <c r="O2607" t="s">
        <v>35</v>
      </c>
      <c r="P2607">
        <v>5</v>
      </c>
      <c r="Q2607" s="2">
        <f>Ventas[[#This Row],[precio_base]]*Ventas[[#This Row],[cantidad]]</f>
        <v>249.99</v>
      </c>
      <c r="R2607" s="2">
        <f>Ventas[[#This Row],[Total bruto (antes de descuento)]]-Ventas[[#This Row],[total_venta]]</f>
        <v>37.5</v>
      </c>
    </row>
    <row r="2608" spans="1:18" x14ac:dyDescent="0.25">
      <c r="A2608" t="s">
        <v>2701</v>
      </c>
      <c r="B2608" s="1">
        <v>45643</v>
      </c>
      <c r="C2608" t="s">
        <v>156</v>
      </c>
      <c r="D2608" t="s">
        <v>27</v>
      </c>
      <c r="E2608">
        <v>2</v>
      </c>
      <c r="F2608" s="2">
        <v>49.99</v>
      </c>
      <c r="G2608">
        <v>0</v>
      </c>
      <c r="H2608" s="2">
        <v>49.99</v>
      </c>
      <c r="I2608" s="2">
        <v>99.98</v>
      </c>
      <c r="J2608" t="s">
        <v>19</v>
      </c>
      <c r="K2608" t="s">
        <v>44</v>
      </c>
      <c r="L2608" t="s">
        <v>21</v>
      </c>
      <c r="M2608" t="s">
        <v>120</v>
      </c>
      <c r="N2608" t="s">
        <v>23</v>
      </c>
      <c r="O2608" t="s">
        <v>24</v>
      </c>
      <c r="P2608">
        <v>5</v>
      </c>
      <c r="Q2608" s="2">
        <f>Ventas[[#This Row],[precio_base]]*Ventas[[#This Row],[cantidad]]</f>
        <v>99.98</v>
      </c>
      <c r="R2608" s="2">
        <f>Ventas[[#This Row],[Total bruto (antes de descuento)]]-Ventas[[#This Row],[total_venta]]</f>
        <v>0</v>
      </c>
    </row>
    <row r="2609" spans="1:18" x14ac:dyDescent="0.25">
      <c r="A2609" t="s">
        <v>2702</v>
      </c>
      <c r="B2609" s="1">
        <v>45418</v>
      </c>
      <c r="C2609" t="s">
        <v>130</v>
      </c>
      <c r="D2609" t="s">
        <v>43</v>
      </c>
      <c r="E2609">
        <v>2</v>
      </c>
      <c r="F2609" s="2">
        <v>24.99</v>
      </c>
      <c r="G2609">
        <v>20</v>
      </c>
      <c r="H2609" s="2">
        <v>19.989999999999998</v>
      </c>
      <c r="I2609" s="2">
        <v>39.979999999999997</v>
      </c>
      <c r="J2609" t="s">
        <v>19</v>
      </c>
      <c r="K2609" t="s">
        <v>57</v>
      </c>
      <c r="L2609" t="s">
        <v>21</v>
      </c>
      <c r="M2609" t="s">
        <v>123</v>
      </c>
      <c r="N2609" t="s">
        <v>124</v>
      </c>
      <c r="O2609" t="s">
        <v>24</v>
      </c>
      <c r="P2609">
        <v>1</v>
      </c>
      <c r="Q2609" s="2">
        <f>Ventas[[#This Row],[precio_base]]*Ventas[[#This Row],[cantidad]]</f>
        <v>49.98</v>
      </c>
      <c r="R2609" s="2">
        <f>Ventas[[#This Row],[Total bruto (antes de descuento)]]-Ventas[[#This Row],[total_venta]]</f>
        <v>10</v>
      </c>
    </row>
    <row r="2610" spans="1:18" x14ac:dyDescent="0.25">
      <c r="A2610" t="s">
        <v>2703</v>
      </c>
      <c r="B2610" s="1">
        <v>45600</v>
      </c>
      <c r="C2610" t="s">
        <v>17</v>
      </c>
      <c r="D2610" t="s">
        <v>18</v>
      </c>
      <c r="E2610">
        <v>5</v>
      </c>
      <c r="F2610" s="2">
        <v>45.99</v>
      </c>
      <c r="G2610">
        <v>0</v>
      </c>
      <c r="H2610" s="2">
        <v>45.99</v>
      </c>
      <c r="I2610" s="2">
        <v>229.95</v>
      </c>
      <c r="J2610" t="s">
        <v>19</v>
      </c>
      <c r="K2610" t="s">
        <v>44</v>
      </c>
      <c r="L2610" t="s">
        <v>21</v>
      </c>
      <c r="M2610" t="s">
        <v>39</v>
      </c>
      <c r="N2610" t="s">
        <v>40</v>
      </c>
      <c r="O2610" t="s">
        <v>35</v>
      </c>
      <c r="P2610">
        <v>2</v>
      </c>
      <c r="Q2610" s="2">
        <f>Ventas[[#This Row],[precio_base]]*Ventas[[#This Row],[cantidad]]</f>
        <v>229.95000000000002</v>
      </c>
      <c r="R2610" s="2">
        <f>Ventas[[#This Row],[Total bruto (antes de descuento)]]-Ventas[[#This Row],[total_venta]]</f>
        <v>0</v>
      </c>
    </row>
    <row r="2611" spans="1:18" x14ac:dyDescent="0.25">
      <c r="A2611" t="s">
        <v>2704</v>
      </c>
      <c r="B2611" s="1">
        <v>45491</v>
      </c>
      <c r="C2611" t="s">
        <v>115</v>
      </c>
      <c r="D2611" t="s">
        <v>18</v>
      </c>
      <c r="E2611">
        <v>5</v>
      </c>
      <c r="F2611" s="2">
        <v>799.99</v>
      </c>
      <c r="G2611">
        <v>0</v>
      </c>
      <c r="H2611" s="2">
        <v>799.99</v>
      </c>
      <c r="I2611" s="2">
        <v>3999.95</v>
      </c>
      <c r="J2611" t="s">
        <v>19</v>
      </c>
      <c r="K2611" t="s">
        <v>52</v>
      </c>
      <c r="L2611" t="s">
        <v>152</v>
      </c>
      <c r="M2611" t="s">
        <v>73</v>
      </c>
      <c r="N2611" t="s">
        <v>74</v>
      </c>
      <c r="O2611" t="s">
        <v>35</v>
      </c>
      <c r="P2611">
        <v>2</v>
      </c>
      <c r="Q2611" s="2">
        <f>Ventas[[#This Row],[precio_base]]*Ventas[[#This Row],[cantidad]]</f>
        <v>3999.95</v>
      </c>
      <c r="R2611" s="2">
        <f>Ventas[[#This Row],[Total bruto (antes de descuento)]]-Ventas[[#This Row],[total_venta]]</f>
        <v>0</v>
      </c>
    </row>
    <row r="2612" spans="1:18" x14ac:dyDescent="0.25">
      <c r="A2612" t="s">
        <v>2705</v>
      </c>
      <c r="B2612" s="1">
        <v>45605</v>
      </c>
      <c r="C2612" t="s">
        <v>78</v>
      </c>
      <c r="D2612" t="s">
        <v>18</v>
      </c>
      <c r="E2612">
        <v>1</v>
      </c>
      <c r="F2612" s="2">
        <v>349.99</v>
      </c>
      <c r="G2612">
        <v>0</v>
      </c>
      <c r="H2612" s="2">
        <v>349.99</v>
      </c>
      <c r="I2612" s="2">
        <v>349.99</v>
      </c>
      <c r="J2612" t="s">
        <v>19</v>
      </c>
      <c r="K2612" t="s">
        <v>44</v>
      </c>
      <c r="L2612" t="s">
        <v>21</v>
      </c>
      <c r="M2612" t="s">
        <v>58</v>
      </c>
      <c r="N2612" t="s">
        <v>59</v>
      </c>
      <c r="O2612" t="s">
        <v>24</v>
      </c>
      <c r="P2612">
        <v>2</v>
      </c>
      <c r="Q2612" s="2">
        <f>Ventas[[#This Row],[precio_base]]*Ventas[[#This Row],[cantidad]]</f>
        <v>349.99</v>
      </c>
      <c r="R2612" s="2">
        <f>Ventas[[#This Row],[Total bruto (antes de descuento)]]-Ventas[[#This Row],[total_venta]]</f>
        <v>0</v>
      </c>
    </row>
    <row r="2613" spans="1:18" x14ac:dyDescent="0.25">
      <c r="A2613" t="s">
        <v>2706</v>
      </c>
      <c r="B2613" s="1">
        <v>45061</v>
      </c>
      <c r="C2613" t="s">
        <v>122</v>
      </c>
      <c r="D2613" t="s">
        <v>43</v>
      </c>
      <c r="E2613">
        <v>5</v>
      </c>
      <c r="F2613" s="2">
        <v>44.99</v>
      </c>
      <c r="G2613">
        <v>15</v>
      </c>
      <c r="H2613" s="2">
        <v>38.24</v>
      </c>
      <c r="I2613" s="2">
        <v>191.2</v>
      </c>
      <c r="J2613" t="s">
        <v>19</v>
      </c>
      <c r="K2613" t="s">
        <v>57</v>
      </c>
      <c r="L2613" t="s">
        <v>152</v>
      </c>
      <c r="M2613" t="s">
        <v>120</v>
      </c>
      <c r="N2613" t="s">
        <v>23</v>
      </c>
      <c r="O2613" t="s">
        <v>24</v>
      </c>
      <c r="P2613">
        <v>5</v>
      </c>
      <c r="Q2613" s="2">
        <f>Ventas[[#This Row],[precio_base]]*Ventas[[#This Row],[cantidad]]</f>
        <v>224.95000000000002</v>
      </c>
      <c r="R2613" s="2">
        <f>Ventas[[#This Row],[Total bruto (antes de descuento)]]-Ventas[[#This Row],[total_venta]]</f>
        <v>33.750000000000028</v>
      </c>
    </row>
    <row r="2614" spans="1:18" x14ac:dyDescent="0.25">
      <c r="A2614" t="s">
        <v>2707</v>
      </c>
      <c r="B2614" s="1">
        <v>45543</v>
      </c>
      <c r="C2614" t="s">
        <v>30</v>
      </c>
      <c r="D2614" t="s">
        <v>31</v>
      </c>
      <c r="E2614">
        <v>2</v>
      </c>
      <c r="F2614" s="2">
        <v>299.99</v>
      </c>
      <c r="G2614">
        <v>15</v>
      </c>
      <c r="H2614" s="2">
        <v>254.99</v>
      </c>
      <c r="I2614" s="2">
        <v>509.98</v>
      </c>
      <c r="J2614" t="s">
        <v>19</v>
      </c>
      <c r="K2614" t="s">
        <v>44</v>
      </c>
      <c r="L2614" t="s">
        <v>28</v>
      </c>
      <c r="M2614" t="s">
        <v>63</v>
      </c>
      <c r="N2614" t="s">
        <v>34</v>
      </c>
      <c r="O2614" t="s">
        <v>24</v>
      </c>
      <c r="P2614">
        <v>2</v>
      </c>
      <c r="Q2614" s="2">
        <f>Ventas[[#This Row],[precio_base]]*Ventas[[#This Row],[cantidad]]</f>
        <v>599.98</v>
      </c>
      <c r="R2614" s="2">
        <f>Ventas[[#This Row],[Total bruto (antes de descuento)]]-Ventas[[#This Row],[total_venta]]</f>
        <v>90</v>
      </c>
    </row>
    <row r="2615" spans="1:18" x14ac:dyDescent="0.25">
      <c r="A2615" t="s">
        <v>2708</v>
      </c>
      <c r="B2615" s="1">
        <v>44963</v>
      </c>
      <c r="C2615" t="s">
        <v>72</v>
      </c>
      <c r="D2615" t="s">
        <v>31</v>
      </c>
      <c r="E2615">
        <v>2</v>
      </c>
      <c r="F2615" s="2">
        <v>29.99</v>
      </c>
      <c r="G2615">
        <v>0</v>
      </c>
      <c r="H2615" s="2">
        <v>29.99</v>
      </c>
      <c r="I2615" s="2">
        <v>59.98</v>
      </c>
      <c r="J2615" t="s">
        <v>19</v>
      </c>
      <c r="K2615" t="s">
        <v>44</v>
      </c>
      <c r="L2615" t="s">
        <v>21</v>
      </c>
      <c r="M2615" t="s">
        <v>84</v>
      </c>
      <c r="N2615" t="s">
        <v>85</v>
      </c>
      <c r="O2615" t="s">
        <v>35</v>
      </c>
      <c r="P2615">
        <v>2</v>
      </c>
      <c r="Q2615" s="2">
        <f>Ventas[[#This Row],[precio_base]]*Ventas[[#This Row],[cantidad]]</f>
        <v>59.98</v>
      </c>
      <c r="R2615" s="2">
        <f>Ventas[[#This Row],[Total bruto (antes de descuento)]]-Ventas[[#This Row],[total_venta]]</f>
        <v>0</v>
      </c>
    </row>
    <row r="2616" spans="1:18" x14ac:dyDescent="0.25">
      <c r="A2616" t="s">
        <v>2709</v>
      </c>
      <c r="B2616" s="1">
        <v>45060</v>
      </c>
      <c r="C2616" t="s">
        <v>30</v>
      </c>
      <c r="D2616" t="s">
        <v>31</v>
      </c>
      <c r="E2616">
        <v>4</v>
      </c>
      <c r="F2616" s="2">
        <v>299.99</v>
      </c>
      <c r="G2616">
        <v>5</v>
      </c>
      <c r="H2616" s="2">
        <v>284.99</v>
      </c>
      <c r="I2616" s="2">
        <v>1139.96</v>
      </c>
      <c r="J2616" t="s">
        <v>19</v>
      </c>
      <c r="K2616" t="s">
        <v>20</v>
      </c>
      <c r="L2616" t="s">
        <v>32</v>
      </c>
      <c r="M2616" t="s">
        <v>53</v>
      </c>
      <c r="N2616" t="s">
        <v>54</v>
      </c>
      <c r="O2616" t="s">
        <v>35</v>
      </c>
      <c r="P2616">
        <v>2</v>
      </c>
      <c r="Q2616" s="2">
        <f>Ventas[[#This Row],[precio_base]]*Ventas[[#This Row],[cantidad]]</f>
        <v>1199.96</v>
      </c>
      <c r="R2616" s="2">
        <f>Ventas[[#This Row],[Total bruto (antes de descuento)]]-Ventas[[#This Row],[total_venta]]</f>
        <v>60</v>
      </c>
    </row>
    <row r="2617" spans="1:18" x14ac:dyDescent="0.25">
      <c r="A2617" t="s">
        <v>2710</v>
      </c>
      <c r="B2617" s="1">
        <v>45308</v>
      </c>
      <c r="C2617" t="s">
        <v>30</v>
      </c>
      <c r="D2617" t="s">
        <v>31</v>
      </c>
      <c r="E2617">
        <v>2</v>
      </c>
      <c r="F2617" s="2">
        <v>299.99</v>
      </c>
      <c r="G2617">
        <v>0</v>
      </c>
      <c r="H2617" s="2">
        <v>299.99</v>
      </c>
      <c r="I2617" s="2">
        <v>599.98</v>
      </c>
      <c r="J2617" t="s">
        <v>62</v>
      </c>
      <c r="K2617" t="s">
        <v>20</v>
      </c>
      <c r="L2617" t="s">
        <v>21</v>
      </c>
      <c r="M2617" t="s">
        <v>39</v>
      </c>
      <c r="N2617" t="s">
        <v>40</v>
      </c>
      <c r="O2617" t="s">
        <v>35</v>
      </c>
      <c r="Q2617" s="2">
        <f>Ventas[[#This Row],[precio_base]]*Ventas[[#This Row],[cantidad]]</f>
        <v>599.98</v>
      </c>
      <c r="R2617" s="2">
        <f>Ventas[[#This Row],[Total bruto (antes de descuento)]]-Ventas[[#This Row],[total_venta]]</f>
        <v>0</v>
      </c>
    </row>
    <row r="2618" spans="1:18" x14ac:dyDescent="0.25">
      <c r="A2618" t="s">
        <v>2711</v>
      </c>
      <c r="B2618" s="1">
        <v>45270</v>
      </c>
      <c r="C2618" t="s">
        <v>130</v>
      </c>
      <c r="D2618" t="s">
        <v>43</v>
      </c>
      <c r="E2618">
        <v>1</v>
      </c>
      <c r="F2618" s="2">
        <v>24.99</v>
      </c>
      <c r="G2618">
        <v>5</v>
      </c>
      <c r="H2618" s="2">
        <v>23.74</v>
      </c>
      <c r="I2618" s="2">
        <v>23.74</v>
      </c>
      <c r="J2618" t="s">
        <v>19</v>
      </c>
      <c r="K2618" t="s">
        <v>20</v>
      </c>
      <c r="L2618" t="s">
        <v>152</v>
      </c>
      <c r="M2618" t="s">
        <v>22</v>
      </c>
      <c r="N2618" t="s">
        <v>23</v>
      </c>
      <c r="O2618" t="s">
        <v>24</v>
      </c>
      <c r="P2618">
        <v>1</v>
      </c>
      <c r="Q2618" s="2">
        <f>Ventas[[#This Row],[precio_base]]*Ventas[[#This Row],[cantidad]]</f>
        <v>24.99</v>
      </c>
      <c r="R2618" s="2">
        <f>Ventas[[#This Row],[Total bruto (antes de descuento)]]-Ventas[[#This Row],[total_venta]]</f>
        <v>1.25</v>
      </c>
    </row>
    <row r="2619" spans="1:18" x14ac:dyDescent="0.25">
      <c r="A2619" t="s">
        <v>2712</v>
      </c>
      <c r="B2619" s="1">
        <v>45279</v>
      </c>
      <c r="C2619" t="s">
        <v>30</v>
      </c>
      <c r="D2619" t="s">
        <v>31</v>
      </c>
      <c r="E2619">
        <v>5</v>
      </c>
      <c r="F2619" s="2">
        <v>299.99</v>
      </c>
      <c r="G2619">
        <v>0</v>
      </c>
      <c r="H2619" s="2">
        <v>299.99</v>
      </c>
      <c r="I2619" s="2">
        <v>1499.95</v>
      </c>
      <c r="J2619" t="s">
        <v>90</v>
      </c>
      <c r="K2619" t="s">
        <v>44</v>
      </c>
      <c r="L2619" t="s">
        <v>45</v>
      </c>
      <c r="M2619" t="s">
        <v>101</v>
      </c>
      <c r="N2619" t="s">
        <v>102</v>
      </c>
      <c r="O2619" t="s">
        <v>35</v>
      </c>
      <c r="Q2619" s="2">
        <f>Ventas[[#This Row],[precio_base]]*Ventas[[#This Row],[cantidad]]</f>
        <v>1499.95</v>
      </c>
      <c r="R2619" s="2">
        <f>Ventas[[#This Row],[Total bruto (antes de descuento)]]-Ventas[[#This Row],[total_venta]]</f>
        <v>0</v>
      </c>
    </row>
    <row r="2620" spans="1:18" x14ac:dyDescent="0.25">
      <c r="A2620" t="s">
        <v>2713</v>
      </c>
      <c r="B2620" s="1">
        <v>45525</v>
      </c>
      <c r="C2620" t="s">
        <v>17</v>
      </c>
      <c r="D2620" t="s">
        <v>18</v>
      </c>
      <c r="E2620">
        <v>5</v>
      </c>
      <c r="F2620" s="2">
        <v>45.99</v>
      </c>
      <c r="G2620">
        <v>10</v>
      </c>
      <c r="H2620" s="2">
        <v>41.39</v>
      </c>
      <c r="I2620" s="2">
        <v>206.95</v>
      </c>
      <c r="J2620" t="s">
        <v>19</v>
      </c>
      <c r="K2620" t="s">
        <v>20</v>
      </c>
      <c r="L2620" t="s">
        <v>21</v>
      </c>
      <c r="M2620" t="s">
        <v>39</v>
      </c>
      <c r="N2620" t="s">
        <v>40</v>
      </c>
      <c r="O2620" t="s">
        <v>35</v>
      </c>
      <c r="P2620">
        <v>2</v>
      </c>
      <c r="Q2620" s="2">
        <f>Ventas[[#This Row],[precio_base]]*Ventas[[#This Row],[cantidad]]</f>
        <v>229.95000000000002</v>
      </c>
      <c r="R2620" s="2">
        <f>Ventas[[#This Row],[Total bruto (antes de descuento)]]-Ventas[[#This Row],[total_venta]]</f>
        <v>23.000000000000028</v>
      </c>
    </row>
    <row r="2621" spans="1:18" x14ac:dyDescent="0.25">
      <c r="A2621" t="s">
        <v>2714</v>
      </c>
      <c r="B2621" s="1">
        <v>45539</v>
      </c>
      <c r="C2621" t="s">
        <v>56</v>
      </c>
      <c r="D2621" t="s">
        <v>18</v>
      </c>
      <c r="E2621">
        <v>4</v>
      </c>
      <c r="F2621" s="2">
        <v>89.99</v>
      </c>
      <c r="G2621">
        <v>15</v>
      </c>
      <c r="H2621" s="2">
        <v>76.489999999999995</v>
      </c>
      <c r="I2621" s="2">
        <v>305.95999999999998</v>
      </c>
      <c r="J2621" t="s">
        <v>62</v>
      </c>
      <c r="K2621" t="s">
        <v>57</v>
      </c>
      <c r="L2621" t="s">
        <v>21</v>
      </c>
      <c r="M2621" t="s">
        <v>73</v>
      </c>
      <c r="N2621" t="s">
        <v>74</v>
      </c>
      <c r="O2621" t="s">
        <v>35</v>
      </c>
      <c r="Q2621" s="2">
        <f>Ventas[[#This Row],[precio_base]]*Ventas[[#This Row],[cantidad]]</f>
        <v>359.96</v>
      </c>
      <c r="R2621" s="2">
        <f>Ventas[[#This Row],[Total bruto (antes de descuento)]]-Ventas[[#This Row],[total_venta]]</f>
        <v>54</v>
      </c>
    </row>
    <row r="2622" spans="1:18" x14ac:dyDescent="0.25">
      <c r="A2622" t="s">
        <v>2715</v>
      </c>
      <c r="B2622" s="1">
        <v>45232</v>
      </c>
      <c r="C2622" t="s">
        <v>109</v>
      </c>
      <c r="D2622" t="s">
        <v>38</v>
      </c>
      <c r="E2622">
        <v>5</v>
      </c>
      <c r="F2622" s="2">
        <v>39.99</v>
      </c>
      <c r="G2622">
        <v>0</v>
      </c>
      <c r="H2622" s="2">
        <v>39.99</v>
      </c>
      <c r="I2622" s="2">
        <v>199.95</v>
      </c>
      <c r="J2622" t="s">
        <v>62</v>
      </c>
      <c r="K2622" t="s">
        <v>44</v>
      </c>
      <c r="L2622" t="s">
        <v>152</v>
      </c>
      <c r="M2622" t="s">
        <v>63</v>
      </c>
      <c r="N2622" t="s">
        <v>34</v>
      </c>
      <c r="O2622" t="s">
        <v>24</v>
      </c>
      <c r="Q2622" s="2">
        <f>Ventas[[#This Row],[precio_base]]*Ventas[[#This Row],[cantidad]]</f>
        <v>199.95000000000002</v>
      </c>
      <c r="R2622" s="2">
        <f>Ventas[[#This Row],[Total bruto (antes de descuento)]]-Ventas[[#This Row],[total_venta]]</f>
        <v>0</v>
      </c>
    </row>
    <row r="2623" spans="1:18" x14ac:dyDescent="0.25">
      <c r="A2623" t="s">
        <v>2716</v>
      </c>
      <c r="B2623" s="1">
        <v>45150</v>
      </c>
      <c r="C2623" t="s">
        <v>17</v>
      </c>
      <c r="D2623" t="s">
        <v>18</v>
      </c>
      <c r="E2623">
        <v>1</v>
      </c>
      <c r="F2623" s="2">
        <v>45.99</v>
      </c>
      <c r="G2623">
        <v>0</v>
      </c>
      <c r="H2623" s="2">
        <v>45.99</v>
      </c>
      <c r="I2623" s="2">
        <v>45.99</v>
      </c>
      <c r="J2623" t="s">
        <v>19</v>
      </c>
      <c r="K2623" t="s">
        <v>44</v>
      </c>
      <c r="L2623" t="s">
        <v>21</v>
      </c>
      <c r="M2623" t="s">
        <v>84</v>
      </c>
      <c r="N2623" t="s">
        <v>85</v>
      </c>
      <c r="O2623" t="s">
        <v>35</v>
      </c>
      <c r="P2623">
        <v>5</v>
      </c>
      <c r="Q2623" s="2">
        <f>Ventas[[#This Row],[precio_base]]*Ventas[[#This Row],[cantidad]]</f>
        <v>45.99</v>
      </c>
      <c r="R2623" s="2">
        <f>Ventas[[#This Row],[Total bruto (antes de descuento)]]-Ventas[[#This Row],[total_venta]]</f>
        <v>0</v>
      </c>
    </row>
    <row r="2624" spans="1:18" x14ac:dyDescent="0.25">
      <c r="A2624" t="s">
        <v>2717</v>
      </c>
      <c r="B2624" s="1">
        <v>45323</v>
      </c>
      <c r="C2624" t="s">
        <v>109</v>
      </c>
      <c r="D2624" t="s">
        <v>38</v>
      </c>
      <c r="E2624">
        <v>2</v>
      </c>
      <c r="F2624" s="2">
        <v>39.99</v>
      </c>
      <c r="G2624">
        <v>0</v>
      </c>
      <c r="H2624" s="2">
        <v>39.99</v>
      </c>
      <c r="I2624" s="2">
        <v>79.98</v>
      </c>
      <c r="J2624" t="s">
        <v>19</v>
      </c>
      <c r="K2624" t="s">
        <v>52</v>
      </c>
      <c r="L2624" t="s">
        <v>152</v>
      </c>
      <c r="M2624" t="s">
        <v>39</v>
      </c>
      <c r="N2624" t="s">
        <v>40</v>
      </c>
      <c r="O2624" t="s">
        <v>35</v>
      </c>
      <c r="P2624">
        <v>4</v>
      </c>
      <c r="Q2624" s="2">
        <f>Ventas[[#This Row],[precio_base]]*Ventas[[#This Row],[cantidad]]</f>
        <v>79.98</v>
      </c>
      <c r="R2624" s="2">
        <f>Ventas[[#This Row],[Total bruto (antes de descuento)]]-Ventas[[#This Row],[total_venta]]</f>
        <v>0</v>
      </c>
    </row>
    <row r="2625" spans="1:18" x14ac:dyDescent="0.25">
      <c r="A2625" t="s">
        <v>2718</v>
      </c>
      <c r="B2625" s="1">
        <v>45425</v>
      </c>
      <c r="C2625" t="s">
        <v>104</v>
      </c>
      <c r="D2625" t="s">
        <v>18</v>
      </c>
      <c r="E2625">
        <v>5</v>
      </c>
      <c r="F2625" s="2">
        <v>1199.99</v>
      </c>
      <c r="G2625">
        <v>0</v>
      </c>
      <c r="H2625" s="2">
        <v>1199.99</v>
      </c>
      <c r="I2625" s="2">
        <v>5999.95</v>
      </c>
      <c r="J2625" t="s">
        <v>19</v>
      </c>
      <c r="K2625" t="s">
        <v>52</v>
      </c>
      <c r="L2625" t="s">
        <v>152</v>
      </c>
      <c r="M2625" t="s">
        <v>65</v>
      </c>
      <c r="N2625" t="s">
        <v>54</v>
      </c>
      <c r="O2625" t="s">
        <v>35</v>
      </c>
      <c r="P2625">
        <v>4</v>
      </c>
      <c r="Q2625" s="2">
        <f>Ventas[[#This Row],[precio_base]]*Ventas[[#This Row],[cantidad]]</f>
        <v>5999.95</v>
      </c>
      <c r="R2625" s="2">
        <f>Ventas[[#This Row],[Total bruto (antes de descuento)]]-Ventas[[#This Row],[total_venta]]</f>
        <v>0</v>
      </c>
    </row>
    <row r="2626" spans="1:18" x14ac:dyDescent="0.25">
      <c r="A2626" t="s">
        <v>2719</v>
      </c>
      <c r="B2626" s="1">
        <v>45329</v>
      </c>
      <c r="C2626" t="s">
        <v>151</v>
      </c>
      <c r="D2626" t="s">
        <v>27</v>
      </c>
      <c r="E2626">
        <v>1</v>
      </c>
      <c r="F2626" s="2">
        <v>599.99</v>
      </c>
      <c r="G2626">
        <v>5</v>
      </c>
      <c r="H2626" s="2">
        <v>569.99</v>
      </c>
      <c r="I2626" s="2">
        <v>569.99</v>
      </c>
      <c r="J2626" t="s">
        <v>19</v>
      </c>
      <c r="K2626" t="s">
        <v>52</v>
      </c>
      <c r="L2626" t="s">
        <v>21</v>
      </c>
      <c r="M2626" t="s">
        <v>120</v>
      </c>
      <c r="N2626" t="s">
        <v>23</v>
      </c>
      <c r="O2626" t="s">
        <v>24</v>
      </c>
      <c r="P2626">
        <v>5</v>
      </c>
      <c r="Q2626" s="2">
        <f>Ventas[[#This Row],[precio_base]]*Ventas[[#This Row],[cantidad]]</f>
        <v>599.99</v>
      </c>
      <c r="R2626" s="2">
        <f>Ventas[[#This Row],[Total bruto (antes de descuento)]]-Ventas[[#This Row],[total_venta]]</f>
        <v>30</v>
      </c>
    </row>
    <row r="2627" spans="1:18" x14ac:dyDescent="0.25">
      <c r="A2627" t="s">
        <v>2720</v>
      </c>
      <c r="B2627" s="1">
        <v>45330</v>
      </c>
      <c r="C2627" t="s">
        <v>89</v>
      </c>
      <c r="D2627" t="s">
        <v>38</v>
      </c>
      <c r="E2627">
        <v>3</v>
      </c>
      <c r="F2627" s="2">
        <v>69.989999999999995</v>
      </c>
      <c r="G2627">
        <v>0</v>
      </c>
      <c r="H2627" s="2">
        <v>69.989999999999995</v>
      </c>
      <c r="I2627" s="2">
        <v>209.97</v>
      </c>
      <c r="J2627" t="s">
        <v>19</v>
      </c>
      <c r="K2627" t="s">
        <v>52</v>
      </c>
      <c r="L2627" t="s">
        <v>28</v>
      </c>
      <c r="M2627" t="s">
        <v>58</v>
      </c>
      <c r="N2627" t="s">
        <v>59</v>
      </c>
      <c r="O2627" t="s">
        <v>24</v>
      </c>
      <c r="P2627">
        <v>3</v>
      </c>
      <c r="Q2627" s="2">
        <f>Ventas[[#This Row],[precio_base]]*Ventas[[#This Row],[cantidad]]</f>
        <v>209.96999999999997</v>
      </c>
      <c r="R2627" s="2">
        <f>Ventas[[#This Row],[Total bruto (antes de descuento)]]-Ventas[[#This Row],[total_venta]]</f>
        <v>0</v>
      </c>
    </row>
    <row r="2628" spans="1:18" x14ac:dyDescent="0.25">
      <c r="A2628" t="s">
        <v>2721</v>
      </c>
      <c r="B2628" s="1">
        <v>45598</v>
      </c>
      <c r="C2628" t="s">
        <v>94</v>
      </c>
      <c r="D2628" t="s">
        <v>18</v>
      </c>
      <c r="E2628">
        <v>4</v>
      </c>
      <c r="F2628" s="2">
        <v>899.99</v>
      </c>
      <c r="G2628">
        <v>5</v>
      </c>
      <c r="H2628" s="2">
        <v>854.99</v>
      </c>
      <c r="I2628" s="2">
        <v>3419.96</v>
      </c>
      <c r="J2628" t="s">
        <v>19</v>
      </c>
      <c r="K2628" t="s">
        <v>44</v>
      </c>
      <c r="L2628" t="s">
        <v>28</v>
      </c>
      <c r="M2628" t="s">
        <v>22</v>
      </c>
      <c r="N2628" t="s">
        <v>23</v>
      </c>
      <c r="O2628" t="s">
        <v>24</v>
      </c>
      <c r="P2628">
        <v>2</v>
      </c>
      <c r="Q2628" s="2">
        <f>Ventas[[#This Row],[precio_base]]*Ventas[[#This Row],[cantidad]]</f>
        <v>3599.96</v>
      </c>
      <c r="R2628" s="2">
        <f>Ventas[[#This Row],[Total bruto (antes de descuento)]]-Ventas[[#This Row],[total_venta]]</f>
        <v>180</v>
      </c>
    </row>
    <row r="2629" spans="1:18" x14ac:dyDescent="0.25">
      <c r="A2629" t="s">
        <v>2722</v>
      </c>
      <c r="B2629" s="1">
        <v>45157</v>
      </c>
      <c r="C2629" t="s">
        <v>26</v>
      </c>
      <c r="D2629" t="s">
        <v>27</v>
      </c>
      <c r="E2629">
        <v>4</v>
      </c>
      <c r="F2629" s="2">
        <v>399.99</v>
      </c>
      <c r="G2629">
        <v>0</v>
      </c>
      <c r="H2629" s="2">
        <v>399.99</v>
      </c>
      <c r="I2629" s="2">
        <v>1599.96</v>
      </c>
      <c r="J2629" t="s">
        <v>19</v>
      </c>
      <c r="K2629" t="s">
        <v>44</v>
      </c>
      <c r="L2629" t="s">
        <v>21</v>
      </c>
      <c r="M2629" t="s">
        <v>73</v>
      </c>
      <c r="N2629" t="s">
        <v>74</v>
      </c>
      <c r="O2629" t="s">
        <v>35</v>
      </c>
      <c r="P2629">
        <v>2</v>
      </c>
      <c r="Q2629" s="2">
        <f>Ventas[[#This Row],[precio_base]]*Ventas[[#This Row],[cantidad]]</f>
        <v>1599.96</v>
      </c>
      <c r="R2629" s="2">
        <f>Ventas[[#This Row],[Total bruto (antes de descuento)]]-Ventas[[#This Row],[total_venta]]</f>
        <v>0</v>
      </c>
    </row>
    <row r="2630" spans="1:18" x14ac:dyDescent="0.25">
      <c r="A2630" t="s">
        <v>2723</v>
      </c>
      <c r="B2630" s="1">
        <v>45059</v>
      </c>
      <c r="C2630" t="s">
        <v>42</v>
      </c>
      <c r="D2630" t="s">
        <v>43</v>
      </c>
      <c r="E2630">
        <v>2</v>
      </c>
      <c r="F2630" s="2">
        <v>349.99</v>
      </c>
      <c r="G2630">
        <v>5</v>
      </c>
      <c r="H2630" s="2">
        <v>332.49</v>
      </c>
      <c r="I2630" s="2">
        <v>664.98</v>
      </c>
      <c r="J2630" t="s">
        <v>19</v>
      </c>
      <c r="K2630" t="s">
        <v>52</v>
      </c>
      <c r="L2630" t="s">
        <v>21</v>
      </c>
      <c r="M2630" t="s">
        <v>53</v>
      </c>
      <c r="N2630" t="s">
        <v>54</v>
      </c>
      <c r="O2630" t="s">
        <v>35</v>
      </c>
      <c r="P2630">
        <v>2</v>
      </c>
      <c r="Q2630" s="2">
        <f>Ventas[[#This Row],[precio_base]]*Ventas[[#This Row],[cantidad]]</f>
        <v>699.98</v>
      </c>
      <c r="R2630" s="2">
        <f>Ventas[[#This Row],[Total bruto (antes de descuento)]]-Ventas[[#This Row],[total_venta]]</f>
        <v>35</v>
      </c>
    </row>
    <row r="2631" spans="1:18" x14ac:dyDescent="0.25">
      <c r="A2631" t="s">
        <v>2724</v>
      </c>
      <c r="B2631" s="1">
        <v>45188</v>
      </c>
      <c r="C2631" t="s">
        <v>115</v>
      </c>
      <c r="D2631" t="s">
        <v>18</v>
      </c>
      <c r="E2631">
        <v>4</v>
      </c>
      <c r="F2631" s="2">
        <v>799.99</v>
      </c>
      <c r="G2631">
        <v>15</v>
      </c>
      <c r="H2631" s="2">
        <v>679.99</v>
      </c>
      <c r="I2631" s="2">
        <v>2719.96</v>
      </c>
      <c r="J2631" t="s">
        <v>19</v>
      </c>
      <c r="K2631" t="s">
        <v>44</v>
      </c>
      <c r="L2631" t="s">
        <v>152</v>
      </c>
      <c r="M2631" t="s">
        <v>67</v>
      </c>
      <c r="N2631" t="s">
        <v>68</v>
      </c>
      <c r="O2631" t="s">
        <v>35</v>
      </c>
      <c r="P2631">
        <v>5</v>
      </c>
      <c r="Q2631" s="2">
        <f>Ventas[[#This Row],[precio_base]]*Ventas[[#This Row],[cantidad]]</f>
        <v>3199.96</v>
      </c>
      <c r="R2631" s="2">
        <f>Ventas[[#This Row],[Total bruto (antes de descuento)]]-Ventas[[#This Row],[total_venta]]</f>
        <v>480</v>
      </c>
    </row>
    <row r="2632" spans="1:18" x14ac:dyDescent="0.25">
      <c r="A2632" t="s">
        <v>2725</v>
      </c>
      <c r="B2632" s="1">
        <v>45639</v>
      </c>
      <c r="C2632" t="s">
        <v>141</v>
      </c>
      <c r="D2632" t="s">
        <v>38</v>
      </c>
      <c r="E2632">
        <v>3</v>
      </c>
      <c r="F2632" s="2">
        <v>89.99</v>
      </c>
      <c r="G2632">
        <v>15</v>
      </c>
      <c r="H2632" s="2">
        <v>76.489999999999995</v>
      </c>
      <c r="I2632" s="2">
        <v>229.47</v>
      </c>
      <c r="J2632" t="s">
        <v>19</v>
      </c>
      <c r="K2632" t="s">
        <v>44</v>
      </c>
      <c r="L2632" t="s">
        <v>45</v>
      </c>
      <c r="M2632" t="s">
        <v>73</v>
      </c>
      <c r="N2632" t="s">
        <v>74</v>
      </c>
      <c r="O2632" t="s">
        <v>35</v>
      </c>
      <c r="P2632">
        <v>1</v>
      </c>
      <c r="Q2632" s="2">
        <f>Ventas[[#This Row],[precio_base]]*Ventas[[#This Row],[cantidad]]</f>
        <v>269.96999999999997</v>
      </c>
      <c r="R2632" s="2">
        <f>Ventas[[#This Row],[Total bruto (antes de descuento)]]-Ventas[[#This Row],[total_venta]]</f>
        <v>40.499999999999972</v>
      </c>
    </row>
    <row r="2633" spans="1:18" x14ac:dyDescent="0.25">
      <c r="A2633" t="s">
        <v>2726</v>
      </c>
      <c r="B2633" s="1">
        <v>45473</v>
      </c>
      <c r="C2633" t="s">
        <v>76</v>
      </c>
      <c r="D2633" t="s">
        <v>31</v>
      </c>
      <c r="E2633">
        <v>4</v>
      </c>
      <c r="F2633" s="2">
        <v>69.989999999999995</v>
      </c>
      <c r="G2633">
        <v>10</v>
      </c>
      <c r="H2633" s="2">
        <v>62.99</v>
      </c>
      <c r="I2633" s="2">
        <v>251.96</v>
      </c>
      <c r="J2633" t="s">
        <v>90</v>
      </c>
      <c r="K2633" t="s">
        <v>20</v>
      </c>
      <c r="L2633" t="s">
        <v>28</v>
      </c>
      <c r="M2633" t="s">
        <v>33</v>
      </c>
      <c r="N2633" t="s">
        <v>34</v>
      </c>
      <c r="O2633" t="s">
        <v>35</v>
      </c>
      <c r="Q2633" s="2">
        <f>Ventas[[#This Row],[precio_base]]*Ventas[[#This Row],[cantidad]]</f>
        <v>279.95999999999998</v>
      </c>
      <c r="R2633" s="2">
        <f>Ventas[[#This Row],[Total bruto (antes de descuento)]]-Ventas[[#This Row],[total_venta]]</f>
        <v>27.999999999999972</v>
      </c>
    </row>
    <row r="2634" spans="1:18" x14ac:dyDescent="0.25">
      <c r="A2634" t="s">
        <v>2727</v>
      </c>
      <c r="B2634" s="1">
        <v>45344</v>
      </c>
      <c r="C2634" t="s">
        <v>78</v>
      </c>
      <c r="D2634" t="s">
        <v>18</v>
      </c>
      <c r="E2634">
        <v>2</v>
      </c>
      <c r="F2634" s="2">
        <v>349.99</v>
      </c>
      <c r="G2634">
        <v>15</v>
      </c>
      <c r="H2634" s="2">
        <v>297.49</v>
      </c>
      <c r="I2634" s="2">
        <v>594.98</v>
      </c>
      <c r="J2634" t="s">
        <v>19</v>
      </c>
      <c r="K2634" t="s">
        <v>44</v>
      </c>
      <c r="L2634" t="s">
        <v>28</v>
      </c>
      <c r="M2634" t="s">
        <v>67</v>
      </c>
      <c r="N2634" t="s">
        <v>68</v>
      </c>
      <c r="O2634" t="s">
        <v>35</v>
      </c>
      <c r="P2634">
        <v>5</v>
      </c>
      <c r="Q2634" s="2">
        <f>Ventas[[#This Row],[precio_base]]*Ventas[[#This Row],[cantidad]]</f>
        <v>699.98</v>
      </c>
      <c r="R2634" s="2">
        <f>Ventas[[#This Row],[Total bruto (antes de descuento)]]-Ventas[[#This Row],[total_venta]]</f>
        <v>105</v>
      </c>
    </row>
    <row r="2635" spans="1:18" x14ac:dyDescent="0.25">
      <c r="A2635" t="s">
        <v>2728</v>
      </c>
      <c r="B2635" s="1">
        <v>45626</v>
      </c>
      <c r="C2635" t="s">
        <v>109</v>
      </c>
      <c r="D2635" t="s">
        <v>38</v>
      </c>
      <c r="E2635">
        <v>3</v>
      </c>
      <c r="F2635" s="2">
        <v>39.99</v>
      </c>
      <c r="G2635">
        <v>0</v>
      </c>
      <c r="H2635" s="2">
        <v>39.99</v>
      </c>
      <c r="I2635" s="2">
        <v>119.97</v>
      </c>
      <c r="J2635" t="s">
        <v>19</v>
      </c>
      <c r="K2635" t="s">
        <v>52</v>
      </c>
      <c r="L2635" t="s">
        <v>32</v>
      </c>
      <c r="M2635" t="s">
        <v>123</v>
      </c>
      <c r="N2635" t="s">
        <v>124</v>
      </c>
      <c r="O2635" t="s">
        <v>24</v>
      </c>
      <c r="P2635">
        <v>3</v>
      </c>
      <c r="Q2635" s="2">
        <f>Ventas[[#This Row],[precio_base]]*Ventas[[#This Row],[cantidad]]</f>
        <v>119.97</v>
      </c>
      <c r="R2635" s="2">
        <f>Ventas[[#This Row],[Total bruto (antes de descuento)]]-Ventas[[#This Row],[total_venta]]</f>
        <v>0</v>
      </c>
    </row>
    <row r="2636" spans="1:18" x14ac:dyDescent="0.25">
      <c r="A2636" t="s">
        <v>2729</v>
      </c>
      <c r="B2636" s="1">
        <v>45398</v>
      </c>
      <c r="C2636" t="s">
        <v>205</v>
      </c>
      <c r="D2636" t="s">
        <v>18</v>
      </c>
      <c r="E2636">
        <v>3</v>
      </c>
      <c r="F2636" s="2">
        <v>129.99</v>
      </c>
      <c r="G2636">
        <v>15</v>
      </c>
      <c r="H2636" s="2">
        <v>110.49</v>
      </c>
      <c r="I2636" s="2">
        <v>331.47</v>
      </c>
      <c r="J2636" t="s">
        <v>19</v>
      </c>
      <c r="K2636" t="s">
        <v>20</v>
      </c>
      <c r="L2636" t="s">
        <v>21</v>
      </c>
      <c r="M2636" t="s">
        <v>65</v>
      </c>
      <c r="N2636" t="s">
        <v>54</v>
      </c>
      <c r="O2636" t="s">
        <v>35</v>
      </c>
      <c r="P2636">
        <v>2</v>
      </c>
      <c r="Q2636" s="2">
        <f>Ventas[[#This Row],[precio_base]]*Ventas[[#This Row],[cantidad]]</f>
        <v>389.97</v>
      </c>
      <c r="R2636" s="2">
        <f>Ventas[[#This Row],[Total bruto (antes de descuento)]]-Ventas[[#This Row],[total_venta]]</f>
        <v>58.5</v>
      </c>
    </row>
    <row r="2637" spans="1:18" x14ac:dyDescent="0.25">
      <c r="A2637" t="s">
        <v>2730</v>
      </c>
      <c r="B2637" s="1">
        <v>44962</v>
      </c>
      <c r="C2637" t="s">
        <v>70</v>
      </c>
      <c r="D2637" t="s">
        <v>31</v>
      </c>
      <c r="E2637">
        <v>2</v>
      </c>
      <c r="F2637" s="2">
        <v>59.99</v>
      </c>
      <c r="G2637">
        <v>0</v>
      </c>
      <c r="H2637" s="2">
        <v>59.99</v>
      </c>
      <c r="I2637" s="2">
        <v>119.98</v>
      </c>
      <c r="J2637" t="s">
        <v>19</v>
      </c>
      <c r="K2637" t="s">
        <v>20</v>
      </c>
      <c r="L2637" t="s">
        <v>28</v>
      </c>
      <c r="M2637" t="s">
        <v>67</v>
      </c>
      <c r="N2637" t="s">
        <v>68</v>
      </c>
      <c r="O2637" t="s">
        <v>35</v>
      </c>
      <c r="P2637">
        <v>4</v>
      </c>
      <c r="Q2637" s="2">
        <f>Ventas[[#This Row],[precio_base]]*Ventas[[#This Row],[cantidad]]</f>
        <v>119.98</v>
      </c>
      <c r="R2637" s="2">
        <f>Ventas[[#This Row],[Total bruto (antes de descuento)]]-Ventas[[#This Row],[total_venta]]</f>
        <v>0</v>
      </c>
    </row>
    <row r="2638" spans="1:18" x14ac:dyDescent="0.25">
      <c r="A2638" t="s">
        <v>2731</v>
      </c>
      <c r="B2638" s="1">
        <v>45342</v>
      </c>
      <c r="C2638" t="s">
        <v>104</v>
      </c>
      <c r="D2638" t="s">
        <v>18</v>
      </c>
      <c r="E2638">
        <v>3</v>
      </c>
      <c r="F2638" s="2">
        <v>1199.99</v>
      </c>
      <c r="G2638">
        <v>15</v>
      </c>
      <c r="H2638" s="2">
        <v>1019.99</v>
      </c>
      <c r="I2638" s="2">
        <v>3059.97</v>
      </c>
      <c r="J2638" t="s">
        <v>19</v>
      </c>
      <c r="K2638" t="s">
        <v>44</v>
      </c>
      <c r="L2638" t="s">
        <v>28</v>
      </c>
      <c r="M2638" t="s">
        <v>67</v>
      </c>
      <c r="N2638" t="s">
        <v>68</v>
      </c>
      <c r="O2638" t="s">
        <v>35</v>
      </c>
      <c r="P2638">
        <v>5</v>
      </c>
      <c r="Q2638" s="2">
        <f>Ventas[[#This Row],[precio_base]]*Ventas[[#This Row],[cantidad]]</f>
        <v>3599.9700000000003</v>
      </c>
      <c r="R2638" s="2">
        <f>Ventas[[#This Row],[Total bruto (antes de descuento)]]-Ventas[[#This Row],[total_venta]]</f>
        <v>540.00000000000045</v>
      </c>
    </row>
    <row r="2639" spans="1:18" x14ac:dyDescent="0.25">
      <c r="A2639" t="s">
        <v>2732</v>
      </c>
      <c r="B2639" s="1">
        <v>45618</v>
      </c>
      <c r="C2639" t="s">
        <v>61</v>
      </c>
      <c r="D2639" t="s">
        <v>38</v>
      </c>
      <c r="E2639">
        <v>4</v>
      </c>
      <c r="F2639" s="2">
        <v>19.989999999999998</v>
      </c>
      <c r="G2639">
        <v>0</v>
      </c>
      <c r="H2639" s="2">
        <v>19.989999999999998</v>
      </c>
      <c r="I2639" s="2">
        <v>79.959999999999994</v>
      </c>
      <c r="J2639" t="s">
        <v>51</v>
      </c>
      <c r="K2639" t="s">
        <v>44</v>
      </c>
      <c r="L2639" t="s">
        <v>32</v>
      </c>
      <c r="M2639" t="s">
        <v>120</v>
      </c>
      <c r="N2639" t="s">
        <v>23</v>
      </c>
      <c r="O2639" t="s">
        <v>24</v>
      </c>
      <c r="Q2639" s="2">
        <f>Ventas[[#This Row],[precio_base]]*Ventas[[#This Row],[cantidad]]</f>
        <v>79.959999999999994</v>
      </c>
      <c r="R2639" s="2">
        <f>Ventas[[#This Row],[Total bruto (antes de descuento)]]-Ventas[[#This Row],[total_venta]]</f>
        <v>0</v>
      </c>
    </row>
    <row r="2640" spans="1:18" x14ac:dyDescent="0.25">
      <c r="A2640" t="s">
        <v>2733</v>
      </c>
      <c r="B2640" s="1">
        <v>45201</v>
      </c>
      <c r="C2640" t="s">
        <v>76</v>
      </c>
      <c r="D2640" t="s">
        <v>31</v>
      </c>
      <c r="E2640">
        <v>3</v>
      </c>
      <c r="F2640" s="2">
        <v>69.989999999999995</v>
      </c>
      <c r="G2640">
        <v>0</v>
      </c>
      <c r="H2640" s="2">
        <v>69.989999999999995</v>
      </c>
      <c r="I2640" s="2">
        <v>209.97</v>
      </c>
      <c r="J2640" t="s">
        <v>19</v>
      </c>
      <c r="K2640" t="s">
        <v>20</v>
      </c>
      <c r="L2640" t="s">
        <v>45</v>
      </c>
      <c r="M2640" t="s">
        <v>22</v>
      </c>
      <c r="N2640" t="s">
        <v>23</v>
      </c>
      <c r="O2640" t="s">
        <v>24</v>
      </c>
      <c r="P2640">
        <v>3</v>
      </c>
      <c r="Q2640" s="2">
        <f>Ventas[[#This Row],[precio_base]]*Ventas[[#This Row],[cantidad]]</f>
        <v>209.96999999999997</v>
      </c>
      <c r="R2640" s="2">
        <f>Ventas[[#This Row],[Total bruto (antes de descuento)]]-Ventas[[#This Row],[total_venta]]</f>
        <v>0</v>
      </c>
    </row>
    <row r="2641" spans="1:18" x14ac:dyDescent="0.25">
      <c r="A2641" t="s">
        <v>2734</v>
      </c>
      <c r="B2641" s="1">
        <v>45329</v>
      </c>
      <c r="C2641" t="s">
        <v>109</v>
      </c>
      <c r="D2641" t="s">
        <v>38</v>
      </c>
      <c r="E2641">
        <v>5</v>
      </c>
      <c r="F2641" s="2">
        <v>39.99</v>
      </c>
      <c r="G2641">
        <v>20</v>
      </c>
      <c r="H2641" s="2">
        <v>31.99</v>
      </c>
      <c r="I2641" s="2">
        <v>159.94999999999999</v>
      </c>
      <c r="J2641" t="s">
        <v>19</v>
      </c>
      <c r="K2641" t="s">
        <v>20</v>
      </c>
      <c r="L2641" t="s">
        <v>21</v>
      </c>
      <c r="M2641" t="s">
        <v>39</v>
      </c>
      <c r="N2641" t="s">
        <v>40</v>
      </c>
      <c r="O2641" t="s">
        <v>35</v>
      </c>
      <c r="P2641">
        <v>3</v>
      </c>
      <c r="Q2641" s="2">
        <f>Ventas[[#This Row],[precio_base]]*Ventas[[#This Row],[cantidad]]</f>
        <v>199.95000000000002</v>
      </c>
      <c r="R2641" s="2">
        <f>Ventas[[#This Row],[Total bruto (antes de descuento)]]-Ventas[[#This Row],[total_venta]]</f>
        <v>40.000000000000028</v>
      </c>
    </row>
    <row r="2642" spans="1:18" x14ac:dyDescent="0.25">
      <c r="A2642" t="s">
        <v>2735</v>
      </c>
      <c r="B2642" s="1">
        <v>45056</v>
      </c>
      <c r="C2642" t="s">
        <v>56</v>
      </c>
      <c r="D2642" t="s">
        <v>18</v>
      </c>
      <c r="E2642">
        <v>2</v>
      </c>
      <c r="F2642" s="2">
        <v>89.99</v>
      </c>
      <c r="G2642">
        <v>0</v>
      </c>
      <c r="H2642" s="2">
        <v>89.99</v>
      </c>
      <c r="I2642" s="2">
        <v>179.98</v>
      </c>
      <c r="J2642" t="s">
        <v>19</v>
      </c>
      <c r="K2642" t="s">
        <v>44</v>
      </c>
      <c r="L2642" t="s">
        <v>152</v>
      </c>
      <c r="M2642" t="s">
        <v>46</v>
      </c>
      <c r="N2642" t="s">
        <v>47</v>
      </c>
      <c r="O2642" t="s">
        <v>48</v>
      </c>
      <c r="P2642">
        <v>5</v>
      </c>
      <c r="Q2642" s="2">
        <f>Ventas[[#This Row],[precio_base]]*Ventas[[#This Row],[cantidad]]</f>
        <v>179.98</v>
      </c>
      <c r="R2642" s="2">
        <f>Ventas[[#This Row],[Total bruto (antes de descuento)]]-Ventas[[#This Row],[total_venta]]</f>
        <v>0</v>
      </c>
    </row>
    <row r="2643" spans="1:18" x14ac:dyDescent="0.25">
      <c r="A2643" t="s">
        <v>2736</v>
      </c>
      <c r="B2643" s="1">
        <v>45267</v>
      </c>
      <c r="C2643" t="s">
        <v>122</v>
      </c>
      <c r="D2643" t="s">
        <v>43</v>
      </c>
      <c r="E2643">
        <v>5</v>
      </c>
      <c r="F2643" s="2">
        <v>44.99</v>
      </c>
      <c r="G2643">
        <v>0</v>
      </c>
      <c r="H2643" s="2">
        <v>44.99</v>
      </c>
      <c r="I2643" s="2">
        <v>224.95</v>
      </c>
      <c r="J2643" t="s">
        <v>19</v>
      </c>
      <c r="K2643" t="s">
        <v>20</v>
      </c>
      <c r="L2643" t="s">
        <v>28</v>
      </c>
      <c r="M2643" t="s">
        <v>67</v>
      </c>
      <c r="N2643" t="s">
        <v>68</v>
      </c>
      <c r="O2643" t="s">
        <v>35</v>
      </c>
      <c r="P2643">
        <v>5</v>
      </c>
      <c r="Q2643" s="2">
        <f>Ventas[[#This Row],[precio_base]]*Ventas[[#This Row],[cantidad]]</f>
        <v>224.95000000000002</v>
      </c>
      <c r="R2643" s="2">
        <f>Ventas[[#This Row],[Total bruto (antes de descuento)]]-Ventas[[#This Row],[total_venta]]</f>
        <v>0</v>
      </c>
    </row>
    <row r="2644" spans="1:18" x14ac:dyDescent="0.25">
      <c r="A2644" t="s">
        <v>2737</v>
      </c>
      <c r="B2644" s="1">
        <v>45073</v>
      </c>
      <c r="C2644" t="s">
        <v>141</v>
      </c>
      <c r="D2644" t="s">
        <v>38</v>
      </c>
      <c r="E2644">
        <v>3</v>
      </c>
      <c r="F2644" s="2">
        <v>89.99</v>
      </c>
      <c r="G2644">
        <v>10</v>
      </c>
      <c r="H2644" s="2">
        <v>80.989999999999995</v>
      </c>
      <c r="I2644" s="2">
        <v>242.97</v>
      </c>
      <c r="J2644" t="s">
        <v>19</v>
      </c>
      <c r="K2644" t="s">
        <v>52</v>
      </c>
      <c r="L2644" t="s">
        <v>21</v>
      </c>
      <c r="M2644" t="s">
        <v>58</v>
      </c>
      <c r="N2644" t="s">
        <v>59</v>
      </c>
      <c r="O2644" t="s">
        <v>24</v>
      </c>
      <c r="P2644">
        <v>2</v>
      </c>
      <c r="Q2644" s="2">
        <f>Ventas[[#This Row],[precio_base]]*Ventas[[#This Row],[cantidad]]</f>
        <v>269.96999999999997</v>
      </c>
      <c r="R2644" s="2">
        <f>Ventas[[#This Row],[Total bruto (antes de descuento)]]-Ventas[[#This Row],[total_venta]]</f>
        <v>26.999999999999972</v>
      </c>
    </row>
    <row r="2645" spans="1:18" x14ac:dyDescent="0.25">
      <c r="A2645" t="s">
        <v>2738</v>
      </c>
      <c r="B2645" s="1">
        <v>44940</v>
      </c>
      <c r="C2645" t="s">
        <v>151</v>
      </c>
      <c r="D2645" t="s">
        <v>27</v>
      </c>
      <c r="E2645">
        <v>3</v>
      </c>
      <c r="F2645" s="2">
        <v>599.99</v>
      </c>
      <c r="G2645">
        <v>0</v>
      </c>
      <c r="H2645" s="2">
        <v>599.99</v>
      </c>
      <c r="I2645" s="2">
        <v>1799.97</v>
      </c>
      <c r="J2645" t="s">
        <v>19</v>
      </c>
      <c r="K2645" t="s">
        <v>44</v>
      </c>
      <c r="L2645" t="s">
        <v>152</v>
      </c>
      <c r="M2645" t="s">
        <v>39</v>
      </c>
      <c r="N2645" t="s">
        <v>40</v>
      </c>
      <c r="O2645" t="s">
        <v>35</v>
      </c>
      <c r="P2645">
        <v>3</v>
      </c>
      <c r="Q2645" s="2">
        <f>Ventas[[#This Row],[precio_base]]*Ventas[[#This Row],[cantidad]]</f>
        <v>1799.97</v>
      </c>
      <c r="R2645" s="2">
        <f>Ventas[[#This Row],[Total bruto (antes de descuento)]]-Ventas[[#This Row],[total_venta]]</f>
        <v>0</v>
      </c>
    </row>
    <row r="2646" spans="1:18" x14ac:dyDescent="0.25">
      <c r="A2646" t="s">
        <v>2739</v>
      </c>
      <c r="B2646" s="1">
        <v>45112</v>
      </c>
      <c r="C2646" t="s">
        <v>109</v>
      </c>
      <c r="D2646" t="s">
        <v>38</v>
      </c>
      <c r="E2646">
        <v>1</v>
      </c>
      <c r="F2646" s="2">
        <v>39.99</v>
      </c>
      <c r="G2646">
        <v>20</v>
      </c>
      <c r="H2646" s="2">
        <v>31.99</v>
      </c>
      <c r="I2646" s="2">
        <v>31.99</v>
      </c>
      <c r="J2646" t="s">
        <v>19</v>
      </c>
      <c r="K2646" t="s">
        <v>57</v>
      </c>
      <c r="L2646" t="s">
        <v>28</v>
      </c>
      <c r="M2646" t="s">
        <v>73</v>
      </c>
      <c r="N2646" t="s">
        <v>74</v>
      </c>
      <c r="O2646" t="s">
        <v>35</v>
      </c>
      <c r="P2646">
        <v>5</v>
      </c>
      <c r="Q2646" s="2">
        <f>Ventas[[#This Row],[precio_base]]*Ventas[[#This Row],[cantidad]]</f>
        <v>39.99</v>
      </c>
      <c r="R2646" s="2">
        <f>Ventas[[#This Row],[Total bruto (antes de descuento)]]-Ventas[[#This Row],[total_venta]]</f>
        <v>8.0000000000000036</v>
      </c>
    </row>
    <row r="2647" spans="1:18" x14ac:dyDescent="0.25">
      <c r="A2647" t="s">
        <v>2740</v>
      </c>
      <c r="B2647" s="1">
        <v>45127</v>
      </c>
      <c r="C2647" t="s">
        <v>163</v>
      </c>
      <c r="D2647" t="s">
        <v>18</v>
      </c>
      <c r="E2647">
        <v>2</v>
      </c>
      <c r="F2647" s="2">
        <v>499.99</v>
      </c>
      <c r="G2647">
        <v>5</v>
      </c>
      <c r="H2647" s="2">
        <v>474.99</v>
      </c>
      <c r="I2647" s="2">
        <v>949.98</v>
      </c>
      <c r="J2647" t="s">
        <v>62</v>
      </c>
      <c r="K2647" t="s">
        <v>52</v>
      </c>
      <c r="L2647" t="s">
        <v>32</v>
      </c>
      <c r="M2647" t="s">
        <v>58</v>
      </c>
      <c r="N2647" t="s">
        <v>59</v>
      </c>
      <c r="O2647" t="s">
        <v>24</v>
      </c>
      <c r="Q2647" s="2">
        <f>Ventas[[#This Row],[precio_base]]*Ventas[[#This Row],[cantidad]]</f>
        <v>999.98</v>
      </c>
      <c r="R2647" s="2">
        <f>Ventas[[#This Row],[Total bruto (antes de descuento)]]-Ventas[[#This Row],[total_venta]]</f>
        <v>50</v>
      </c>
    </row>
    <row r="2648" spans="1:18" x14ac:dyDescent="0.25">
      <c r="A2648" t="s">
        <v>2741</v>
      </c>
      <c r="B2648" s="1">
        <v>45145</v>
      </c>
      <c r="C2648" t="s">
        <v>30</v>
      </c>
      <c r="D2648" t="s">
        <v>31</v>
      </c>
      <c r="E2648">
        <v>1</v>
      </c>
      <c r="F2648" s="2">
        <v>299.99</v>
      </c>
      <c r="G2648">
        <v>5</v>
      </c>
      <c r="H2648" s="2">
        <v>284.99</v>
      </c>
      <c r="I2648" s="2">
        <v>284.99</v>
      </c>
      <c r="J2648" t="s">
        <v>19</v>
      </c>
      <c r="K2648" t="s">
        <v>44</v>
      </c>
      <c r="L2648" t="s">
        <v>45</v>
      </c>
      <c r="M2648" t="s">
        <v>22</v>
      </c>
      <c r="N2648" t="s">
        <v>23</v>
      </c>
      <c r="O2648" t="s">
        <v>24</v>
      </c>
      <c r="P2648">
        <v>1</v>
      </c>
      <c r="Q2648" s="2">
        <f>Ventas[[#This Row],[precio_base]]*Ventas[[#This Row],[cantidad]]</f>
        <v>299.99</v>
      </c>
      <c r="R2648" s="2">
        <f>Ventas[[#This Row],[Total bruto (antes de descuento)]]-Ventas[[#This Row],[total_venta]]</f>
        <v>15</v>
      </c>
    </row>
    <row r="2649" spans="1:18" x14ac:dyDescent="0.25">
      <c r="A2649" t="s">
        <v>2742</v>
      </c>
      <c r="B2649" s="1">
        <v>45624</v>
      </c>
      <c r="C2649" t="s">
        <v>130</v>
      </c>
      <c r="D2649" t="s">
        <v>43</v>
      </c>
      <c r="E2649">
        <v>1</v>
      </c>
      <c r="F2649" s="2">
        <v>24.99</v>
      </c>
      <c r="G2649">
        <v>0</v>
      </c>
      <c r="H2649" s="2">
        <v>24.99</v>
      </c>
      <c r="I2649" s="2">
        <v>24.99</v>
      </c>
      <c r="J2649" t="s">
        <v>19</v>
      </c>
      <c r="K2649" t="s">
        <v>44</v>
      </c>
      <c r="L2649" t="s">
        <v>45</v>
      </c>
      <c r="M2649" t="s">
        <v>73</v>
      </c>
      <c r="N2649" t="s">
        <v>74</v>
      </c>
      <c r="O2649" t="s">
        <v>35</v>
      </c>
      <c r="P2649">
        <v>5</v>
      </c>
      <c r="Q2649" s="2">
        <f>Ventas[[#This Row],[precio_base]]*Ventas[[#This Row],[cantidad]]</f>
        <v>24.99</v>
      </c>
      <c r="R2649" s="2">
        <f>Ventas[[#This Row],[Total bruto (antes de descuento)]]-Ventas[[#This Row],[total_venta]]</f>
        <v>0</v>
      </c>
    </row>
    <row r="2650" spans="1:18" x14ac:dyDescent="0.25">
      <c r="A2650" t="s">
        <v>2743</v>
      </c>
      <c r="B2650" s="1">
        <v>45291</v>
      </c>
      <c r="C2650" t="s">
        <v>122</v>
      </c>
      <c r="D2650" t="s">
        <v>43</v>
      </c>
      <c r="E2650">
        <v>2</v>
      </c>
      <c r="F2650" s="2">
        <v>44.99</v>
      </c>
      <c r="G2650">
        <v>0</v>
      </c>
      <c r="H2650" s="2">
        <v>44.99</v>
      </c>
      <c r="I2650" s="2">
        <v>89.98</v>
      </c>
      <c r="J2650" t="s">
        <v>90</v>
      </c>
      <c r="K2650" t="s">
        <v>20</v>
      </c>
      <c r="L2650" t="s">
        <v>45</v>
      </c>
      <c r="M2650" t="s">
        <v>95</v>
      </c>
      <c r="N2650" t="s">
        <v>96</v>
      </c>
      <c r="O2650" t="s">
        <v>48</v>
      </c>
      <c r="Q2650" s="2">
        <f>Ventas[[#This Row],[precio_base]]*Ventas[[#This Row],[cantidad]]</f>
        <v>89.98</v>
      </c>
      <c r="R2650" s="2">
        <f>Ventas[[#This Row],[Total bruto (antes de descuento)]]-Ventas[[#This Row],[total_venta]]</f>
        <v>0</v>
      </c>
    </row>
    <row r="2651" spans="1:18" x14ac:dyDescent="0.25">
      <c r="A2651" t="s">
        <v>2744</v>
      </c>
      <c r="B2651" s="1">
        <v>45021</v>
      </c>
      <c r="C2651" t="s">
        <v>122</v>
      </c>
      <c r="D2651" t="s">
        <v>43</v>
      </c>
      <c r="E2651">
        <v>5</v>
      </c>
      <c r="F2651" s="2">
        <v>44.99</v>
      </c>
      <c r="G2651">
        <v>0</v>
      </c>
      <c r="H2651" s="2">
        <v>44.99</v>
      </c>
      <c r="I2651" s="2">
        <v>224.95</v>
      </c>
      <c r="J2651" t="s">
        <v>19</v>
      </c>
      <c r="K2651" t="s">
        <v>20</v>
      </c>
      <c r="L2651" t="s">
        <v>152</v>
      </c>
      <c r="M2651" t="s">
        <v>22</v>
      </c>
      <c r="N2651" t="s">
        <v>23</v>
      </c>
      <c r="O2651" t="s">
        <v>24</v>
      </c>
      <c r="P2651">
        <v>3</v>
      </c>
      <c r="Q2651" s="2">
        <f>Ventas[[#This Row],[precio_base]]*Ventas[[#This Row],[cantidad]]</f>
        <v>224.95000000000002</v>
      </c>
      <c r="R2651" s="2">
        <f>Ventas[[#This Row],[Total bruto (antes de descuento)]]-Ventas[[#This Row],[total_venta]]</f>
        <v>0</v>
      </c>
    </row>
    <row r="2652" spans="1:18" x14ac:dyDescent="0.25">
      <c r="A2652" t="s">
        <v>2745</v>
      </c>
      <c r="B2652" s="1">
        <v>45107</v>
      </c>
      <c r="C2652" t="s">
        <v>37</v>
      </c>
      <c r="D2652" t="s">
        <v>38</v>
      </c>
      <c r="E2652">
        <v>5</v>
      </c>
      <c r="F2652" s="2">
        <v>34.99</v>
      </c>
      <c r="G2652">
        <v>20</v>
      </c>
      <c r="H2652" s="2">
        <v>27.99</v>
      </c>
      <c r="I2652" s="2">
        <v>139.94999999999999</v>
      </c>
      <c r="J2652" t="s">
        <v>19</v>
      </c>
      <c r="K2652" t="s">
        <v>52</v>
      </c>
      <c r="L2652" t="s">
        <v>28</v>
      </c>
      <c r="M2652" t="s">
        <v>58</v>
      </c>
      <c r="N2652" t="s">
        <v>59</v>
      </c>
      <c r="O2652" t="s">
        <v>24</v>
      </c>
      <c r="P2652">
        <v>4</v>
      </c>
      <c r="Q2652" s="2">
        <f>Ventas[[#This Row],[precio_base]]*Ventas[[#This Row],[cantidad]]</f>
        <v>174.95000000000002</v>
      </c>
      <c r="R2652" s="2">
        <f>Ventas[[#This Row],[Total bruto (antes de descuento)]]-Ventas[[#This Row],[total_venta]]</f>
        <v>35.000000000000028</v>
      </c>
    </row>
    <row r="2653" spans="1:18" x14ac:dyDescent="0.25">
      <c r="A2653" t="s">
        <v>2746</v>
      </c>
      <c r="B2653" s="1">
        <v>44976</v>
      </c>
      <c r="C2653" t="s">
        <v>17</v>
      </c>
      <c r="D2653" t="s">
        <v>18</v>
      </c>
      <c r="E2653">
        <v>4</v>
      </c>
      <c r="F2653" s="2">
        <v>45.99</v>
      </c>
      <c r="G2653">
        <v>0</v>
      </c>
      <c r="H2653" s="2">
        <v>45.99</v>
      </c>
      <c r="I2653" s="2">
        <v>183.96</v>
      </c>
      <c r="J2653" t="s">
        <v>51</v>
      </c>
      <c r="K2653" t="s">
        <v>52</v>
      </c>
      <c r="L2653" t="s">
        <v>152</v>
      </c>
      <c r="M2653" t="s">
        <v>63</v>
      </c>
      <c r="N2653" t="s">
        <v>34</v>
      </c>
      <c r="O2653" t="s">
        <v>24</v>
      </c>
      <c r="Q2653" s="2">
        <f>Ventas[[#This Row],[precio_base]]*Ventas[[#This Row],[cantidad]]</f>
        <v>183.96</v>
      </c>
      <c r="R2653" s="2">
        <f>Ventas[[#This Row],[Total bruto (antes de descuento)]]-Ventas[[#This Row],[total_venta]]</f>
        <v>0</v>
      </c>
    </row>
    <row r="2654" spans="1:18" x14ac:dyDescent="0.25">
      <c r="A2654" t="s">
        <v>2747</v>
      </c>
      <c r="B2654" s="1">
        <v>45619</v>
      </c>
      <c r="C2654" t="s">
        <v>104</v>
      </c>
      <c r="D2654" t="s">
        <v>18</v>
      </c>
      <c r="E2654">
        <v>5</v>
      </c>
      <c r="F2654" s="2">
        <v>1199.99</v>
      </c>
      <c r="G2654">
        <v>5</v>
      </c>
      <c r="H2654" s="2">
        <v>1139.99</v>
      </c>
      <c r="I2654" s="2">
        <v>5699.95</v>
      </c>
      <c r="J2654" t="s">
        <v>51</v>
      </c>
      <c r="K2654" t="s">
        <v>44</v>
      </c>
      <c r="L2654" t="s">
        <v>21</v>
      </c>
      <c r="M2654" t="s">
        <v>53</v>
      </c>
      <c r="N2654" t="s">
        <v>54</v>
      </c>
      <c r="O2654" t="s">
        <v>35</v>
      </c>
      <c r="Q2654" s="2">
        <f>Ventas[[#This Row],[precio_base]]*Ventas[[#This Row],[cantidad]]</f>
        <v>5999.95</v>
      </c>
      <c r="R2654" s="2">
        <f>Ventas[[#This Row],[Total bruto (antes de descuento)]]-Ventas[[#This Row],[total_venta]]</f>
        <v>300</v>
      </c>
    </row>
    <row r="2655" spans="1:18" x14ac:dyDescent="0.25">
      <c r="A2655" t="s">
        <v>2748</v>
      </c>
      <c r="B2655" s="1">
        <v>45382</v>
      </c>
      <c r="C2655" t="s">
        <v>151</v>
      </c>
      <c r="D2655" t="s">
        <v>27</v>
      </c>
      <c r="E2655">
        <v>4</v>
      </c>
      <c r="F2655" s="2">
        <v>599.99</v>
      </c>
      <c r="G2655">
        <v>0</v>
      </c>
      <c r="H2655" s="2">
        <v>599.99</v>
      </c>
      <c r="I2655" s="2">
        <v>2399.96</v>
      </c>
      <c r="J2655" t="s">
        <v>19</v>
      </c>
      <c r="K2655" t="s">
        <v>44</v>
      </c>
      <c r="L2655" t="s">
        <v>45</v>
      </c>
      <c r="M2655" t="s">
        <v>120</v>
      </c>
      <c r="N2655" t="s">
        <v>23</v>
      </c>
      <c r="O2655" t="s">
        <v>24</v>
      </c>
      <c r="P2655">
        <v>2</v>
      </c>
      <c r="Q2655" s="2">
        <f>Ventas[[#This Row],[precio_base]]*Ventas[[#This Row],[cantidad]]</f>
        <v>2399.96</v>
      </c>
      <c r="R2655" s="2">
        <f>Ventas[[#This Row],[Total bruto (antes de descuento)]]-Ventas[[#This Row],[total_venta]]</f>
        <v>0</v>
      </c>
    </row>
    <row r="2656" spans="1:18" x14ac:dyDescent="0.25">
      <c r="A2656" t="s">
        <v>2749</v>
      </c>
      <c r="B2656" s="1">
        <v>45406</v>
      </c>
      <c r="C2656" t="s">
        <v>104</v>
      </c>
      <c r="D2656" t="s">
        <v>18</v>
      </c>
      <c r="E2656">
        <v>1</v>
      </c>
      <c r="F2656" s="2">
        <v>1199.99</v>
      </c>
      <c r="G2656">
        <v>0</v>
      </c>
      <c r="H2656" s="2">
        <v>1199.99</v>
      </c>
      <c r="I2656" s="2">
        <v>1199.99</v>
      </c>
      <c r="J2656" t="s">
        <v>90</v>
      </c>
      <c r="K2656" t="s">
        <v>52</v>
      </c>
      <c r="L2656" t="s">
        <v>152</v>
      </c>
      <c r="M2656" t="s">
        <v>73</v>
      </c>
      <c r="N2656" t="s">
        <v>74</v>
      </c>
      <c r="O2656" t="s">
        <v>35</v>
      </c>
      <c r="Q2656" s="2">
        <f>Ventas[[#This Row],[precio_base]]*Ventas[[#This Row],[cantidad]]</f>
        <v>1199.99</v>
      </c>
      <c r="R2656" s="2">
        <f>Ventas[[#This Row],[Total bruto (antes de descuento)]]-Ventas[[#This Row],[total_venta]]</f>
        <v>0</v>
      </c>
    </row>
    <row r="2657" spans="1:18" x14ac:dyDescent="0.25">
      <c r="A2657" t="s">
        <v>2750</v>
      </c>
      <c r="B2657" s="1">
        <v>45571</v>
      </c>
      <c r="C2657" t="s">
        <v>30</v>
      </c>
      <c r="D2657" t="s">
        <v>31</v>
      </c>
      <c r="E2657">
        <v>3</v>
      </c>
      <c r="F2657" s="2">
        <v>299.99</v>
      </c>
      <c r="G2657">
        <v>20</v>
      </c>
      <c r="H2657" s="2">
        <v>239.99</v>
      </c>
      <c r="I2657" s="2">
        <v>719.97</v>
      </c>
      <c r="J2657" t="s">
        <v>19</v>
      </c>
      <c r="K2657" t="s">
        <v>52</v>
      </c>
      <c r="L2657" t="s">
        <v>21</v>
      </c>
      <c r="M2657" t="s">
        <v>101</v>
      </c>
      <c r="N2657" t="s">
        <v>102</v>
      </c>
      <c r="O2657" t="s">
        <v>35</v>
      </c>
      <c r="P2657">
        <v>3</v>
      </c>
      <c r="Q2657" s="2">
        <f>Ventas[[#This Row],[precio_base]]*Ventas[[#This Row],[cantidad]]</f>
        <v>899.97</v>
      </c>
      <c r="R2657" s="2">
        <f>Ventas[[#This Row],[Total bruto (antes de descuento)]]-Ventas[[#This Row],[total_venta]]</f>
        <v>180</v>
      </c>
    </row>
    <row r="2658" spans="1:18" x14ac:dyDescent="0.25">
      <c r="A2658" t="s">
        <v>2751</v>
      </c>
      <c r="B2658" s="1">
        <v>45260</v>
      </c>
      <c r="C2658" t="s">
        <v>72</v>
      </c>
      <c r="D2658" t="s">
        <v>31</v>
      </c>
      <c r="E2658">
        <v>5</v>
      </c>
      <c r="F2658" s="2">
        <v>29.99</v>
      </c>
      <c r="G2658">
        <v>15</v>
      </c>
      <c r="H2658" s="2">
        <v>25.49</v>
      </c>
      <c r="I2658" s="2">
        <v>127.45</v>
      </c>
      <c r="J2658" t="s">
        <v>116</v>
      </c>
      <c r="K2658" t="s">
        <v>20</v>
      </c>
      <c r="L2658" t="s">
        <v>21</v>
      </c>
      <c r="M2658" t="s">
        <v>46</v>
      </c>
      <c r="N2658" t="s">
        <v>47</v>
      </c>
      <c r="O2658" t="s">
        <v>48</v>
      </c>
      <c r="Q2658" s="2">
        <f>Ventas[[#This Row],[precio_base]]*Ventas[[#This Row],[cantidad]]</f>
        <v>149.94999999999999</v>
      </c>
      <c r="R2658" s="2">
        <f>Ventas[[#This Row],[Total bruto (antes de descuento)]]-Ventas[[#This Row],[total_venta]]</f>
        <v>22.499999999999986</v>
      </c>
    </row>
    <row r="2659" spans="1:18" x14ac:dyDescent="0.25">
      <c r="A2659" t="s">
        <v>2752</v>
      </c>
      <c r="B2659" s="1">
        <v>45625</v>
      </c>
      <c r="C2659" t="s">
        <v>205</v>
      </c>
      <c r="D2659" t="s">
        <v>18</v>
      </c>
      <c r="E2659">
        <v>2</v>
      </c>
      <c r="F2659" s="2">
        <v>129.99</v>
      </c>
      <c r="G2659">
        <v>0</v>
      </c>
      <c r="H2659" s="2">
        <v>129.99</v>
      </c>
      <c r="I2659" s="2">
        <v>259.98</v>
      </c>
      <c r="J2659" t="s">
        <v>19</v>
      </c>
      <c r="K2659" t="s">
        <v>44</v>
      </c>
      <c r="L2659" t="s">
        <v>32</v>
      </c>
      <c r="M2659" t="s">
        <v>123</v>
      </c>
      <c r="N2659" t="s">
        <v>124</v>
      </c>
      <c r="O2659" t="s">
        <v>24</v>
      </c>
      <c r="P2659">
        <v>2</v>
      </c>
      <c r="Q2659" s="2">
        <f>Ventas[[#This Row],[precio_base]]*Ventas[[#This Row],[cantidad]]</f>
        <v>259.98</v>
      </c>
      <c r="R2659" s="2">
        <f>Ventas[[#This Row],[Total bruto (antes de descuento)]]-Ventas[[#This Row],[total_venta]]</f>
        <v>0</v>
      </c>
    </row>
    <row r="2660" spans="1:18" x14ac:dyDescent="0.25">
      <c r="A2660" t="s">
        <v>2753</v>
      </c>
      <c r="B2660" s="1">
        <v>45049</v>
      </c>
      <c r="C2660" t="s">
        <v>37</v>
      </c>
      <c r="D2660" t="s">
        <v>38</v>
      </c>
      <c r="E2660">
        <v>1</v>
      </c>
      <c r="F2660" s="2">
        <v>34.99</v>
      </c>
      <c r="G2660">
        <v>10</v>
      </c>
      <c r="H2660" s="2">
        <v>31.49</v>
      </c>
      <c r="I2660" s="2">
        <v>31.49</v>
      </c>
      <c r="J2660" t="s">
        <v>19</v>
      </c>
      <c r="K2660" t="s">
        <v>44</v>
      </c>
      <c r="L2660" t="s">
        <v>21</v>
      </c>
      <c r="M2660" t="s">
        <v>33</v>
      </c>
      <c r="N2660" t="s">
        <v>34</v>
      </c>
      <c r="O2660" t="s">
        <v>35</v>
      </c>
      <c r="P2660">
        <v>2</v>
      </c>
      <c r="Q2660" s="2">
        <f>Ventas[[#This Row],[precio_base]]*Ventas[[#This Row],[cantidad]]</f>
        <v>34.99</v>
      </c>
      <c r="R2660" s="2">
        <f>Ventas[[#This Row],[Total bruto (antes de descuento)]]-Ventas[[#This Row],[total_venta]]</f>
        <v>3.5000000000000036</v>
      </c>
    </row>
    <row r="2661" spans="1:18" x14ac:dyDescent="0.25">
      <c r="A2661" t="s">
        <v>2754</v>
      </c>
      <c r="B2661" s="1">
        <v>45334</v>
      </c>
      <c r="C2661" t="s">
        <v>87</v>
      </c>
      <c r="D2661" t="s">
        <v>27</v>
      </c>
      <c r="E2661">
        <v>1</v>
      </c>
      <c r="F2661" s="2">
        <v>249.99</v>
      </c>
      <c r="G2661">
        <v>5</v>
      </c>
      <c r="H2661" s="2">
        <v>237.49</v>
      </c>
      <c r="I2661" s="2">
        <v>237.49</v>
      </c>
      <c r="J2661" t="s">
        <v>116</v>
      </c>
      <c r="K2661" t="s">
        <v>20</v>
      </c>
      <c r="L2661" t="s">
        <v>21</v>
      </c>
      <c r="M2661" t="s">
        <v>53</v>
      </c>
      <c r="N2661" t="s">
        <v>54</v>
      </c>
      <c r="O2661" t="s">
        <v>35</v>
      </c>
      <c r="Q2661" s="2">
        <f>Ventas[[#This Row],[precio_base]]*Ventas[[#This Row],[cantidad]]</f>
        <v>249.99</v>
      </c>
      <c r="R2661" s="2">
        <f>Ventas[[#This Row],[Total bruto (antes de descuento)]]-Ventas[[#This Row],[total_venta]]</f>
        <v>12.5</v>
      </c>
    </row>
    <row r="2662" spans="1:18" x14ac:dyDescent="0.25">
      <c r="A2662" t="s">
        <v>2755</v>
      </c>
      <c r="B2662" s="1">
        <v>45314</v>
      </c>
      <c r="C2662" t="s">
        <v>156</v>
      </c>
      <c r="D2662" t="s">
        <v>27</v>
      </c>
      <c r="E2662">
        <v>3</v>
      </c>
      <c r="F2662" s="2">
        <v>49.99</v>
      </c>
      <c r="G2662">
        <v>0</v>
      </c>
      <c r="H2662" s="2">
        <v>49.99</v>
      </c>
      <c r="I2662" s="2">
        <v>149.97</v>
      </c>
      <c r="J2662" t="s">
        <v>51</v>
      </c>
      <c r="K2662" t="s">
        <v>52</v>
      </c>
      <c r="L2662" t="s">
        <v>21</v>
      </c>
      <c r="M2662" t="s">
        <v>65</v>
      </c>
      <c r="N2662" t="s">
        <v>54</v>
      </c>
      <c r="O2662" t="s">
        <v>35</v>
      </c>
      <c r="Q2662" s="2">
        <f>Ventas[[#This Row],[precio_base]]*Ventas[[#This Row],[cantidad]]</f>
        <v>149.97</v>
      </c>
      <c r="R2662" s="2">
        <f>Ventas[[#This Row],[Total bruto (antes de descuento)]]-Ventas[[#This Row],[total_venta]]</f>
        <v>0</v>
      </c>
    </row>
    <row r="2663" spans="1:18" x14ac:dyDescent="0.25">
      <c r="A2663" t="s">
        <v>2756</v>
      </c>
      <c r="B2663" s="1">
        <v>44954</v>
      </c>
      <c r="C2663" t="s">
        <v>156</v>
      </c>
      <c r="D2663" t="s">
        <v>27</v>
      </c>
      <c r="E2663">
        <v>2</v>
      </c>
      <c r="F2663" s="2">
        <v>49.99</v>
      </c>
      <c r="G2663">
        <v>10</v>
      </c>
      <c r="H2663" s="2">
        <v>44.99</v>
      </c>
      <c r="I2663" s="2">
        <v>89.98</v>
      </c>
      <c r="J2663" t="s">
        <v>51</v>
      </c>
      <c r="K2663" t="s">
        <v>44</v>
      </c>
      <c r="L2663" t="s">
        <v>21</v>
      </c>
      <c r="M2663" t="s">
        <v>67</v>
      </c>
      <c r="N2663" t="s">
        <v>68</v>
      </c>
      <c r="O2663" t="s">
        <v>35</v>
      </c>
      <c r="Q2663" s="2">
        <f>Ventas[[#This Row],[precio_base]]*Ventas[[#This Row],[cantidad]]</f>
        <v>99.98</v>
      </c>
      <c r="R2663" s="2">
        <f>Ventas[[#This Row],[Total bruto (antes de descuento)]]-Ventas[[#This Row],[total_venta]]</f>
        <v>10</v>
      </c>
    </row>
    <row r="2664" spans="1:18" x14ac:dyDescent="0.25">
      <c r="A2664" t="s">
        <v>2757</v>
      </c>
      <c r="B2664" s="1">
        <v>45057</v>
      </c>
      <c r="C2664" t="s">
        <v>76</v>
      </c>
      <c r="D2664" t="s">
        <v>31</v>
      </c>
      <c r="E2664">
        <v>3</v>
      </c>
      <c r="F2664" s="2">
        <v>69.989999999999995</v>
      </c>
      <c r="G2664">
        <v>10</v>
      </c>
      <c r="H2664" s="2">
        <v>62.99</v>
      </c>
      <c r="I2664" s="2">
        <v>188.97</v>
      </c>
      <c r="J2664" t="s">
        <v>19</v>
      </c>
      <c r="K2664" t="s">
        <v>52</v>
      </c>
      <c r="L2664" t="s">
        <v>28</v>
      </c>
      <c r="M2664" t="s">
        <v>53</v>
      </c>
      <c r="N2664" t="s">
        <v>54</v>
      </c>
      <c r="O2664" t="s">
        <v>35</v>
      </c>
      <c r="P2664">
        <v>2</v>
      </c>
      <c r="Q2664" s="2">
        <f>Ventas[[#This Row],[precio_base]]*Ventas[[#This Row],[cantidad]]</f>
        <v>209.96999999999997</v>
      </c>
      <c r="R2664" s="2">
        <f>Ventas[[#This Row],[Total bruto (antes de descuento)]]-Ventas[[#This Row],[total_venta]]</f>
        <v>20.999999999999972</v>
      </c>
    </row>
    <row r="2665" spans="1:18" x14ac:dyDescent="0.25">
      <c r="A2665" t="s">
        <v>2758</v>
      </c>
      <c r="B2665" s="1">
        <v>45078</v>
      </c>
      <c r="C2665" t="s">
        <v>205</v>
      </c>
      <c r="D2665" t="s">
        <v>18</v>
      </c>
      <c r="E2665">
        <v>2</v>
      </c>
      <c r="F2665" s="2">
        <v>129.99</v>
      </c>
      <c r="G2665">
        <v>15</v>
      </c>
      <c r="H2665" s="2">
        <v>110.49</v>
      </c>
      <c r="I2665" s="2">
        <v>220.98</v>
      </c>
      <c r="J2665" t="s">
        <v>51</v>
      </c>
      <c r="K2665" t="s">
        <v>20</v>
      </c>
      <c r="L2665" t="s">
        <v>28</v>
      </c>
      <c r="M2665" t="s">
        <v>67</v>
      </c>
      <c r="N2665" t="s">
        <v>68</v>
      </c>
      <c r="O2665" t="s">
        <v>35</v>
      </c>
      <c r="Q2665" s="2">
        <f>Ventas[[#This Row],[precio_base]]*Ventas[[#This Row],[cantidad]]</f>
        <v>259.98</v>
      </c>
      <c r="R2665" s="2">
        <f>Ventas[[#This Row],[Total bruto (antes de descuento)]]-Ventas[[#This Row],[total_venta]]</f>
        <v>39.000000000000028</v>
      </c>
    </row>
    <row r="2666" spans="1:18" x14ac:dyDescent="0.25">
      <c r="A2666" t="s">
        <v>2759</v>
      </c>
      <c r="B2666" s="1">
        <v>45121</v>
      </c>
      <c r="C2666" t="s">
        <v>130</v>
      </c>
      <c r="D2666" t="s">
        <v>43</v>
      </c>
      <c r="E2666">
        <v>5</v>
      </c>
      <c r="F2666" s="2">
        <v>24.99</v>
      </c>
      <c r="G2666">
        <v>10</v>
      </c>
      <c r="H2666" s="2">
        <v>22.49</v>
      </c>
      <c r="I2666" s="2">
        <v>112.45</v>
      </c>
      <c r="J2666" t="s">
        <v>51</v>
      </c>
      <c r="K2666" t="s">
        <v>20</v>
      </c>
      <c r="L2666" t="s">
        <v>32</v>
      </c>
      <c r="M2666" t="s">
        <v>46</v>
      </c>
      <c r="N2666" t="s">
        <v>47</v>
      </c>
      <c r="O2666" t="s">
        <v>48</v>
      </c>
      <c r="Q2666" s="2">
        <f>Ventas[[#This Row],[precio_base]]*Ventas[[#This Row],[cantidad]]</f>
        <v>124.94999999999999</v>
      </c>
      <c r="R2666" s="2">
        <f>Ventas[[#This Row],[Total bruto (antes de descuento)]]-Ventas[[#This Row],[total_venta]]</f>
        <v>12.499999999999986</v>
      </c>
    </row>
    <row r="2667" spans="1:18" x14ac:dyDescent="0.25">
      <c r="A2667" t="s">
        <v>2760</v>
      </c>
      <c r="B2667" s="1">
        <v>45634</v>
      </c>
      <c r="C2667" t="s">
        <v>30</v>
      </c>
      <c r="D2667" t="s">
        <v>31</v>
      </c>
      <c r="E2667">
        <v>2</v>
      </c>
      <c r="F2667" s="2">
        <v>299.99</v>
      </c>
      <c r="G2667">
        <v>20</v>
      </c>
      <c r="H2667" s="2">
        <v>239.99</v>
      </c>
      <c r="I2667" s="2">
        <v>479.98</v>
      </c>
      <c r="J2667" t="s">
        <v>19</v>
      </c>
      <c r="K2667" t="s">
        <v>20</v>
      </c>
      <c r="L2667" t="s">
        <v>45</v>
      </c>
      <c r="M2667" t="s">
        <v>63</v>
      </c>
      <c r="N2667" t="s">
        <v>34</v>
      </c>
      <c r="O2667" t="s">
        <v>24</v>
      </c>
      <c r="P2667">
        <v>5</v>
      </c>
      <c r="Q2667" s="2">
        <f>Ventas[[#This Row],[precio_base]]*Ventas[[#This Row],[cantidad]]</f>
        <v>599.98</v>
      </c>
      <c r="R2667" s="2">
        <f>Ventas[[#This Row],[Total bruto (antes de descuento)]]-Ventas[[#This Row],[total_venta]]</f>
        <v>120</v>
      </c>
    </row>
    <row r="2668" spans="1:18" x14ac:dyDescent="0.25">
      <c r="A2668" t="s">
        <v>2761</v>
      </c>
      <c r="B2668" s="1">
        <v>45285</v>
      </c>
      <c r="C2668" t="s">
        <v>94</v>
      </c>
      <c r="D2668" t="s">
        <v>18</v>
      </c>
      <c r="E2668">
        <v>4</v>
      </c>
      <c r="F2668" s="2">
        <v>899.99</v>
      </c>
      <c r="G2668">
        <v>5</v>
      </c>
      <c r="H2668" s="2">
        <v>854.99</v>
      </c>
      <c r="I2668" s="2">
        <v>3419.96</v>
      </c>
      <c r="J2668" t="s">
        <v>19</v>
      </c>
      <c r="K2668" t="s">
        <v>44</v>
      </c>
      <c r="L2668" t="s">
        <v>45</v>
      </c>
      <c r="M2668" t="s">
        <v>46</v>
      </c>
      <c r="N2668" t="s">
        <v>47</v>
      </c>
      <c r="O2668" t="s">
        <v>48</v>
      </c>
      <c r="P2668">
        <v>5</v>
      </c>
      <c r="Q2668" s="2">
        <f>Ventas[[#This Row],[precio_base]]*Ventas[[#This Row],[cantidad]]</f>
        <v>3599.96</v>
      </c>
      <c r="R2668" s="2">
        <f>Ventas[[#This Row],[Total bruto (antes de descuento)]]-Ventas[[#This Row],[total_venta]]</f>
        <v>180</v>
      </c>
    </row>
    <row r="2669" spans="1:18" x14ac:dyDescent="0.25">
      <c r="A2669" t="s">
        <v>2762</v>
      </c>
      <c r="B2669" s="1">
        <v>45118</v>
      </c>
      <c r="C2669" t="s">
        <v>109</v>
      </c>
      <c r="D2669" t="s">
        <v>38</v>
      </c>
      <c r="E2669">
        <v>5</v>
      </c>
      <c r="F2669" s="2">
        <v>39.99</v>
      </c>
      <c r="G2669">
        <v>5</v>
      </c>
      <c r="H2669" s="2">
        <v>37.99</v>
      </c>
      <c r="I2669" s="2">
        <v>189.95</v>
      </c>
      <c r="J2669" t="s">
        <v>51</v>
      </c>
      <c r="K2669" t="s">
        <v>52</v>
      </c>
      <c r="L2669" t="s">
        <v>32</v>
      </c>
      <c r="M2669" t="s">
        <v>95</v>
      </c>
      <c r="N2669" t="s">
        <v>96</v>
      </c>
      <c r="O2669" t="s">
        <v>48</v>
      </c>
      <c r="Q2669" s="2">
        <f>Ventas[[#This Row],[precio_base]]*Ventas[[#This Row],[cantidad]]</f>
        <v>199.95000000000002</v>
      </c>
      <c r="R2669" s="2">
        <f>Ventas[[#This Row],[Total bruto (antes de descuento)]]-Ventas[[#This Row],[total_venta]]</f>
        <v>10.000000000000028</v>
      </c>
    </row>
    <row r="2670" spans="1:18" x14ac:dyDescent="0.25">
      <c r="A2670" t="s">
        <v>2763</v>
      </c>
      <c r="B2670" s="1">
        <v>45131</v>
      </c>
      <c r="C2670" t="s">
        <v>109</v>
      </c>
      <c r="D2670" t="s">
        <v>38</v>
      </c>
      <c r="E2670">
        <v>1</v>
      </c>
      <c r="F2670" s="2">
        <v>39.99</v>
      </c>
      <c r="G2670">
        <v>0</v>
      </c>
      <c r="H2670" s="2">
        <v>39.99</v>
      </c>
      <c r="I2670" s="2">
        <v>39.99</v>
      </c>
      <c r="J2670" t="s">
        <v>19</v>
      </c>
      <c r="K2670" t="s">
        <v>20</v>
      </c>
      <c r="L2670" t="s">
        <v>21</v>
      </c>
      <c r="M2670" t="s">
        <v>95</v>
      </c>
      <c r="N2670" t="s">
        <v>96</v>
      </c>
      <c r="O2670" t="s">
        <v>48</v>
      </c>
      <c r="P2670">
        <v>5</v>
      </c>
      <c r="Q2670" s="2">
        <f>Ventas[[#This Row],[precio_base]]*Ventas[[#This Row],[cantidad]]</f>
        <v>39.99</v>
      </c>
      <c r="R2670" s="2">
        <f>Ventas[[#This Row],[Total bruto (antes de descuento)]]-Ventas[[#This Row],[total_venta]]</f>
        <v>0</v>
      </c>
    </row>
    <row r="2671" spans="1:18" x14ac:dyDescent="0.25">
      <c r="A2671" t="s">
        <v>2764</v>
      </c>
      <c r="B2671" s="1">
        <v>45154</v>
      </c>
      <c r="C2671" t="s">
        <v>130</v>
      </c>
      <c r="D2671" t="s">
        <v>43</v>
      </c>
      <c r="E2671">
        <v>5</v>
      </c>
      <c r="F2671" s="2">
        <v>24.99</v>
      </c>
      <c r="G2671">
        <v>15</v>
      </c>
      <c r="H2671" s="2">
        <v>21.24</v>
      </c>
      <c r="I2671" s="2">
        <v>106.2</v>
      </c>
      <c r="J2671" t="s">
        <v>19</v>
      </c>
      <c r="K2671" t="s">
        <v>44</v>
      </c>
      <c r="L2671" t="s">
        <v>152</v>
      </c>
      <c r="M2671" t="s">
        <v>63</v>
      </c>
      <c r="N2671" t="s">
        <v>34</v>
      </c>
      <c r="O2671" t="s">
        <v>24</v>
      </c>
      <c r="P2671">
        <v>4</v>
      </c>
      <c r="Q2671" s="2">
        <f>Ventas[[#This Row],[precio_base]]*Ventas[[#This Row],[cantidad]]</f>
        <v>124.94999999999999</v>
      </c>
      <c r="R2671" s="2">
        <f>Ventas[[#This Row],[Total bruto (antes de descuento)]]-Ventas[[#This Row],[total_venta]]</f>
        <v>18.749999999999986</v>
      </c>
    </row>
    <row r="2672" spans="1:18" x14ac:dyDescent="0.25">
      <c r="A2672" t="s">
        <v>2765</v>
      </c>
      <c r="B2672" s="1">
        <v>45609</v>
      </c>
      <c r="C2672" t="s">
        <v>70</v>
      </c>
      <c r="D2672" t="s">
        <v>31</v>
      </c>
      <c r="E2672">
        <v>4</v>
      </c>
      <c r="F2672" s="2">
        <v>59.99</v>
      </c>
      <c r="G2672">
        <v>15</v>
      </c>
      <c r="H2672" s="2">
        <v>50.99</v>
      </c>
      <c r="I2672" s="2">
        <v>203.96</v>
      </c>
      <c r="J2672" t="s">
        <v>51</v>
      </c>
      <c r="K2672" t="s">
        <v>52</v>
      </c>
      <c r="L2672" t="s">
        <v>28</v>
      </c>
      <c r="M2672" t="s">
        <v>65</v>
      </c>
      <c r="N2672" t="s">
        <v>54</v>
      </c>
      <c r="O2672" t="s">
        <v>35</v>
      </c>
      <c r="Q2672" s="2">
        <f>Ventas[[#This Row],[precio_base]]*Ventas[[#This Row],[cantidad]]</f>
        <v>239.96</v>
      </c>
      <c r="R2672" s="2">
        <f>Ventas[[#This Row],[Total bruto (antes de descuento)]]-Ventas[[#This Row],[total_venta]]</f>
        <v>36</v>
      </c>
    </row>
    <row r="2673" spans="1:18" x14ac:dyDescent="0.25">
      <c r="A2673" t="s">
        <v>2766</v>
      </c>
      <c r="B2673" s="1">
        <v>45416</v>
      </c>
      <c r="C2673" t="s">
        <v>115</v>
      </c>
      <c r="D2673" t="s">
        <v>18</v>
      </c>
      <c r="E2673">
        <v>3</v>
      </c>
      <c r="F2673" s="2">
        <v>799.99</v>
      </c>
      <c r="G2673">
        <v>5</v>
      </c>
      <c r="H2673" s="2">
        <v>759.99</v>
      </c>
      <c r="I2673" s="2">
        <v>2279.9699999999998</v>
      </c>
      <c r="J2673" t="s">
        <v>51</v>
      </c>
      <c r="K2673" t="s">
        <v>20</v>
      </c>
      <c r="L2673" t="s">
        <v>152</v>
      </c>
      <c r="M2673" t="s">
        <v>63</v>
      </c>
      <c r="N2673" t="s">
        <v>34</v>
      </c>
      <c r="O2673" t="s">
        <v>24</v>
      </c>
      <c r="Q2673" s="2">
        <f>Ventas[[#This Row],[precio_base]]*Ventas[[#This Row],[cantidad]]</f>
        <v>2399.9700000000003</v>
      </c>
      <c r="R2673" s="2">
        <f>Ventas[[#This Row],[Total bruto (antes de descuento)]]-Ventas[[#This Row],[total_venta]]</f>
        <v>120.00000000000045</v>
      </c>
    </row>
    <row r="2674" spans="1:18" x14ac:dyDescent="0.25">
      <c r="A2674" t="s">
        <v>2767</v>
      </c>
      <c r="B2674" s="1">
        <v>45148</v>
      </c>
      <c r="C2674" t="s">
        <v>30</v>
      </c>
      <c r="D2674" t="s">
        <v>31</v>
      </c>
      <c r="E2674">
        <v>2</v>
      </c>
      <c r="F2674" s="2">
        <v>299.99</v>
      </c>
      <c r="G2674">
        <v>0</v>
      </c>
      <c r="H2674" s="2">
        <v>299.99</v>
      </c>
      <c r="I2674" s="2">
        <v>599.98</v>
      </c>
      <c r="J2674" t="s">
        <v>90</v>
      </c>
      <c r="K2674" t="s">
        <v>44</v>
      </c>
      <c r="L2674" t="s">
        <v>21</v>
      </c>
      <c r="M2674" t="s">
        <v>53</v>
      </c>
      <c r="N2674" t="s">
        <v>54</v>
      </c>
      <c r="O2674" t="s">
        <v>35</v>
      </c>
      <c r="Q2674" s="2">
        <f>Ventas[[#This Row],[precio_base]]*Ventas[[#This Row],[cantidad]]</f>
        <v>599.98</v>
      </c>
      <c r="R2674" s="2">
        <f>Ventas[[#This Row],[Total bruto (antes de descuento)]]-Ventas[[#This Row],[total_venta]]</f>
        <v>0</v>
      </c>
    </row>
    <row r="2675" spans="1:18" x14ac:dyDescent="0.25">
      <c r="A2675" t="s">
        <v>2768</v>
      </c>
      <c r="B2675" s="1">
        <v>45035</v>
      </c>
      <c r="C2675" t="s">
        <v>98</v>
      </c>
      <c r="D2675" t="s">
        <v>31</v>
      </c>
      <c r="E2675">
        <v>5</v>
      </c>
      <c r="F2675" s="2">
        <v>99.99</v>
      </c>
      <c r="G2675">
        <v>0</v>
      </c>
      <c r="H2675" s="2">
        <v>99.99</v>
      </c>
      <c r="I2675" s="2">
        <v>499.95</v>
      </c>
      <c r="J2675" t="s">
        <v>19</v>
      </c>
      <c r="K2675" t="s">
        <v>20</v>
      </c>
      <c r="L2675" t="s">
        <v>152</v>
      </c>
      <c r="M2675" t="s">
        <v>63</v>
      </c>
      <c r="N2675" t="s">
        <v>34</v>
      </c>
      <c r="O2675" t="s">
        <v>24</v>
      </c>
      <c r="P2675">
        <v>5</v>
      </c>
      <c r="Q2675" s="2">
        <f>Ventas[[#This Row],[precio_base]]*Ventas[[#This Row],[cantidad]]</f>
        <v>499.95</v>
      </c>
      <c r="R2675" s="2">
        <f>Ventas[[#This Row],[Total bruto (antes de descuento)]]-Ventas[[#This Row],[total_venta]]</f>
        <v>0</v>
      </c>
    </row>
    <row r="2676" spans="1:18" x14ac:dyDescent="0.25">
      <c r="A2676" t="s">
        <v>2769</v>
      </c>
      <c r="B2676" s="1">
        <v>45084</v>
      </c>
      <c r="C2676" t="s">
        <v>30</v>
      </c>
      <c r="D2676" t="s">
        <v>31</v>
      </c>
      <c r="E2676">
        <v>2</v>
      </c>
      <c r="F2676" s="2">
        <v>299.99</v>
      </c>
      <c r="G2676">
        <v>0</v>
      </c>
      <c r="H2676" s="2">
        <v>299.99</v>
      </c>
      <c r="I2676" s="2">
        <v>599.98</v>
      </c>
      <c r="J2676" t="s">
        <v>51</v>
      </c>
      <c r="K2676" t="s">
        <v>20</v>
      </c>
      <c r="L2676" t="s">
        <v>45</v>
      </c>
      <c r="M2676" t="s">
        <v>123</v>
      </c>
      <c r="N2676" t="s">
        <v>124</v>
      </c>
      <c r="O2676" t="s">
        <v>24</v>
      </c>
      <c r="Q2676" s="2">
        <f>Ventas[[#This Row],[precio_base]]*Ventas[[#This Row],[cantidad]]</f>
        <v>599.98</v>
      </c>
      <c r="R2676" s="2">
        <f>Ventas[[#This Row],[Total bruto (antes de descuento)]]-Ventas[[#This Row],[total_venta]]</f>
        <v>0</v>
      </c>
    </row>
    <row r="2677" spans="1:18" x14ac:dyDescent="0.25">
      <c r="A2677" t="s">
        <v>2770</v>
      </c>
      <c r="B2677" s="1">
        <v>45559</v>
      </c>
      <c r="C2677" t="s">
        <v>141</v>
      </c>
      <c r="D2677" t="s">
        <v>38</v>
      </c>
      <c r="E2677">
        <v>2</v>
      </c>
      <c r="F2677" s="2">
        <v>89.99</v>
      </c>
      <c r="G2677">
        <v>0</v>
      </c>
      <c r="H2677" s="2">
        <v>89.99</v>
      </c>
      <c r="I2677" s="2">
        <v>179.98</v>
      </c>
      <c r="J2677" t="s">
        <v>51</v>
      </c>
      <c r="K2677" t="s">
        <v>20</v>
      </c>
      <c r="L2677" t="s">
        <v>32</v>
      </c>
      <c r="M2677" t="s">
        <v>53</v>
      </c>
      <c r="N2677" t="s">
        <v>54</v>
      </c>
      <c r="O2677" t="s">
        <v>35</v>
      </c>
      <c r="Q2677" s="2">
        <f>Ventas[[#This Row],[precio_base]]*Ventas[[#This Row],[cantidad]]</f>
        <v>179.98</v>
      </c>
      <c r="R2677" s="2">
        <f>Ventas[[#This Row],[Total bruto (antes de descuento)]]-Ventas[[#This Row],[total_venta]]</f>
        <v>0</v>
      </c>
    </row>
    <row r="2678" spans="1:18" x14ac:dyDescent="0.25">
      <c r="A2678" t="s">
        <v>2771</v>
      </c>
      <c r="B2678" s="1">
        <v>45577</v>
      </c>
      <c r="C2678" t="s">
        <v>70</v>
      </c>
      <c r="D2678" t="s">
        <v>31</v>
      </c>
      <c r="E2678">
        <v>4</v>
      </c>
      <c r="F2678" s="2">
        <v>59.99</v>
      </c>
      <c r="G2678">
        <v>20</v>
      </c>
      <c r="H2678" s="2">
        <v>47.99</v>
      </c>
      <c r="I2678" s="2">
        <v>191.96</v>
      </c>
      <c r="J2678" t="s">
        <v>51</v>
      </c>
      <c r="K2678" t="s">
        <v>52</v>
      </c>
      <c r="L2678" t="s">
        <v>21</v>
      </c>
      <c r="M2678" t="s">
        <v>95</v>
      </c>
      <c r="N2678" t="s">
        <v>96</v>
      </c>
      <c r="O2678" t="s">
        <v>48</v>
      </c>
      <c r="Q2678" s="2">
        <f>Ventas[[#This Row],[precio_base]]*Ventas[[#This Row],[cantidad]]</f>
        <v>239.96</v>
      </c>
      <c r="R2678" s="2">
        <f>Ventas[[#This Row],[Total bruto (antes de descuento)]]-Ventas[[#This Row],[total_venta]]</f>
        <v>48</v>
      </c>
    </row>
    <row r="2679" spans="1:18" x14ac:dyDescent="0.25">
      <c r="A2679" t="s">
        <v>2772</v>
      </c>
      <c r="B2679" s="1">
        <v>44983</v>
      </c>
      <c r="C2679" t="s">
        <v>61</v>
      </c>
      <c r="D2679" t="s">
        <v>38</v>
      </c>
      <c r="E2679">
        <v>4</v>
      </c>
      <c r="F2679" s="2">
        <v>19.989999999999998</v>
      </c>
      <c r="G2679">
        <v>15</v>
      </c>
      <c r="H2679" s="2">
        <v>16.989999999999998</v>
      </c>
      <c r="I2679" s="2">
        <v>67.959999999999994</v>
      </c>
      <c r="J2679" t="s">
        <v>51</v>
      </c>
      <c r="K2679" t="s">
        <v>20</v>
      </c>
      <c r="L2679" t="s">
        <v>21</v>
      </c>
      <c r="M2679" t="s">
        <v>58</v>
      </c>
      <c r="N2679" t="s">
        <v>59</v>
      </c>
      <c r="O2679" t="s">
        <v>24</v>
      </c>
      <c r="Q2679" s="2">
        <f>Ventas[[#This Row],[precio_base]]*Ventas[[#This Row],[cantidad]]</f>
        <v>79.959999999999994</v>
      </c>
      <c r="R2679" s="2">
        <f>Ventas[[#This Row],[Total bruto (antes de descuento)]]-Ventas[[#This Row],[total_venta]]</f>
        <v>12</v>
      </c>
    </row>
    <row r="2680" spans="1:18" x14ac:dyDescent="0.25">
      <c r="A2680" t="s">
        <v>2773</v>
      </c>
      <c r="B2680" s="1">
        <v>45424</v>
      </c>
      <c r="C2680" t="s">
        <v>81</v>
      </c>
      <c r="D2680" t="s">
        <v>31</v>
      </c>
      <c r="E2680">
        <v>3</v>
      </c>
      <c r="F2680" s="2">
        <v>189.99</v>
      </c>
      <c r="G2680">
        <v>0</v>
      </c>
      <c r="H2680" s="2">
        <v>189.99</v>
      </c>
      <c r="I2680" s="2">
        <v>569.97</v>
      </c>
      <c r="J2680" t="s">
        <v>62</v>
      </c>
      <c r="K2680" t="s">
        <v>52</v>
      </c>
      <c r="L2680" t="s">
        <v>28</v>
      </c>
      <c r="M2680" t="s">
        <v>58</v>
      </c>
      <c r="N2680" t="s">
        <v>59</v>
      </c>
      <c r="O2680" t="s">
        <v>24</v>
      </c>
      <c r="Q2680" s="2">
        <f>Ventas[[#This Row],[precio_base]]*Ventas[[#This Row],[cantidad]]</f>
        <v>569.97</v>
      </c>
      <c r="R2680" s="2">
        <f>Ventas[[#This Row],[Total bruto (antes de descuento)]]-Ventas[[#This Row],[total_venta]]</f>
        <v>0</v>
      </c>
    </row>
    <row r="2681" spans="1:18" x14ac:dyDescent="0.25">
      <c r="A2681" t="s">
        <v>2774</v>
      </c>
      <c r="B2681" s="1">
        <v>45258</v>
      </c>
      <c r="C2681" t="s">
        <v>78</v>
      </c>
      <c r="D2681" t="s">
        <v>18</v>
      </c>
      <c r="E2681">
        <v>1</v>
      </c>
      <c r="F2681" s="2">
        <v>349.99</v>
      </c>
      <c r="G2681">
        <v>15</v>
      </c>
      <c r="H2681" s="2">
        <v>297.49</v>
      </c>
      <c r="I2681" s="2">
        <v>297.49</v>
      </c>
      <c r="J2681" t="s">
        <v>19</v>
      </c>
      <c r="K2681" t="s">
        <v>20</v>
      </c>
      <c r="L2681" t="s">
        <v>45</v>
      </c>
      <c r="M2681" t="s">
        <v>39</v>
      </c>
      <c r="N2681" t="s">
        <v>40</v>
      </c>
      <c r="O2681" t="s">
        <v>35</v>
      </c>
      <c r="P2681">
        <v>1</v>
      </c>
      <c r="Q2681" s="2">
        <f>Ventas[[#This Row],[precio_base]]*Ventas[[#This Row],[cantidad]]</f>
        <v>349.99</v>
      </c>
      <c r="R2681" s="2">
        <f>Ventas[[#This Row],[Total bruto (antes de descuento)]]-Ventas[[#This Row],[total_venta]]</f>
        <v>52.5</v>
      </c>
    </row>
    <row r="2682" spans="1:18" x14ac:dyDescent="0.25">
      <c r="A2682" t="s">
        <v>2775</v>
      </c>
      <c r="B2682" s="1">
        <v>45447</v>
      </c>
      <c r="C2682" t="s">
        <v>70</v>
      </c>
      <c r="D2682" t="s">
        <v>31</v>
      </c>
      <c r="E2682">
        <v>3</v>
      </c>
      <c r="F2682" s="2">
        <v>59.99</v>
      </c>
      <c r="G2682">
        <v>15</v>
      </c>
      <c r="H2682" s="2">
        <v>50.99</v>
      </c>
      <c r="I2682" s="2">
        <v>152.97</v>
      </c>
      <c r="J2682" t="s">
        <v>19</v>
      </c>
      <c r="K2682" t="s">
        <v>52</v>
      </c>
      <c r="L2682" t="s">
        <v>45</v>
      </c>
      <c r="M2682" t="s">
        <v>33</v>
      </c>
      <c r="N2682" t="s">
        <v>34</v>
      </c>
      <c r="O2682" t="s">
        <v>35</v>
      </c>
      <c r="P2682">
        <v>3</v>
      </c>
      <c r="Q2682" s="2">
        <f>Ventas[[#This Row],[precio_base]]*Ventas[[#This Row],[cantidad]]</f>
        <v>179.97</v>
      </c>
      <c r="R2682" s="2">
        <f>Ventas[[#This Row],[Total bruto (antes de descuento)]]-Ventas[[#This Row],[total_venta]]</f>
        <v>27</v>
      </c>
    </row>
    <row r="2683" spans="1:18" x14ac:dyDescent="0.25">
      <c r="A2683" t="s">
        <v>2776</v>
      </c>
      <c r="B2683" s="1">
        <v>45322</v>
      </c>
      <c r="C2683" t="s">
        <v>56</v>
      </c>
      <c r="D2683" t="s">
        <v>18</v>
      </c>
      <c r="E2683">
        <v>3</v>
      </c>
      <c r="F2683" s="2">
        <v>89.99</v>
      </c>
      <c r="G2683">
        <v>15</v>
      </c>
      <c r="H2683" s="2">
        <v>76.489999999999995</v>
      </c>
      <c r="I2683" s="2">
        <v>229.47</v>
      </c>
      <c r="J2683" t="s">
        <v>19</v>
      </c>
      <c r="K2683" t="s">
        <v>20</v>
      </c>
      <c r="L2683" t="s">
        <v>21</v>
      </c>
      <c r="M2683" t="s">
        <v>101</v>
      </c>
      <c r="N2683" t="s">
        <v>102</v>
      </c>
      <c r="O2683" t="s">
        <v>35</v>
      </c>
      <c r="P2683">
        <v>5</v>
      </c>
      <c r="Q2683" s="2">
        <f>Ventas[[#This Row],[precio_base]]*Ventas[[#This Row],[cantidad]]</f>
        <v>269.96999999999997</v>
      </c>
      <c r="R2683" s="2">
        <f>Ventas[[#This Row],[Total bruto (antes de descuento)]]-Ventas[[#This Row],[total_venta]]</f>
        <v>40.499999999999972</v>
      </c>
    </row>
    <row r="2684" spans="1:18" x14ac:dyDescent="0.25">
      <c r="A2684" t="s">
        <v>2777</v>
      </c>
      <c r="B2684" s="1">
        <v>45001</v>
      </c>
      <c r="C2684" t="s">
        <v>70</v>
      </c>
      <c r="D2684" t="s">
        <v>31</v>
      </c>
      <c r="E2684">
        <v>2</v>
      </c>
      <c r="F2684" s="2">
        <v>59.99</v>
      </c>
      <c r="G2684">
        <v>15</v>
      </c>
      <c r="H2684" s="2">
        <v>50.99</v>
      </c>
      <c r="I2684" s="2">
        <v>101.98</v>
      </c>
      <c r="J2684" t="s">
        <v>51</v>
      </c>
      <c r="K2684" t="s">
        <v>20</v>
      </c>
      <c r="L2684" t="s">
        <v>152</v>
      </c>
      <c r="M2684" t="s">
        <v>123</v>
      </c>
      <c r="N2684" t="s">
        <v>124</v>
      </c>
      <c r="O2684" t="s">
        <v>24</v>
      </c>
      <c r="Q2684" s="2">
        <f>Ventas[[#This Row],[precio_base]]*Ventas[[#This Row],[cantidad]]</f>
        <v>119.98</v>
      </c>
      <c r="R2684" s="2">
        <f>Ventas[[#This Row],[Total bruto (antes de descuento)]]-Ventas[[#This Row],[total_venta]]</f>
        <v>18</v>
      </c>
    </row>
    <row r="2685" spans="1:18" x14ac:dyDescent="0.25">
      <c r="A2685" t="s">
        <v>2778</v>
      </c>
      <c r="B2685" s="1">
        <v>45201</v>
      </c>
      <c r="C2685" t="s">
        <v>56</v>
      </c>
      <c r="D2685" t="s">
        <v>18</v>
      </c>
      <c r="E2685">
        <v>1</v>
      </c>
      <c r="F2685" s="2">
        <v>89.99</v>
      </c>
      <c r="G2685">
        <v>10</v>
      </c>
      <c r="H2685" s="2">
        <v>80.989999999999995</v>
      </c>
      <c r="I2685" s="2">
        <v>80.989999999999995</v>
      </c>
      <c r="J2685" t="s">
        <v>51</v>
      </c>
      <c r="K2685" t="s">
        <v>20</v>
      </c>
      <c r="L2685" t="s">
        <v>45</v>
      </c>
      <c r="M2685" t="s">
        <v>73</v>
      </c>
      <c r="N2685" t="s">
        <v>74</v>
      </c>
      <c r="O2685" t="s">
        <v>35</v>
      </c>
      <c r="Q2685" s="2">
        <f>Ventas[[#This Row],[precio_base]]*Ventas[[#This Row],[cantidad]]</f>
        <v>89.99</v>
      </c>
      <c r="R2685" s="2">
        <f>Ventas[[#This Row],[Total bruto (antes de descuento)]]-Ventas[[#This Row],[total_venta]]</f>
        <v>9</v>
      </c>
    </row>
    <row r="2686" spans="1:18" x14ac:dyDescent="0.25">
      <c r="A2686" t="s">
        <v>2779</v>
      </c>
      <c r="B2686" s="1">
        <v>44944</v>
      </c>
      <c r="C2686" t="s">
        <v>26</v>
      </c>
      <c r="D2686" t="s">
        <v>27</v>
      </c>
      <c r="E2686">
        <v>1</v>
      </c>
      <c r="F2686" s="2">
        <v>399.99</v>
      </c>
      <c r="G2686">
        <v>10</v>
      </c>
      <c r="H2686" s="2">
        <v>359.99</v>
      </c>
      <c r="I2686" s="2">
        <v>359.99</v>
      </c>
      <c r="J2686" t="s">
        <v>51</v>
      </c>
      <c r="K2686" t="s">
        <v>57</v>
      </c>
      <c r="L2686" t="s">
        <v>45</v>
      </c>
      <c r="M2686" t="s">
        <v>33</v>
      </c>
      <c r="N2686" t="s">
        <v>34</v>
      </c>
      <c r="O2686" t="s">
        <v>35</v>
      </c>
      <c r="Q2686" s="2">
        <f>Ventas[[#This Row],[precio_base]]*Ventas[[#This Row],[cantidad]]</f>
        <v>399.99</v>
      </c>
      <c r="R2686" s="2">
        <f>Ventas[[#This Row],[Total bruto (antes de descuento)]]-Ventas[[#This Row],[total_venta]]</f>
        <v>40</v>
      </c>
    </row>
    <row r="2687" spans="1:18" x14ac:dyDescent="0.25">
      <c r="A2687" t="s">
        <v>2780</v>
      </c>
      <c r="B2687" s="1">
        <v>45388</v>
      </c>
      <c r="C2687" t="s">
        <v>50</v>
      </c>
      <c r="D2687" t="s">
        <v>27</v>
      </c>
      <c r="E2687">
        <v>4</v>
      </c>
      <c r="F2687" s="2">
        <v>149.99</v>
      </c>
      <c r="G2687">
        <v>0</v>
      </c>
      <c r="H2687" s="2">
        <v>149.99</v>
      </c>
      <c r="I2687" s="2">
        <v>599.96</v>
      </c>
      <c r="J2687" t="s">
        <v>62</v>
      </c>
      <c r="K2687" t="s">
        <v>44</v>
      </c>
      <c r="L2687" t="s">
        <v>21</v>
      </c>
      <c r="M2687" t="s">
        <v>46</v>
      </c>
      <c r="N2687" t="s">
        <v>47</v>
      </c>
      <c r="O2687" t="s">
        <v>48</v>
      </c>
      <c r="Q2687" s="2">
        <f>Ventas[[#This Row],[precio_base]]*Ventas[[#This Row],[cantidad]]</f>
        <v>599.96</v>
      </c>
      <c r="R2687" s="2">
        <f>Ventas[[#This Row],[Total bruto (antes de descuento)]]-Ventas[[#This Row],[total_venta]]</f>
        <v>0</v>
      </c>
    </row>
    <row r="2688" spans="1:18" x14ac:dyDescent="0.25">
      <c r="A2688" t="s">
        <v>2781</v>
      </c>
      <c r="B2688" s="1">
        <v>45067</v>
      </c>
      <c r="C2688" t="s">
        <v>104</v>
      </c>
      <c r="D2688" t="s">
        <v>18</v>
      </c>
      <c r="E2688">
        <v>3</v>
      </c>
      <c r="F2688" s="2">
        <v>1199.99</v>
      </c>
      <c r="G2688">
        <v>0</v>
      </c>
      <c r="H2688" s="2">
        <v>1199.99</v>
      </c>
      <c r="I2688" s="2">
        <v>3599.97</v>
      </c>
      <c r="J2688" t="s">
        <v>19</v>
      </c>
      <c r="K2688" t="s">
        <v>44</v>
      </c>
      <c r="L2688" t="s">
        <v>21</v>
      </c>
      <c r="M2688" t="s">
        <v>63</v>
      </c>
      <c r="N2688" t="s">
        <v>34</v>
      </c>
      <c r="O2688" t="s">
        <v>24</v>
      </c>
      <c r="P2688">
        <v>4</v>
      </c>
      <c r="Q2688" s="2">
        <f>Ventas[[#This Row],[precio_base]]*Ventas[[#This Row],[cantidad]]</f>
        <v>3599.9700000000003</v>
      </c>
      <c r="R2688" s="2">
        <f>Ventas[[#This Row],[Total bruto (antes de descuento)]]-Ventas[[#This Row],[total_venta]]</f>
        <v>0</v>
      </c>
    </row>
    <row r="2689" spans="1:18" x14ac:dyDescent="0.25">
      <c r="A2689" t="s">
        <v>2782</v>
      </c>
      <c r="B2689" s="1">
        <v>45025</v>
      </c>
      <c r="C2689" t="s">
        <v>78</v>
      </c>
      <c r="D2689" t="s">
        <v>18</v>
      </c>
      <c r="E2689">
        <v>1</v>
      </c>
      <c r="F2689" s="2">
        <v>349.99</v>
      </c>
      <c r="G2689">
        <v>0</v>
      </c>
      <c r="H2689" s="2">
        <v>349.99</v>
      </c>
      <c r="I2689" s="2">
        <v>349.99</v>
      </c>
      <c r="J2689" t="s">
        <v>19</v>
      </c>
      <c r="K2689" t="s">
        <v>44</v>
      </c>
      <c r="L2689" t="s">
        <v>28</v>
      </c>
      <c r="M2689" t="s">
        <v>22</v>
      </c>
      <c r="N2689" t="s">
        <v>23</v>
      </c>
      <c r="O2689" t="s">
        <v>24</v>
      </c>
      <c r="P2689">
        <v>4</v>
      </c>
      <c r="Q2689" s="2">
        <f>Ventas[[#This Row],[precio_base]]*Ventas[[#This Row],[cantidad]]</f>
        <v>349.99</v>
      </c>
      <c r="R2689" s="2">
        <f>Ventas[[#This Row],[Total bruto (antes de descuento)]]-Ventas[[#This Row],[total_venta]]</f>
        <v>0</v>
      </c>
    </row>
    <row r="2690" spans="1:18" x14ac:dyDescent="0.25">
      <c r="A2690" t="s">
        <v>2783</v>
      </c>
      <c r="B2690" s="1">
        <v>45562</v>
      </c>
      <c r="C2690" t="s">
        <v>109</v>
      </c>
      <c r="D2690" t="s">
        <v>38</v>
      </c>
      <c r="E2690">
        <v>4</v>
      </c>
      <c r="F2690" s="2">
        <v>39.99</v>
      </c>
      <c r="G2690">
        <v>10</v>
      </c>
      <c r="H2690" s="2">
        <v>35.99</v>
      </c>
      <c r="I2690" s="2">
        <v>143.96</v>
      </c>
      <c r="J2690" t="s">
        <v>19</v>
      </c>
      <c r="K2690" t="s">
        <v>20</v>
      </c>
      <c r="L2690" t="s">
        <v>45</v>
      </c>
      <c r="M2690" t="s">
        <v>101</v>
      </c>
      <c r="N2690" t="s">
        <v>102</v>
      </c>
      <c r="O2690" t="s">
        <v>35</v>
      </c>
      <c r="P2690">
        <v>5</v>
      </c>
      <c r="Q2690" s="2">
        <f>Ventas[[#This Row],[precio_base]]*Ventas[[#This Row],[cantidad]]</f>
        <v>159.96</v>
      </c>
      <c r="R2690" s="2">
        <f>Ventas[[#This Row],[Total bruto (antes de descuento)]]-Ventas[[#This Row],[total_venta]]</f>
        <v>16</v>
      </c>
    </row>
    <row r="2691" spans="1:18" x14ac:dyDescent="0.25">
      <c r="A2691" t="s">
        <v>2784</v>
      </c>
      <c r="B2691" s="1">
        <v>45412</v>
      </c>
      <c r="C2691" t="s">
        <v>115</v>
      </c>
      <c r="D2691" t="s">
        <v>18</v>
      </c>
      <c r="E2691">
        <v>1</v>
      </c>
      <c r="F2691" s="2">
        <v>799.99</v>
      </c>
      <c r="G2691">
        <v>0</v>
      </c>
      <c r="H2691" s="2">
        <v>799.99</v>
      </c>
      <c r="I2691" s="2">
        <v>799.99</v>
      </c>
      <c r="J2691" t="s">
        <v>19</v>
      </c>
      <c r="K2691" t="s">
        <v>44</v>
      </c>
      <c r="L2691" t="s">
        <v>21</v>
      </c>
      <c r="M2691" t="s">
        <v>53</v>
      </c>
      <c r="N2691" t="s">
        <v>54</v>
      </c>
      <c r="O2691" t="s">
        <v>35</v>
      </c>
      <c r="P2691">
        <v>5</v>
      </c>
      <c r="Q2691" s="2">
        <f>Ventas[[#This Row],[precio_base]]*Ventas[[#This Row],[cantidad]]</f>
        <v>799.99</v>
      </c>
      <c r="R2691" s="2">
        <f>Ventas[[#This Row],[Total bruto (antes de descuento)]]-Ventas[[#This Row],[total_venta]]</f>
        <v>0</v>
      </c>
    </row>
    <row r="2692" spans="1:18" x14ac:dyDescent="0.25">
      <c r="A2692" t="s">
        <v>2785</v>
      </c>
      <c r="B2692" s="1">
        <v>45116</v>
      </c>
      <c r="C2692" t="s">
        <v>78</v>
      </c>
      <c r="D2692" t="s">
        <v>18</v>
      </c>
      <c r="E2692">
        <v>4</v>
      </c>
      <c r="F2692" s="2">
        <v>349.99</v>
      </c>
      <c r="G2692">
        <v>15</v>
      </c>
      <c r="H2692" s="2">
        <v>297.49</v>
      </c>
      <c r="I2692" s="2">
        <v>1189.96</v>
      </c>
      <c r="J2692" t="s">
        <v>19</v>
      </c>
      <c r="K2692" t="s">
        <v>20</v>
      </c>
      <c r="L2692" t="s">
        <v>152</v>
      </c>
      <c r="M2692" t="s">
        <v>39</v>
      </c>
      <c r="N2692" t="s">
        <v>40</v>
      </c>
      <c r="O2692" t="s">
        <v>35</v>
      </c>
      <c r="P2692">
        <v>5</v>
      </c>
      <c r="Q2692" s="2">
        <f>Ventas[[#This Row],[precio_base]]*Ventas[[#This Row],[cantidad]]</f>
        <v>1399.96</v>
      </c>
      <c r="R2692" s="2">
        <f>Ventas[[#This Row],[Total bruto (antes de descuento)]]-Ventas[[#This Row],[total_venta]]</f>
        <v>210</v>
      </c>
    </row>
    <row r="2693" spans="1:18" x14ac:dyDescent="0.25">
      <c r="A2693" t="s">
        <v>2786</v>
      </c>
      <c r="B2693" s="1">
        <v>45470</v>
      </c>
      <c r="C2693" t="s">
        <v>50</v>
      </c>
      <c r="D2693" t="s">
        <v>27</v>
      </c>
      <c r="E2693">
        <v>5</v>
      </c>
      <c r="F2693" s="2">
        <v>149.99</v>
      </c>
      <c r="G2693">
        <v>5</v>
      </c>
      <c r="H2693" s="2">
        <v>142.49</v>
      </c>
      <c r="I2693" s="2">
        <v>712.45</v>
      </c>
      <c r="J2693" t="s">
        <v>51</v>
      </c>
      <c r="K2693" t="s">
        <v>20</v>
      </c>
      <c r="L2693" t="s">
        <v>32</v>
      </c>
      <c r="M2693" t="s">
        <v>120</v>
      </c>
      <c r="N2693" t="s">
        <v>23</v>
      </c>
      <c r="O2693" t="s">
        <v>24</v>
      </c>
      <c r="Q2693" s="2">
        <f>Ventas[[#This Row],[precio_base]]*Ventas[[#This Row],[cantidad]]</f>
        <v>749.95</v>
      </c>
      <c r="R2693" s="2">
        <f>Ventas[[#This Row],[Total bruto (antes de descuento)]]-Ventas[[#This Row],[total_venta]]</f>
        <v>37.5</v>
      </c>
    </row>
    <row r="2694" spans="1:18" x14ac:dyDescent="0.25">
      <c r="A2694" t="s">
        <v>2787</v>
      </c>
      <c r="B2694" s="1">
        <v>45139</v>
      </c>
      <c r="C2694" t="s">
        <v>72</v>
      </c>
      <c r="D2694" t="s">
        <v>31</v>
      </c>
      <c r="E2694">
        <v>5</v>
      </c>
      <c r="F2694" s="2">
        <v>29.99</v>
      </c>
      <c r="G2694">
        <v>15</v>
      </c>
      <c r="H2694" s="2">
        <v>25.49</v>
      </c>
      <c r="I2694" s="2">
        <v>127.45</v>
      </c>
      <c r="J2694" t="s">
        <v>51</v>
      </c>
      <c r="K2694" t="s">
        <v>20</v>
      </c>
      <c r="L2694" t="s">
        <v>21</v>
      </c>
      <c r="M2694" t="s">
        <v>22</v>
      </c>
      <c r="N2694" t="s">
        <v>23</v>
      </c>
      <c r="O2694" t="s">
        <v>24</v>
      </c>
      <c r="Q2694" s="2">
        <f>Ventas[[#This Row],[precio_base]]*Ventas[[#This Row],[cantidad]]</f>
        <v>149.94999999999999</v>
      </c>
      <c r="R2694" s="2">
        <f>Ventas[[#This Row],[Total bruto (antes de descuento)]]-Ventas[[#This Row],[total_venta]]</f>
        <v>22.499999999999986</v>
      </c>
    </row>
    <row r="2695" spans="1:18" x14ac:dyDescent="0.25">
      <c r="A2695" t="s">
        <v>2788</v>
      </c>
      <c r="B2695" s="1">
        <v>45318</v>
      </c>
      <c r="C2695" t="s">
        <v>141</v>
      </c>
      <c r="D2695" t="s">
        <v>38</v>
      </c>
      <c r="E2695">
        <v>3</v>
      </c>
      <c r="F2695" s="2">
        <v>89.99</v>
      </c>
      <c r="G2695">
        <v>0</v>
      </c>
      <c r="H2695" s="2">
        <v>89.99</v>
      </c>
      <c r="I2695" s="2">
        <v>269.97000000000003</v>
      </c>
      <c r="J2695" t="s">
        <v>19</v>
      </c>
      <c r="K2695" t="s">
        <v>44</v>
      </c>
      <c r="L2695" t="s">
        <v>28</v>
      </c>
      <c r="M2695" t="s">
        <v>65</v>
      </c>
      <c r="N2695" t="s">
        <v>54</v>
      </c>
      <c r="O2695" t="s">
        <v>35</v>
      </c>
      <c r="P2695">
        <v>3</v>
      </c>
      <c r="Q2695" s="2">
        <f>Ventas[[#This Row],[precio_base]]*Ventas[[#This Row],[cantidad]]</f>
        <v>269.96999999999997</v>
      </c>
      <c r="R2695" s="2">
        <f>Ventas[[#This Row],[Total bruto (antes de descuento)]]-Ventas[[#This Row],[total_venta]]</f>
        <v>0</v>
      </c>
    </row>
    <row r="2696" spans="1:18" x14ac:dyDescent="0.25">
      <c r="A2696" t="s">
        <v>2789</v>
      </c>
      <c r="B2696" s="1">
        <v>45113</v>
      </c>
      <c r="C2696" t="s">
        <v>163</v>
      </c>
      <c r="D2696" t="s">
        <v>18</v>
      </c>
      <c r="E2696">
        <v>1</v>
      </c>
      <c r="F2696" s="2">
        <v>499.99</v>
      </c>
      <c r="G2696">
        <v>0</v>
      </c>
      <c r="H2696" s="2">
        <v>499.99</v>
      </c>
      <c r="I2696" s="2">
        <v>499.99</v>
      </c>
      <c r="J2696" t="s">
        <v>19</v>
      </c>
      <c r="K2696" t="s">
        <v>44</v>
      </c>
      <c r="L2696" t="s">
        <v>45</v>
      </c>
      <c r="M2696" t="s">
        <v>95</v>
      </c>
      <c r="N2696" t="s">
        <v>96</v>
      </c>
      <c r="O2696" t="s">
        <v>48</v>
      </c>
      <c r="P2696">
        <v>1</v>
      </c>
      <c r="Q2696" s="2">
        <f>Ventas[[#This Row],[precio_base]]*Ventas[[#This Row],[cantidad]]</f>
        <v>499.99</v>
      </c>
      <c r="R2696" s="2">
        <f>Ventas[[#This Row],[Total bruto (antes de descuento)]]-Ventas[[#This Row],[total_venta]]</f>
        <v>0</v>
      </c>
    </row>
    <row r="2697" spans="1:18" x14ac:dyDescent="0.25">
      <c r="A2697" t="s">
        <v>2790</v>
      </c>
      <c r="B2697" s="1">
        <v>45284</v>
      </c>
      <c r="C2697" t="s">
        <v>92</v>
      </c>
      <c r="D2697" t="s">
        <v>27</v>
      </c>
      <c r="E2697">
        <v>4</v>
      </c>
      <c r="F2697" s="2">
        <v>79.989999999999995</v>
      </c>
      <c r="G2697">
        <v>0</v>
      </c>
      <c r="H2697" s="2">
        <v>79.989999999999995</v>
      </c>
      <c r="I2697" s="2">
        <v>319.95999999999998</v>
      </c>
      <c r="J2697" t="s">
        <v>116</v>
      </c>
      <c r="K2697" t="s">
        <v>44</v>
      </c>
      <c r="L2697" t="s">
        <v>28</v>
      </c>
      <c r="M2697" t="s">
        <v>33</v>
      </c>
      <c r="N2697" t="s">
        <v>34</v>
      </c>
      <c r="O2697" t="s">
        <v>35</v>
      </c>
      <c r="Q2697" s="2">
        <f>Ventas[[#This Row],[precio_base]]*Ventas[[#This Row],[cantidad]]</f>
        <v>319.95999999999998</v>
      </c>
      <c r="R2697" s="2">
        <f>Ventas[[#This Row],[Total bruto (antes de descuento)]]-Ventas[[#This Row],[total_venta]]</f>
        <v>0</v>
      </c>
    </row>
    <row r="2698" spans="1:18" x14ac:dyDescent="0.25">
      <c r="A2698" t="s">
        <v>2791</v>
      </c>
      <c r="B2698" s="1">
        <v>45217</v>
      </c>
      <c r="C2698" t="s">
        <v>92</v>
      </c>
      <c r="D2698" t="s">
        <v>27</v>
      </c>
      <c r="E2698">
        <v>1</v>
      </c>
      <c r="F2698" s="2">
        <v>79.989999999999995</v>
      </c>
      <c r="G2698">
        <v>15</v>
      </c>
      <c r="H2698" s="2">
        <v>67.989999999999995</v>
      </c>
      <c r="I2698" s="2">
        <v>67.989999999999995</v>
      </c>
      <c r="J2698" t="s">
        <v>19</v>
      </c>
      <c r="K2698" t="s">
        <v>20</v>
      </c>
      <c r="L2698" t="s">
        <v>45</v>
      </c>
      <c r="M2698" t="s">
        <v>63</v>
      </c>
      <c r="N2698" t="s">
        <v>34</v>
      </c>
      <c r="O2698" t="s">
        <v>24</v>
      </c>
      <c r="P2698">
        <v>4</v>
      </c>
      <c r="Q2698" s="2">
        <f>Ventas[[#This Row],[precio_base]]*Ventas[[#This Row],[cantidad]]</f>
        <v>79.989999999999995</v>
      </c>
      <c r="R2698" s="2">
        <f>Ventas[[#This Row],[Total bruto (antes de descuento)]]-Ventas[[#This Row],[total_venta]]</f>
        <v>12</v>
      </c>
    </row>
    <row r="2699" spans="1:18" x14ac:dyDescent="0.25">
      <c r="A2699" t="s">
        <v>2792</v>
      </c>
      <c r="B2699" s="1">
        <v>45240</v>
      </c>
      <c r="C2699" t="s">
        <v>83</v>
      </c>
      <c r="D2699" t="s">
        <v>38</v>
      </c>
      <c r="E2699">
        <v>5</v>
      </c>
      <c r="F2699" s="2">
        <v>49.99</v>
      </c>
      <c r="G2699">
        <v>15</v>
      </c>
      <c r="H2699" s="2">
        <v>42.49</v>
      </c>
      <c r="I2699" s="2">
        <v>212.45</v>
      </c>
      <c r="J2699" t="s">
        <v>51</v>
      </c>
      <c r="K2699" t="s">
        <v>20</v>
      </c>
      <c r="L2699" t="s">
        <v>45</v>
      </c>
      <c r="M2699" t="s">
        <v>101</v>
      </c>
      <c r="N2699" t="s">
        <v>102</v>
      </c>
      <c r="O2699" t="s">
        <v>35</v>
      </c>
      <c r="Q2699" s="2">
        <f>Ventas[[#This Row],[precio_base]]*Ventas[[#This Row],[cantidad]]</f>
        <v>249.95000000000002</v>
      </c>
      <c r="R2699" s="2">
        <f>Ventas[[#This Row],[Total bruto (antes de descuento)]]-Ventas[[#This Row],[total_venta]]</f>
        <v>37.500000000000028</v>
      </c>
    </row>
    <row r="2700" spans="1:18" x14ac:dyDescent="0.25">
      <c r="A2700" t="s">
        <v>2793</v>
      </c>
      <c r="B2700" s="1">
        <v>45534</v>
      </c>
      <c r="C2700" t="s">
        <v>151</v>
      </c>
      <c r="D2700" t="s">
        <v>27</v>
      </c>
      <c r="E2700">
        <v>3</v>
      </c>
      <c r="F2700" s="2">
        <v>599.99</v>
      </c>
      <c r="G2700">
        <v>0</v>
      </c>
      <c r="H2700" s="2">
        <v>599.99</v>
      </c>
      <c r="I2700" s="2">
        <v>1799.97</v>
      </c>
      <c r="J2700" t="s">
        <v>19</v>
      </c>
      <c r="K2700" t="s">
        <v>20</v>
      </c>
      <c r="L2700" t="s">
        <v>21</v>
      </c>
      <c r="M2700" t="s">
        <v>22</v>
      </c>
      <c r="N2700" t="s">
        <v>23</v>
      </c>
      <c r="O2700" t="s">
        <v>24</v>
      </c>
      <c r="P2700">
        <v>1</v>
      </c>
      <c r="Q2700" s="2">
        <f>Ventas[[#This Row],[precio_base]]*Ventas[[#This Row],[cantidad]]</f>
        <v>1799.97</v>
      </c>
      <c r="R2700" s="2">
        <f>Ventas[[#This Row],[Total bruto (antes de descuento)]]-Ventas[[#This Row],[total_venta]]</f>
        <v>0</v>
      </c>
    </row>
    <row r="2701" spans="1:18" x14ac:dyDescent="0.25">
      <c r="A2701" t="s">
        <v>2794</v>
      </c>
      <c r="B2701" s="1">
        <v>45190</v>
      </c>
      <c r="C2701" t="s">
        <v>42</v>
      </c>
      <c r="D2701" t="s">
        <v>43</v>
      </c>
      <c r="E2701">
        <v>3</v>
      </c>
      <c r="F2701" s="2">
        <v>349.99</v>
      </c>
      <c r="G2701">
        <v>0</v>
      </c>
      <c r="H2701" s="2">
        <v>349.99</v>
      </c>
      <c r="I2701" s="2">
        <v>1049.97</v>
      </c>
      <c r="J2701" t="s">
        <v>19</v>
      </c>
      <c r="K2701" t="s">
        <v>20</v>
      </c>
      <c r="L2701" t="s">
        <v>28</v>
      </c>
      <c r="M2701" t="s">
        <v>22</v>
      </c>
      <c r="N2701" t="s">
        <v>23</v>
      </c>
      <c r="O2701" t="s">
        <v>24</v>
      </c>
      <c r="P2701">
        <v>4</v>
      </c>
      <c r="Q2701" s="2">
        <f>Ventas[[#This Row],[precio_base]]*Ventas[[#This Row],[cantidad]]</f>
        <v>1049.97</v>
      </c>
      <c r="R2701" s="2">
        <f>Ventas[[#This Row],[Total bruto (antes de descuento)]]-Ventas[[#This Row],[total_venta]]</f>
        <v>0</v>
      </c>
    </row>
    <row r="2702" spans="1:18" x14ac:dyDescent="0.25">
      <c r="A2702" t="s">
        <v>2795</v>
      </c>
      <c r="B2702" s="1">
        <v>45130</v>
      </c>
      <c r="C2702" t="s">
        <v>94</v>
      </c>
      <c r="D2702" t="s">
        <v>18</v>
      </c>
      <c r="E2702">
        <v>5</v>
      </c>
      <c r="F2702" s="2">
        <v>899.99</v>
      </c>
      <c r="G2702">
        <v>15</v>
      </c>
      <c r="H2702" s="2">
        <v>764.99</v>
      </c>
      <c r="I2702" s="2">
        <v>3824.95</v>
      </c>
      <c r="J2702" t="s">
        <v>19</v>
      </c>
      <c r="K2702" t="s">
        <v>44</v>
      </c>
      <c r="L2702" t="s">
        <v>28</v>
      </c>
      <c r="M2702" t="s">
        <v>58</v>
      </c>
      <c r="N2702" t="s">
        <v>59</v>
      </c>
      <c r="O2702" t="s">
        <v>24</v>
      </c>
      <c r="P2702">
        <v>4</v>
      </c>
      <c r="Q2702" s="2">
        <f>Ventas[[#This Row],[precio_base]]*Ventas[[#This Row],[cantidad]]</f>
        <v>4499.95</v>
      </c>
      <c r="R2702" s="2">
        <f>Ventas[[#This Row],[Total bruto (antes de descuento)]]-Ventas[[#This Row],[total_venta]]</f>
        <v>675</v>
      </c>
    </row>
    <row r="2703" spans="1:18" x14ac:dyDescent="0.25">
      <c r="A2703" t="s">
        <v>2796</v>
      </c>
      <c r="B2703" s="1">
        <v>45378</v>
      </c>
      <c r="C2703" t="s">
        <v>56</v>
      </c>
      <c r="D2703" t="s">
        <v>18</v>
      </c>
      <c r="E2703">
        <v>1</v>
      </c>
      <c r="F2703" s="2">
        <v>89.99</v>
      </c>
      <c r="G2703">
        <v>15</v>
      </c>
      <c r="H2703" s="2">
        <v>76.489999999999995</v>
      </c>
      <c r="I2703" s="2">
        <v>76.489999999999995</v>
      </c>
      <c r="J2703" t="s">
        <v>19</v>
      </c>
      <c r="K2703" t="s">
        <v>20</v>
      </c>
      <c r="L2703" t="s">
        <v>28</v>
      </c>
      <c r="M2703" t="s">
        <v>123</v>
      </c>
      <c r="N2703" t="s">
        <v>124</v>
      </c>
      <c r="O2703" t="s">
        <v>24</v>
      </c>
      <c r="P2703">
        <v>2</v>
      </c>
      <c r="Q2703" s="2">
        <f>Ventas[[#This Row],[precio_base]]*Ventas[[#This Row],[cantidad]]</f>
        <v>89.99</v>
      </c>
      <c r="R2703" s="2">
        <f>Ventas[[#This Row],[Total bruto (antes de descuento)]]-Ventas[[#This Row],[total_venta]]</f>
        <v>13.5</v>
      </c>
    </row>
    <row r="2704" spans="1:18" x14ac:dyDescent="0.25">
      <c r="A2704" t="s">
        <v>2797</v>
      </c>
      <c r="B2704" s="1">
        <v>45255</v>
      </c>
      <c r="C2704" t="s">
        <v>115</v>
      </c>
      <c r="D2704" t="s">
        <v>18</v>
      </c>
      <c r="E2704">
        <v>1</v>
      </c>
      <c r="F2704" s="2">
        <v>799.99</v>
      </c>
      <c r="G2704">
        <v>15</v>
      </c>
      <c r="H2704" s="2">
        <v>679.99</v>
      </c>
      <c r="I2704" s="2">
        <v>679.99</v>
      </c>
      <c r="J2704" t="s">
        <v>19</v>
      </c>
      <c r="K2704" t="s">
        <v>44</v>
      </c>
      <c r="L2704" t="s">
        <v>21</v>
      </c>
      <c r="M2704" t="s">
        <v>101</v>
      </c>
      <c r="N2704" t="s">
        <v>102</v>
      </c>
      <c r="O2704" t="s">
        <v>35</v>
      </c>
      <c r="P2704">
        <v>3</v>
      </c>
      <c r="Q2704" s="2">
        <f>Ventas[[#This Row],[precio_base]]*Ventas[[#This Row],[cantidad]]</f>
        <v>799.99</v>
      </c>
      <c r="R2704" s="2">
        <f>Ventas[[#This Row],[Total bruto (antes de descuento)]]-Ventas[[#This Row],[total_venta]]</f>
        <v>120</v>
      </c>
    </row>
    <row r="2705" spans="1:18" x14ac:dyDescent="0.25">
      <c r="A2705" t="s">
        <v>2798</v>
      </c>
      <c r="B2705" s="1">
        <v>45039</v>
      </c>
      <c r="C2705" t="s">
        <v>205</v>
      </c>
      <c r="D2705" t="s">
        <v>18</v>
      </c>
      <c r="E2705">
        <v>5</v>
      </c>
      <c r="F2705" s="2">
        <v>129.99</v>
      </c>
      <c r="G2705">
        <v>0</v>
      </c>
      <c r="H2705" s="2">
        <v>129.99</v>
      </c>
      <c r="I2705" s="2">
        <v>649.95000000000005</v>
      </c>
      <c r="J2705" t="s">
        <v>19</v>
      </c>
      <c r="K2705" t="s">
        <v>20</v>
      </c>
      <c r="L2705" t="s">
        <v>21</v>
      </c>
      <c r="M2705" t="s">
        <v>73</v>
      </c>
      <c r="N2705" t="s">
        <v>74</v>
      </c>
      <c r="O2705" t="s">
        <v>35</v>
      </c>
      <c r="P2705">
        <v>1</v>
      </c>
      <c r="Q2705" s="2">
        <f>Ventas[[#This Row],[precio_base]]*Ventas[[#This Row],[cantidad]]</f>
        <v>649.95000000000005</v>
      </c>
      <c r="R2705" s="2">
        <f>Ventas[[#This Row],[Total bruto (antes de descuento)]]-Ventas[[#This Row],[total_venta]]</f>
        <v>0</v>
      </c>
    </row>
    <row r="2706" spans="1:18" x14ac:dyDescent="0.25">
      <c r="A2706" t="s">
        <v>2799</v>
      </c>
      <c r="B2706" s="1">
        <v>45248</v>
      </c>
      <c r="C2706" t="s">
        <v>156</v>
      </c>
      <c r="D2706" t="s">
        <v>27</v>
      </c>
      <c r="E2706">
        <v>3</v>
      </c>
      <c r="F2706" s="2">
        <v>49.99</v>
      </c>
      <c r="G2706">
        <v>10</v>
      </c>
      <c r="H2706" s="2">
        <v>44.99</v>
      </c>
      <c r="I2706" s="2">
        <v>134.97</v>
      </c>
      <c r="J2706" t="s">
        <v>51</v>
      </c>
      <c r="K2706" t="s">
        <v>52</v>
      </c>
      <c r="L2706" t="s">
        <v>28</v>
      </c>
      <c r="M2706" t="s">
        <v>65</v>
      </c>
      <c r="N2706" t="s">
        <v>54</v>
      </c>
      <c r="O2706" t="s">
        <v>35</v>
      </c>
      <c r="Q2706" s="2">
        <f>Ventas[[#This Row],[precio_base]]*Ventas[[#This Row],[cantidad]]</f>
        <v>149.97</v>
      </c>
      <c r="R2706" s="2">
        <f>Ventas[[#This Row],[Total bruto (antes de descuento)]]-Ventas[[#This Row],[total_venta]]</f>
        <v>15</v>
      </c>
    </row>
    <row r="2707" spans="1:18" x14ac:dyDescent="0.25">
      <c r="A2707" t="s">
        <v>2800</v>
      </c>
      <c r="B2707" s="1">
        <v>45553</v>
      </c>
      <c r="C2707" t="s">
        <v>109</v>
      </c>
      <c r="D2707" t="s">
        <v>38</v>
      </c>
      <c r="E2707">
        <v>3</v>
      </c>
      <c r="F2707" s="2">
        <v>39.99</v>
      </c>
      <c r="G2707">
        <v>0</v>
      </c>
      <c r="H2707" s="2">
        <v>39.99</v>
      </c>
      <c r="I2707" s="2">
        <v>119.97</v>
      </c>
      <c r="J2707" t="s">
        <v>19</v>
      </c>
      <c r="K2707" t="s">
        <v>20</v>
      </c>
      <c r="L2707" t="s">
        <v>152</v>
      </c>
      <c r="M2707" t="s">
        <v>120</v>
      </c>
      <c r="N2707" t="s">
        <v>23</v>
      </c>
      <c r="O2707" t="s">
        <v>24</v>
      </c>
      <c r="P2707">
        <v>3</v>
      </c>
      <c r="Q2707" s="2">
        <f>Ventas[[#This Row],[precio_base]]*Ventas[[#This Row],[cantidad]]</f>
        <v>119.97</v>
      </c>
      <c r="R2707" s="2">
        <f>Ventas[[#This Row],[Total bruto (antes de descuento)]]-Ventas[[#This Row],[total_venta]]</f>
        <v>0</v>
      </c>
    </row>
    <row r="2708" spans="1:18" x14ac:dyDescent="0.25">
      <c r="A2708" t="s">
        <v>2801</v>
      </c>
      <c r="B2708" s="1">
        <v>45226</v>
      </c>
      <c r="C2708" t="s">
        <v>76</v>
      </c>
      <c r="D2708" t="s">
        <v>31</v>
      </c>
      <c r="E2708">
        <v>2</v>
      </c>
      <c r="F2708" s="2">
        <v>69.989999999999995</v>
      </c>
      <c r="G2708">
        <v>0</v>
      </c>
      <c r="H2708" s="2">
        <v>69.989999999999995</v>
      </c>
      <c r="I2708" s="2">
        <v>139.97999999999999</v>
      </c>
      <c r="J2708" t="s">
        <v>51</v>
      </c>
      <c r="K2708" t="s">
        <v>20</v>
      </c>
      <c r="L2708" t="s">
        <v>32</v>
      </c>
      <c r="M2708" t="s">
        <v>39</v>
      </c>
      <c r="N2708" t="s">
        <v>40</v>
      </c>
      <c r="O2708" t="s">
        <v>35</v>
      </c>
      <c r="Q2708" s="2">
        <f>Ventas[[#This Row],[precio_base]]*Ventas[[#This Row],[cantidad]]</f>
        <v>139.97999999999999</v>
      </c>
      <c r="R2708" s="2">
        <f>Ventas[[#This Row],[Total bruto (antes de descuento)]]-Ventas[[#This Row],[total_venta]]</f>
        <v>0</v>
      </c>
    </row>
    <row r="2709" spans="1:18" x14ac:dyDescent="0.25">
      <c r="A2709" t="s">
        <v>2802</v>
      </c>
      <c r="B2709" s="1">
        <v>45553</v>
      </c>
      <c r="C2709" t="s">
        <v>17</v>
      </c>
      <c r="D2709" t="s">
        <v>18</v>
      </c>
      <c r="E2709">
        <v>4</v>
      </c>
      <c r="F2709" s="2">
        <v>45.99</v>
      </c>
      <c r="G2709">
        <v>10</v>
      </c>
      <c r="H2709" s="2">
        <v>41.39</v>
      </c>
      <c r="I2709" s="2">
        <v>165.56</v>
      </c>
      <c r="J2709" t="s">
        <v>90</v>
      </c>
      <c r="K2709" t="s">
        <v>20</v>
      </c>
      <c r="L2709" t="s">
        <v>28</v>
      </c>
      <c r="M2709" t="s">
        <v>33</v>
      </c>
      <c r="N2709" t="s">
        <v>34</v>
      </c>
      <c r="O2709" t="s">
        <v>35</v>
      </c>
      <c r="Q2709" s="2">
        <f>Ventas[[#This Row],[precio_base]]*Ventas[[#This Row],[cantidad]]</f>
        <v>183.96</v>
      </c>
      <c r="R2709" s="2">
        <f>Ventas[[#This Row],[Total bruto (antes de descuento)]]-Ventas[[#This Row],[total_venta]]</f>
        <v>18.400000000000006</v>
      </c>
    </row>
    <row r="2710" spans="1:18" x14ac:dyDescent="0.25">
      <c r="A2710" t="s">
        <v>2803</v>
      </c>
      <c r="B2710" s="1">
        <v>45649</v>
      </c>
      <c r="C2710" t="s">
        <v>42</v>
      </c>
      <c r="D2710" t="s">
        <v>43</v>
      </c>
      <c r="E2710">
        <v>3</v>
      </c>
      <c r="F2710" s="2">
        <v>349.99</v>
      </c>
      <c r="G2710">
        <v>0</v>
      </c>
      <c r="H2710" s="2">
        <v>349.99</v>
      </c>
      <c r="I2710" s="2">
        <v>1049.97</v>
      </c>
      <c r="J2710" t="s">
        <v>19</v>
      </c>
      <c r="K2710" t="s">
        <v>20</v>
      </c>
      <c r="L2710" t="s">
        <v>32</v>
      </c>
      <c r="M2710" t="s">
        <v>58</v>
      </c>
      <c r="N2710" t="s">
        <v>59</v>
      </c>
      <c r="O2710" t="s">
        <v>24</v>
      </c>
      <c r="P2710">
        <v>4</v>
      </c>
      <c r="Q2710" s="2">
        <f>Ventas[[#This Row],[precio_base]]*Ventas[[#This Row],[cantidad]]</f>
        <v>1049.97</v>
      </c>
      <c r="R2710" s="2">
        <f>Ventas[[#This Row],[Total bruto (antes de descuento)]]-Ventas[[#This Row],[total_venta]]</f>
        <v>0</v>
      </c>
    </row>
    <row r="2711" spans="1:18" x14ac:dyDescent="0.25">
      <c r="A2711" t="s">
        <v>2804</v>
      </c>
      <c r="B2711" s="1">
        <v>45197</v>
      </c>
      <c r="C2711" t="s">
        <v>104</v>
      </c>
      <c r="D2711" t="s">
        <v>18</v>
      </c>
      <c r="E2711">
        <v>5</v>
      </c>
      <c r="F2711" s="2">
        <v>1199.99</v>
      </c>
      <c r="G2711">
        <v>20</v>
      </c>
      <c r="H2711" s="2">
        <v>959.99</v>
      </c>
      <c r="I2711" s="2">
        <v>4799.95</v>
      </c>
      <c r="J2711" t="s">
        <v>51</v>
      </c>
      <c r="K2711" t="s">
        <v>44</v>
      </c>
      <c r="L2711" t="s">
        <v>21</v>
      </c>
      <c r="M2711" t="s">
        <v>73</v>
      </c>
      <c r="N2711" t="s">
        <v>74</v>
      </c>
      <c r="O2711" t="s">
        <v>35</v>
      </c>
      <c r="Q2711" s="2">
        <f>Ventas[[#This Row],[precio_base]]*Ventas[[#This Row],[cantidad]]</f>
        <v>5999.95</v>
      </c>
      <c r="R2711" s="2">
        <f>Ventas[[#This Row],[Total bruto (antes de descuento)]]-Ventas[[#This Row],[total_venta]]</f>
        <v>1200</v>
      </c>
    </row>
    <row r="2712" spans="1:18" x14ac:dyDescent="0.25">
      <c r="A2712" t="s">
        <v>2805</v>
      </c>
      <c r="B2712" s="1">
        <v>45156</v>
      </c>
      <c r="C2712" t="s">
        <v>94</v>
      </c>
      <c r="D2712" t="s">
        <v>18</v>
      </c>
      <c r="E2712">
        <v>5</v>
      </c>
      <c r="F2712" s="2">
        <v>899.99</v>
      </c>
      <c r="G2712">
        <v>0</v>
      </c>
      <c r="H2712" s="2">
        <v>899.99</v>
      </c>
      <c r="I2712" s="2">
        <v>4499.95</v>
      </c>
      <c r="J2712" t="s">
        <v>19</v>
      </c>
      <c r="K2712" t="s">
        <v>44</v>
      </c>
      <c r="L2712" t="s">
        <v>45</v>
      </c>
      <c r="M2712" t="s">
        <v>63</v>
      </c>
      <c r="N2712" t="s">
        <v>34</v>
      </c>
      <c r="O2712" t="s">
        <v>24</v>
      </c>
      <c r="P2712">
        <v>2</v>
      </c>
      <c r="Q2712" s="2">
        <f>Ventas[[#This Row],[precio_base]]*Ventas[[#This Row],[cantidad]]</f>
        <v>4499.95</v>
      </c>
      <c r="R2712" s="2">
        <f>Ventas[[#This Row],[Total bruto (antes de descuento)]]-Ventas[[#This Row],[total_venta]]</f>
        <v>0</v>
      </c>
    </row>
    <row r="2713" spans="1:18" x14ac:dyDescent="0.25">
      <c r="A2713" t="s">
        <v>2806</v>
      </c>
      <c r="B2713" s="1">
        <v>45516</v>
      </c>
      <c r="C2713" t="s">
        <v>81</v>
      </c>
      <c r="D2713" t="s">
        <v>31</v>
      </c>
      <c r="E2713">
        <v>5</v>
      </c>
      <c r="F2713" s="2">
        <v>189.99</v>
      </c>
      <c r="G2713">
        <v>15</v>
      </c>
      <c r="H2713" s="2">
        <v>161.49</v>
      </c>
      <c r="I2713" s="2">
        <v>807.45</v>
      </c>
      <c r="J2713" t="s">
        <v>51</v>
      </c>
      <c r="K2713" t="s">
        <v>44</v>
      </c>
      <c r="L2713" t="s">
        <v>152</v>
      </c>
      <c r="M2713" t="s">
        <v>65</v>
      </c>
      <c r="N2713" t="s">
        <v>54</v>
      </c>
      <c r="O2713" t="s">
        <v>35</v>
      </c>
      <c r="Q2713" s="2">
        <f>Ventas[[#This Row],[precio_base]]*Ventas[[#This Row],[cantidad]]</f>
        <v>949.95</v>
      </c>
      <c r="R2713" s="2">
        <f>Ventas[[#This Row],[Total bruto (antes de descuento)]]-Ventas[[#This Row],[total_venta]]</f>
        <v>142.5</v>
      </c>
    </row>
    <row r="2714" spans="1:18" x14ac:dyDescent="0.25">
      <c r="A2714" t="s">
        <v>2807</v>
      </c>
      <c r="B2714" s="1">
        <v>45029</v>
      </c>
      <c r="C2714" t="s">
        <v>163</v>
      </c>
      <c r="D2714" t="s">
        <v>18</v>
      </c>
      <c r="E2714">
        <v>2</v>
      </c>
      <c r="F2714" s="2">
        <v>499.99</v>
      </c>
      <c r="G2714">
        <v>0</v>
      </c>
      <c r="H2714" s="2">
        <v>499.99</v>
      </c>
      <c r="I2714" s="2">
        <v>999.98</v>
      </c>
      <c r="J2714" t="s">
        <v>116</v>
      </c>
      <c r="K2714" t="s">
        <v>52</v>
      </c>
      <c r="L2714" t="s">
        <v>45</v>
      </c>
      <c r="M2714" t="s">
        <v>53</v>
      </c>
      <c r="N2714" t="s">
        <v>54</v>
      </c>
      <c r="O2714" t="s">
        <v>35</v>
      </c>
      <c r="Q2714" s="2">
        <f>Ventas[[#This Row],[precio_base]]*Ventas[[#This Row],[cantidad]]</f>
        <v>999.98</v>
      </c>
      <c r="R2714" s="2">
        <f>Ventas[[#This Row],[Total bruto (antes de descuento)]]-Ventas[[#This Row],[total_venta]]</f>
        <v>0</v>
      </c>
    </row>
    <row r="2715" spans="1:18" x14ac:dyDescent="0.25">
      <c r="A2715" t="s">
        <v>2808</v>
      </c>
      <c r="B2715" s="1">
        <v>44989</v>
      </c>
      <c r="C2715" t="s">
        <v>30</v>
      </c>
      <c r="D2715" t="s">
        <v>31</v>
      </c>
      <c r="E2715">
        <v>2</v>
      </c>
      <c r="F2715" s="2">
        <v>299.99</v>
      </c>
      <c r="G2715">
        <v>0</v>
      </c>
      <c r="H2715" s="2">
        <v>299.99</v>
      </c>
      <c r="I2715" s="2">
        <v>599.98</v>
      </c>
      <c r="J2715" t="s">
        <v>62</v>
      </c>
      <c r="K2715" t="s">
        <v>20</v>
      </c>
      <c r="L2715" t="s">
        <v>21</v>
      </c>
      <c r="M2715" t="s">
        <v>39</v>
      </c>
      <c r="N2715" t="s">
        <v>40</v>
      </c>
      <c r="O2715" t="s">
        <v>35</v>
      </c>
      <c r="Q2715" s="2">
        <f>Ventas[[#This Row],[precio_base]]*Ventas[[#This Row],[cantidad]]</f>
        <v>599.98</v>
      </c>
      <c r="R2715" s="2">
        <f>Ventas[[#This Row],[Total bruto (antes de descuento)]]-Ventas[[#This Row],[total_venta]]</f>
        <v>0</v>
      </c>
    </row>
    <row r="2716" spans="1:18" x14ac:dyDescent="0.25">
      <c r="A2716" t="s">
        <v>2809</v>
      </c>
      <c r="B2716" s="1">
        <v>45458</v>
      </c>
      <c r="C2716" t="s">
        <v>89</v>
      </c>
      <c r="D2716" t="s">
        <v>38</v>
      </c>
      <c r="E2716">
        <v>2</v>
      </c>
      <c r="F2716" s="2">
        <v>69.989999999999995</v>
      </c>
      <c r="G2716">
        <v>0</v>
      </c>
      <c r="H2716" s="2">
        <v>69.989999999999995</v>
      </c>
      <c r="I2716" s="2">
        <v>139.97999999999999</v>
      </c>
      <c r="J2716" t="s">
        <v>51</v>
      </c>
      <c r="K2716" t="s">
        <v>20</v>
      </c>
      <c r="L2716" t="s">
        <v>21</v>
      </c>
      <c r="M2716" t="s">
        <v>39</v>
      </c>
      <c r="N2716" t="s">
        <v>40</v>
      </c>
      <c r="O2716" t="s">
        <v>35</v>
      </c>
      <c r="Q2716" s="2">
        <f>Ventas[[#This Row],[precio_base]]*Ventas[[#This Row],[cantidad]]</f>
        <v>139.97999999999999</v>
      </c>
      <c r="R2716" s="2">
        <f>Ventas[[#This Row],[Total bruto (antes de descuento)]]-Ventas[[#This Row],[total_venta]]</f>
        <v>0</v>
      </c>
    </row>
    <row r="2717" spans="1:18" x14ac:dyDescent="0.25">
      <c r="A2717" t="s">
        <v>2810</v>
      </c>
      <c r="B2717" s="1">
        <v>45526</v>
      </c>
      <c r="C2717" t="s">
        <v>78</v>
      </c>
      <c r="D2717" t="s">
        <v>18</v>
      </c>
      <c r="E2717">
        <v>2</v>
      </c>
      <c r="F2717" s="2">
        <v>349.99</v>
      </c>
      <c r="G2717">
        <v>0</v>
      </c>
      <c r="H2717" s="2">
        <v>349.99</v>
      </c>
      <c r="I2717" s="2">
        <v>699.98</v>
      </c>
      <c r="J2717" t="s">
        <v>19</v>
      </c>
      <c r="K2717" t="s">
        <v>20</v>
      </c>
      <c r="L2717" t="s">
        <v>45</v>
      </c>
      <c r="M2717" t="s">
        <v>46</v>
      </c>
      <c r="N2717" t="s">
        <v>47</v>
      </c>
      <c r="O2717" t="s">
        <v>48</v>
      </c>
      <c r="P2717">
        <v>3</v>
      </c>
      <c r="Q2717" s="2">
        <f>Ventas[[#This Row],[precio_base]]*Ventas[[#This Row],[cantidad]]</f>
        <v>699.98</v>
      </c>
      <c r="R2717" s="2">
        <f>Ventas[[#This Row],[Total bruto (antes de descuento)]]-Ventas[[#This Row],[total_venta]]</f>
        <v>0</v>
      </c>
    </row>
    <row r="2718" spans="1:18" x14ac:dyDescent="0.25">
      <c r="A2718" t="s">
        <v>2811</v>
      </c>
      <c r="B2718" s="1">
        <v>45317</v>
      </c>
      <c r="C2718" t="s">
        <v>122</v>
      </c>
      <c r="D2718" t="s">
        <v>43</v>
      </c>
      <c r="E2718">
        <v>1</v>
      </c>
      <c r="F2718" s="2">
        <v>44.99</v>
      </c>
      <c r="G2718">
        <v>0</v>
      </c>
      <c r="H2718" s="2">
        <v>44.99</v>
      </c>
      <c r="I2718" s="2">
        <v>44.99</v>
      </c>
      <c r="J2718" t="s">
        <v>51</v>
      </c>
      <c r="K2718" t="s">
        <v>44</v>
      </c>
      <c r="L2718" t="s">
        <v>32</v>
      </c>
      <c r="M2718" t="s">
        <v>22</v>
      </c>
      <c r="N2718" t="s">
        <v>23</v>
      </c>
      <c r="O2718" t="s">
        <v>24</v>
      </c>
      <c r="Q2718" s="2">
        <f>Ventas[[#This Row],[precio_base]]*Ventas[[#This Row],[cantidad]]</f>
        <v>44.99</v>
      </c>
      <c r="R2718" s="2">
        <f>Ventas[[#This Row],[Total bruto (antes de descuento)]]-Ventas[[#This Row],[total_venta]]</f>
        <v>0</v>
      </c>
    </row>
    <row r="2719" spans="1:18" x14ac:dyDescent="0.25">
      <c r="A2719" t="s">
        <v>2812</v>
      </c>
      <c r="B2719" s="1">
        <v>45071</v>
      </c>
      <c r="C2719" t="s">
        <v>130</v>
      </c>
      <c r="D2719" t="s">
        <v>43</v>
      </c>
      <c r="E2719">
        <v>3</v>
      </c>
      <c r="F2719" s="2">
        <v>24.99</v>
      </c>
      <c r="G2719">
        <v>0</v>
      </c>
      <c r="H2719" s="2">
        <v>24.99</v>
      </c>
      <c r="I2719" s="2">
        <v>74.97</v>
      </c>
      <c r="J2719" t="s">
        <v>19</v>
      </c>
      <c r="K2719" t="s">
        <v>20</v>
      </c>
      <c r="L2719" t="s">
        <v>32</v>
      </c>
      <c r="M2719" t="s">
        <v>95</v>
      </c>
      <c r="N2719" t="s">
        <v>96</v>
      </c>
      <c r="O2719" t="s">
        <v>48</v>
      </c>
      <c r="P2719">
        <v>3</v>
      </c>
      <c r="Q2719" s="2">
        <f>Ventas[[#This Row],[precio_base]]*Ventas[[#This Row],[cantidad]]</f>
        <v>74.97</v>
      </c>
      <c r="R2719" s="2">
        <f>Ventas[[#This Row],[Total bruto (antes de descuento)]]-Ventas[[#This Row],[total_venta]]</f>
        <v>0</v>
      </c>
    </row>
    <row r="2720" spans="1:18" x14ac:dyDescent="0.25">
      <c r="A2720" t="s">
        <v>2813</v>
      </c>
      <c r="B2720" s="1">
        <v>45329</v>
      </c>
      <c r="C2720" t="s">
        <v>42</v>
      </c>
      <c r="D2720" t="s">
        <v>43</v>
      </c>
      <c r="E2720">
        <v>3</v>
      </c>
      <c r="F2720" s="2">
        <v>349.99</v>
      </c>
      <c r="G2720">
        <v>10</v>
      </c>
      <c r="H2720" s="2">
        <v>314.99</v>
      </c>
      <c r="I2720" s="2">
        <v>944.97</v>
      </c>
      <c r="J2720" t="s">
        <v>51</v>
      </c>
      <c r="K2720" t="s">
        <v>20</v>
      </c>
      <c r="L2720" t="s">
        <v>45</v>
      </c>
      <c r="M2720" t="s">
        <v>120</v>
      </c>
      <c r="N2720" t="s">
        <v>23</v>
      </c>
      <c r="O2720" t="s">
        <v>24</v>
      </c>
      <c r="Q2720" s="2">
        <f>Ventas[[#This Row],[precio_base]]*Ventas[[#This Row],[cantidad]]</f>
        <v>1049.97</v>
      </c>
      <c r="R2720" s="2">
        <f>Ventas[[#This Row],[Total bruto (antes de descuento)]]-Ventas[[#This Row],[total_venta]]</f>
        <v>105</v>
      </c>
    </row>
    <row r="2721" spans="1:18" x14ac:dyDescent="0.25">
      <c r="A2721" t="s">
        <v>2814</v>
      </c>
      <c r="B2721" s="1">
        <v>45570</v>
      </c>
      <c r="C2721" t="s">
        <v>81</v>
      </c>
      <c r="D2721" t="s">
        <v>31</v>
      </c>
      <c r="E2721">
        <v>4</v>
      </c>
      <c r="F2721" s="2">
        <v>189.99</v>
      </c>
      <c r="G2721">
        <v>0</v>
      </c>
      <c r="H2721" s="2">
        <v>189.99</v>
      </c>
      <c r="I2721" s="2">
        <v>759.96</v>
      </c>
      <c r="J2721" t="s">
        <v>19</v>
      </c>
      <c r="K2721" t="s">
        <v>57</v>
      </c>
      <c r="L2721" t="s">
        <v>21</v>
      </c>
      <c r="M2721" t="s">
        <v>120</v>
      </c>
      <c r="N2721" t="s">
        <v>23</v>
      </c>
      <c r="O2721" t="s">
        <v>24</v>
      </c>
      <c r="P2721">
        <v>5</v>
      </c>
      <c r="Q2721" s="2">
        <f>Ventas[[#This Row],[precio_base]]*Ventas[[#This Row],[cantidad]]</f>
        <v>759.96</v>
      </c>
      <c r="R2721" s="2">
        <f>Ventas[[#This Row],[Total bruto (antes de descuento)]]-Ventas[[#This Row],[total_venta]]</f>
        <v>0</v>
      </c>
    </row>
    <row r="2722" spans="1:18" x14ac:dyDescent="0.25">
      <c r="A2722" t="s">
        <v>2815</v>
      </c>
      <c r="B2722" s="1">
        <v>45551</v>
      </c>
      <c r="C2722" t="s">
        <v>115</v>
      </c>
      <c r="D2722" t="s">
        <v>18</v>
      </c>
      <c r="E2722">
        <v>1</v>
      </c>
      <c r="F2722" s="2">
        <v>799.99</v>
      </c>
      <c r="G2722">
        <v>0</v>
      </c>
      <c r="H2722" s="2">
        <v>799.99</v>
      </c>
      <c r="I2722" s="2">
        <v>799.99</v>
      </c>
      <c r="J2722" t="s">
        <v>51</v>
      </c>
      <c r="K2722" t="s">
        <v>20</v>
      </c>
      <c r="L2722" t="s">
        <v>21</v>
      </c>
      <c r="M2722" t="s">
        <v>65</v>
      </c>
      <c r="N2722" t="s">
        <v>54</v>
      </c>
      <c r="O2722" t="s">
        <v>35</v>
      </c>
      <c r="Q2722" s="2">
        <f>Ventas[[#This Row],[precio_base]]*Ventas[[#This Row],[cantidad]]</f>
        <v>799.99</v>
      </c>
      <c r="R2722" s="2">
        <f>Ventas[[#This Row],[Total bruto (antes de descuento)]]-Ventas[[#This Row],[total_venta]]</f>
        <v>0</v>
      </c>
    </row>
    <row r="2723" spans="1:18" x14ac:dyDescent="0.25">
      <c r="A2723" t="s">
        <v>2816</v>
      </c>
      <c r="B2723" s="1">
        <v>45262</v>
      </c>
      <c r="C2723" t="s">
        <v>109</v>
      </c>
      <c r="D2723" t="s">
        <v>38</v>
      </c>
      <c r="E2723">
        <v>4</v>
      </c>
      <c r="F2723" s="2">
        <v>39.99</v>
      </c>
      <c r="G2723">
        <v>0</v>
      </c>
      <c r="H2723" s="2">
        <v>39.99</v>
      </c>
      <c r="I2723" s="2">
        <v>159.96</v>
      </c>
      <c r="J2723" t="s">
        <v>19</v>
      </c>
      <c r="K2723" t="s">
        <v>52</v>
      </c>
      <c r="L2723" t="s">
        <v>45</v>
      </c>
      <c r="M2723" t="s">
        <v>22</v>
      </c>
      <c r="N2723" t="s">
        <v>23</v>
      </c>
      <c r="O2723" t="s">
        <v>24</v>
      </c>
      <c r="P2723">
        <v>1</v>
      </c>
      <c r="Q2723" s="2">
        <f>Ventas[[#This Row],[precio_base]]*Ventas[[#This Row],[cantidad]]</f>
        <v>159.96</v>
      </c>
      <c r="R2723" s="2">
        <f>Ventas[[#This Row],[Total bruto (antes de descuento)]]-Ventas[[#This Row],[total_venta]]</f>
        <v>0</v>
      </c>
    </row>
    <row r="2724" spans="1:18" x14ac:dyDescent="0.25">
      <c r="A2724" t="s">
        <v>2817</v>
      </c>
      <c r="B2724" s="1">
        <v>45136</v>
      </c>
      <c r="C2724" t="s">
        <v>83</v>
      </c>
      <c r="D2724" t="s">
        <v>38</v>
      </c>
      <c r="E2724">
        <v>2</v>
      </c>
      <c r="F2724" s="2">
        <v>49.99</v>
      </c>
      <c r="G2724">
        <v>0</v>
      </c>
      <c r="H2724" s="2">
        <v>49.99</v>
      </c>
      <c r="I2724" s="2">
        <v>99.98</v>
      </c>
      <c r="J2724" t="s">
        <v>62</v>
      </c>
      <c r="K2724" t="s">
        <v>52</v>
      </c>
      <c r="L2724" t="s">
        <v>28</v>
      </c>
      <c r="M2724" t="s">
        <v>63</v>
      </c>
      <c r="N2724" t="s">
        <v>34</v>
      </c>
      <c r="O2724" t="s">
        <v>24</v>
      </c>
      <c r="Q2724" s="2">
        <f>Ventas[[#This Row],[precio_base]]*Ventas[[#This Row],[cantidad]]</f>
        <v>99.98</v>
      </c>
      <c r="R2724" s="2">
        <f>Ventas[[#This Row],[Total bruto (antes de descuento)]]-Ventas[[#This Row],[total_venta]]</f>
        <v>0</v>
      </c>
    </row>
    <row r="2725" spans="1:18" x14ac:dyDescent="0.25">
      <c r="A2725" t="s">
        <v>2818</v>
      </c>
      <c r="B2725" s="1">
        <v>44961</v>
      </c>
      <c r="C2725" t="s">
        <v>42</v>
      </c>
      <c r="D2725" t="s">
        <v>43</v>
      </c>
      <c r="E2725">
        <v>2</v>
      </c>
      <c r="F2725" s="2">
        <v>349.99</v>
      </c>
      <c r="G2725">
        <v>0</v>
      </c>
      <c r="H2725" s="2">
        <v>349.99</v>
      </c>
      <c r="I2725" s="2">
        <v>699.98</v>
      </c>
      <c r="J2725" t="s">
        <v>19</v>
      </c>
      <c r="K2725" t="s">
        <v>20</v>
      </c>
      <c r="L2725" t="s">
        <v>45</v>
      </c>
      <c r="M2725" t="s">
        <v>58</v>
      </c>
      <c r="N2725" t="s">
        <v>59</v>
      </c>
      <c r="O2725" t="s">
        <v>24</v>
      </c>
      <c r="P2725">
        <v>1</v>
      </c>
      <c r="Q2725" s="2">
        <f>Ventas[[#This Row],[precio_base]]*Ventas[[#This Row],[cantidad]]</f>
        <v>699.98</v>
      </c>
      <c r="R2725" s="2">
        <f>Ventas[[#This Row],[Total bruto (antes de descuento)]]-Ventas[[#This Row],[total_venta]]</f>
        <v>0</v>
      </c>
    </row>
    <row r="2726" spans="1:18" x14ac:dyDescent="0.25">
      <c r="A2726" t="s">
        <v>2819</v>
      </c>
      <c r="B2726" s="1">
        <v>44946</v>
      </c>
      <c r="C2726" t="s">
        <v>83</v>
      </c>
      <c r="D2726" t="s">
        <v>38</v>
      </c>
      <c r="E2726">
        <v>2</v>
      </c>
      <c r="F2726" s="2">
        <v>49.99</v>
      </c>
      <c r="G2726">
        <v>15</v>
      </c>
      <c r="H2726" s="2">
        <v>42.49</v>
      </c>
      <c r="I2726" s="2">
        <v>84.98</v>
      </c>
      <c r="J2726" t="s">
        <v>19</v>
      </c>
      <c r="K2726" t="s">
        <v>20</v>
      </c>
      <c r="L2726" t="s">
        <v>28</v>
      </c>
      <c r="M2726" t="s">
        <v>33</v>
      </c>
      <c r="N2726" t="s">
        <v>34</v>
      </c>
      <c r="O2726" t="s">
        <v>35</v>
      </c>
      <c r="P2726">
        <v>4</v>
      </c>
      <c r="Q2726" s="2">
        <f>Ventas[[#This Row],[precio_base]]*Ventas[[#This Row],[cantidad]]</f>
        <v>99.98</v>
      </c>
      <c r="R2726" s="2">
        <f>Ventas[[#This Row],[Total bruto (antes de descuento)]]-Ventas[[#This Row],[total_venta]]</f>
        <v>15</v>
      </c>
    </row>
    <row r="2727" spans="1:18" x14ac:dyDescent="0.25">
      <c r="A2727" t="s">
        <v>2820</v>
      </c>
      <c r="B2727" s="1">
        <v>45480</v>
      </c>
      <c r="C2727" t="s">
        <v>143</v>
      </c>
      <c r="D2727" t="s">
        <v>43</v>
      </c>
      <c r="E2727">
        <v>1</v>
      </c>
      <c r="F2727" s="2">
        <v>34.99</v>
      </c>
      <c r="G2727">
        <v>0</v>
      </c>
      <c r="H2727" s="2">
        <v>34.99</v>
      </c>
      <c r="I2727" s="2">
        <v>34.99</v>
      </c>
      <c r="J2727" t="s">
        <v>19</v>
      </c>
      <c r="K2727" t="s">
        <v>57</v>
      </c>
      <c r="L2727" t="s">
        <v>28</v>
      </c>
      <c r="M2727" t="s">
        <v>53</v>
      </c>
      <c r="N2727" t="s">
        <v>54</v>
      </c>
      <c r="O2727" t="s">
        <v>35</v>
      </c>
      <c r="P2727">
        <v>2</v>
      </c>
      <c r="Q2727" s="2">
        <f>Ventas[[#This Row],[precio_base]]*Ventas[[#This Row],[cantidad]]</f>
        <v>34.99</v>
      </c>
      <c r="R2727" s="2">
        <f>Ventas[[#This Row],[Total bruto (antes de descuento)]]-Ventas[[#This Row],[total_venta]]</f>
        <v>0</v>
      </c>
    </row>
    <row r="2728" spans="1:18" x14ac:dyDescent="0.25">
      <c r="A2728" t="s">
        <v>2821</v>
      </c>
      <c r="B2728" s="1">
        <v>45509</v>
      </c>
      <c r="C2728" t="s">
        <v>42</v>
      </c>
      <c r="D2728" t="s">
        <v>43</v>
      </c>
      <c r="E2728">
        <v>3</v>
      </c>
      <c r="F2728" s="2">
        <v>349.99</v>
      </c>
      <c r="G2728">
        <v>5</v>
      </c>
      <c r="H2728" s="2">
        <v>332.49</v>
      </c>
      <c r="I2728" s="2">
        <v>997.47</v>
      </c>
      <c r="J2728" t="s">
        <v>51</v>
      </c>
      <c r="K2728" t="s">
        <v>20</v>
      </c>
      <c r="L2728" t="s">
        <v>32</v>
      </c>
      <c r="M2728" t="s">
        <v>46</v>
      </c>
      <c r="N2728" t="s">
        <v>47</v>
      </c>
      <c r="O2728" t="s">
        <v>48</v>
      </c>
      <c r="Q2728" s="2">
        <f>Ventas[[#This Row],[precio_base]]*Ventas[[#This Row],[cantidad]]</f>
        <v>1049.97</v>
      </c>
      <c r="R2728" s="2">
        <f>Ventas[[#This Row],[Total bruto (antes de descuento)]]-Ventas[[#This Row],[total_venta]]</f>
        <v>52.5</v>
      </c>
    </row>
    <row r="2729" spans="1:18" x14ac:dyDescent="0.25">
      <c r="A2729" t="s">
        <v>2822</v>
      </c>
      <c r="B2729" s="1">
        <v>45018</v>
      </c>
      <c r="C2729" t="s">
        <v>72</v>
      </c>
      <c r="D2729" t="s">
        <v>31</v>
      </c>
      <c r="E2729">
        <v>4</v>
      </c>
      <c r="F2729" s="2">
        <v>29.99</v>
      </c>
      <c r="G2729">
        <v>5</v>
      </c>
      <c r="H2729" s="2">
        <v>28.49</v>
      </c>
      <c r="I2729" s="2">
        <v>113.96</v>
      </c>
      <c r="J2729" t="s">
        <v>62</v>
      </c>
      <c r="K2729" t="s">
        <v>44</v>
      </c>
      <c r="L2729" t="s">
        <v>21</v>
      </c>
      <c r="M2729" t="s">
        <v>95</v>
      </c>
      <c r="N2729" t="s">
        <v>96</v>
      </c>
      <c r="O2729" t="s">
        <v>48</v>
      </c>
      <c r="Q2729" s="2">
        <f>Ventas[[#This Row],[precio_base]]*Ventas[[#This Row],[cantidad]]</f>
        <v>119.96</v>
      </c>
      <c r="R2729" s="2">
        <f>Ventas[[#This Row],[Total bruto (antes de descuento)]]-Ventas[[#This Row],[total_venta]]</f>
        <v>6</v>
      </c>
    </row>
    <row r="2730" spans="1:18" x14ac:dyDescent="0.25">
      <c r="A2730" t="s">
        <v>2823</v>
      </c>
      <c r="B2730" s="1">
        <v>44965</v>
      </c>
      <c r="C2730" t="s">
        <v>83</v>
      </c>
      <c r="D2730" t="s">
        <v>38</v>
      </c>
      <c r="E2730">
        <v>2</v>
      </c>
      <c r="F2730" s="2">
        <v>49.99</v>
      </c>
      <c r="G2730">
        <v>20</v>
      </c>
      <c r="H2730" s="2">
        <v>39.99</v>
      </c>
      <c r="I2730" s="2">
        <v>79.98</v>
      </c>
      <c r="J2730" t="s">
        <v>19</v>
      </c>
      <c r="K2730" t="s">
        <v>20</v>
      </c>
      <c r="L2730" t="s">
        <v>28</v>
      </c>
      <c r="M2730" t="s">
        <v>63</v>
      </c>
      <c r="N2730" t="s">
        <v>34</v>
      </c>
      <c r="O2730" t="s">
        <v>24</v>
      </c>
      <c r="P2730">
        <v>3</v>
      </c>
      <c r="Q2730" s="2">
        <f>Ventas[[#This Row],[precio_base]]*Ventas[[#This Row],[cantidad]]</f>
        <v>99.98</v>
      </c>
      <c r="R2730" s="2">
        <f>Ventas[[#This Row],[Total bruto (antes de descuento)]]-Ventas[[#This Row],[total_venta]]</f>
        <v>20</v>
      </c>
    </row>
    <row r="2731" spans="1:18" x14ac:dyDescent="0.25">
      <c r="A2731" t="s">
        <v>2824</v>
      </c>
      <c r="B2731" s="1">
        <v>44975</v>
      </c>
      <c r="C2731" t="s">
        <v>205</v>
      </c>
      <c r="D2731" t="s">
        <v>18</v>
      </c>
      <c r="E2731">
        <v>2</v>
      </c>
      <c r="F2731" s="2">
        <v>129.99</v>
      </c>
      <c r="G2731">
        <v>20</v>
      </c>
      <c r="H2731" s="2">
        <v>103.99</v>
      </c>
      <c r="I2731" s="2">
        <v>207.98</v>
      </c>
      <c r="J2731" t="s">
        <v>19</v>
      </c>
      <c r="K2731" t="s">
        <v>20</v>
      </c>
      <c r="L2731" t="s">
        <v>21</v>
      </c>
      <c r="M2731" t="s">
        <v>58</v>
      </c>
      <c r="N2731" t="s">
        <v>59</v>
      </c>
      <c r="O2731" t="s">
        <v>24</v>
      </c>
      <c r="P2731">
        <v>4</v>
      </c>
      <c r="Q2731" s="2">
        <f>Ventas[[#This Row],[precio_base]]*Ventas[[#This Row],[cantidad]]</f>
        <v>259.98</v>
      </c>
      <c r="R2731" s="2">
        <f>Ventas[[#This Row],[Total bruto (antes de descuento)]]-Ventas[[#This Row],[total_venta]]</f>
        <v>52.000000000000028</v>
      </c>
    </row>
    <row r="2732" spans="1:18" x14ac:dyDescent="0.25">
      <c r="A2732" t="s">
        <v>2825</v>
      </c>
      <c r="B2732" s="1">
        <v>45271</v>
      </c>
      <c r="C2732" t="s">
        <v>76</v>
      </c>
      <c r="D2732" t="s">
        <v>31</v>
      </c>
      <c r="E2732">
        <v>2</v>
      </c>
      <c r="F2732" s="2">
        <v>69.989999999999995</v>
      </c>
      <c r="G2732">
        <v>0</v>
      </c>
      <c r="H2732" s="2">
        <v>69.989999999999995</v>
      </c>
      <c r="I2732" s="2">
        <v>139.97999999999999</v>
      </c>
      <c r="J2732" t="s">
        <v>19</v>
      </c>
      <c r="K2732" t="s">
        <v>57</v>
      </c>
      <c r="L2732" t="s">
        <v>28</v>
      </c>
      <c r="M2732" t="s">
        <v>65</v>
      </c>
      <c r="N2732" t="s">
        <v>54</v>
      </c>
      <c r="O2732" t="s">
        <v>35</v>
      </c>
      <c r="P2732">
        <v>2</v>
      </c>
      <c r="Q2732" s="2">
        <f>Ventas[[#This Row],[precio_base]]*Ventas[[#This Row],[cantidad]]</f>
        <v>139.97999999999999</v>
      </c>
      <c r="R2732" s="2">
        <f>Ventas[[#This Row],[Total bruto (antes de descuento)]]-Ventas[[#This Row],[total_venta]]</f>
        <v>0</v>
      </c>
    </row>
    <row r="2733" spans="1:18" x14ac:dyDescent="0.25">
      <c r="A2733" t="s">
        <v>2826</v>
      </c>
      <c r="B2733" s="1">
        <v>44936</v>
      </c>
      <c r="C2733" t="s">
        <v>78</v>
      </c>
      <c r="D2733" t="s">
        <v>18</v>
      </c>
      <c r="E2733">
        <v>1</v>
      </c>
      <c r="F2733" s="2">
        <v>349.99</v>
      </c>
      <c r="G2733">
        <v>0</v>
      </c>
      <c r="H2733" s="2">
        <v>349.99</v>
      </c>
      <c r="I2733" s="2">
        <v>349.99</v>
      </c>
      <c r="J2733" t="s">
        <v>19</v>
      </c>
      <c r="K2733" t="s">
        <v>57</v>
      </c>
      <c r="L2733" t="s">
        <v>21</v>
      </c>
      <c r="M2733" t="s">
        <v>33</v>
      </c>
      <c r="N2733" t="s">
        <v>34</v>
      </c>
      <c r="O2733" t="s">
        <v>35</v>
      </c>
      <c r="P2733">
        <v>1</v>
      </c>
      <c r="Q2733" s="2">
        <f>Ventas[[#This Row],[precio_base]]*Ventas[[#This Row],[cantidad]]</f>
        <v>349.99</v>
      </c>
      <c r="R2733" s="2">
        <f>Ventas[[#This Row],[Total bruto (antes de descuento)]]-Ventas[[#This Row],[total_venta]]</f>
        <v>0</v>
      </c>
    </row>
    <row r="2734" spans="1:18" x14ac:dyDescent="0.25">
      <c r="A2734" t="s">
        <v>2827</v>
      </c>
      <c r="B2734" s="1">
        <v>45162</v>
      </c>
      <c r="C2734" t="s">
        <v>104</v>
      </c>
      <c r="D2734" t="s">
        <v>18</v>
      </c>
      <c r="E2734">
        <v>2</v>
      </c>
      <c r="F2734" s="2">
        <v>1199.99</v>
      </c>
      <c r="G2734">
        <v>0</v>
      </c>
      <c r="H2734" s="2">
        <v>1199.99</v>
      </c>
      <c r="I2734" s="2">
        <v>2399.98</v>
      </c>
      <c r="J2734" t="s">
        <v>19</v>
      </c>
      <c r="K2734" t="s">
        <v>20</v>
      </c>
      <c r="L2734" t="s">
        <v>28</v>
      </c>
      <c r="M2734" t="s">
        <v>101</v>
      </c>
      <c r="N2734" t="s">
        <v>102</v>
      </c>
      <c r="O2734" t="s">
        <v>35</v>
      </c>
      <c r="P2734">
        <v>1</v>
      </c>
      <c r="Q2734" s="2">
        <f>Ventas[[#This Row],[precio_base]]*Ventas[[#This Row],[cantidad]]</f>
        <v>2399.98</v>
      </c>
      <c r="R2734" s="2">
        <f>Ventas[[#This Row],[Total bruto (antes de descuento)]]-Ventas[[#This Row],[total_venta]]</f>
        <v>0</v>
      </c>
    </row>
    <row r="2735" spans="1:18" x14ac:dyDescent="0.25">
      <c r="A2735" t="s">
        <v>2828</v>
      </c>
      <c r="B2735" s="1">
        <v>45613</v>
      </c>
      <c r="C2735" t="s">
        <v>130</v>
      </c>
      <c r="D2735" t="s">
        <v>43</v>
      </c>
      <c r="E2735">
        <v>4</v>
      </c>
      <c r="F2735" s="2">
        <v>24.99</v>
      </c>
      <c r="G2735">
        <v>20</v>
      </c>
      <c r="H2735" s="2">
        <v>19.989999999999998</v>
      </c>
      <c r="I2735" s="2">
        <v>79.959999999999994</v>
      </c>
      <c r="J2735" t="s">
        <v>19</v>
      </c>
      <c r="K2735" t="s">
        <v>52</v>
      </c>
      <c r="L2735" t="s">
        <v>45</v>
      </c>
      <c r="M2735" t="s">
        <v>53</v>
      </c>
      <c r="N2735" t="s">
        <v>54</v>
      </c>
      <c r="O2735" t="s">
        <v>35</v>
      </c>
      <c r="P2735">
        <v>4</v>
      </c>
      <c r="Q2735" s="2">
        <f>Ventas[[#This Row],[precio_base]]*Ventas[[#This Row],[cantidad]]</f>
        <v>99.96</v>
      </c>
      <c r="R2735" s="2">
        <f>Ventas[[#This Row],[Total bruto (antes de descuento)]]-Ventas[[#This Row],[total_venta]]</f>
        <v>20</v>
      </c>
    </row>
    <row r="2736" spans="1:18" x14ac:dyDescent="0.25">
      <c r="A2736" t="s">
        <v>2829</v>
      </c>
      <c r="B2736" s="1">
        <v>45072</v>
      </c>
      <c r="C2736" t="s">
        <v>98</v>
      </c>
      <c r="D2736" t="s">
        <v>31</v>
      </c>
      <c r="E2736">
        <v>4</v>
      </c>
      <c r="F2736" s="2">
        <v>99.99</v>
      </c>
      <c r="G2736">
        <v>10</v>
      </c>
      <c r="H2736" s="2">
        <v>89.99</v>
      </c>
      <c r="I2736" s="2">
        <v>359.96</v>
      </c>
      <c r="J2736" t="s">
        <v>51</v>
      </c>
      <c r="K2736" t="s">
        <v>52</v>
      </c>
      <c r="L2736" t="s">
        <v>21</v>
      </c>
      <c r="M2736" t="s">
        <v>39</v>
      </c>
      <c r="N2736" t="s">
        <v>40</v>
      </c>
      <c r="O2736" t="s">
        <v>35</v>
      </c>
      <c r="Q2736" s="2">
        <f>Ventas[[#This Row],[precio_base]]*Ventas[[#This Row],[cantidad]]</f>
        <v>399.96</v>
      </c>
      <c r="R2736" s="2">
        <f>Ventas[[#This Row],[Total bruto (antes de descuento)]]-Ventas[[#This Row],[total_venta]]</f>
        <v>40</v>
      </c>
    </row>
    <row r="2737" spans="1:18" x14ac:dyDescent="0.25">
      <c r="A2737" t="s">
        <v>2830</v>
      </c>
      <c r="B2737" s="1">
        <v>44985</v>
      </c>
      <c r="C2737" t="s">
        <v>205</v>
      </c>
      <c r="D2737" t="s">
        <v>18</v>
      </c>
      <c r="E2737">
        <v>3</v>
      </c>
      <c r="F2737" s="2">
        <v>129.99</v>
      </c>
      <c r="G2737">
        <v>15</v>
      </c>
      <c r="H2737" s="2">
        <v>110.49</v>
      </c>
      <c r="I2737" s="2">
        <v>331.47</v>
      </c>
      <c r="J2737" t="s">
        <v>19</v>
      </c>
      <c r="K2737" t="s">
        <v>20</v>
      </c>
      <c r="L2737" t="s">
        <v>152</v>
      </c>
      <c r="M2737" t="s">
        <v>46</v>
      </c>
      <c r="N2737" t="s">
        <v>47</v>
      </c>
      <c r="O2737" t="s">
        <v>48</v>
      </c>
      <c r="P2737">
        <v>2</v>
      </c>
      <c r="Q2737" s="2">
        <f>Ventas[[#This Row],[precio_base]]*Ventas[[#This Row],[cantidad]]</f>
        <v>389.97</v>
      </c>
      <c r="R2737" s="2">
        <f>Ventas[[#This Row],[Total bruto (antes de descuento)]]-Ventas[[#This Row],[total_venta]]</f>
        <v>58.5</v>
      </c>
    </row>
    <row r="2738" spans="1:18" x14ac:dyDescent="0.25">
      <c r="A2738" t="s">
        <v>2831</v>
      </c>
      <c r="B2738" s="1">
        <v>45522</v>
      </c>
      <c r="C2738" t="s">
        <v>50</v>
      </c>
      <c r="D2738" t="s">
        <v>27</v>
      </c>
      <c r="E2738">
        <v>3</v>
      </c>
      <c r="F2738" s="2">
        <v>149.99</v>
      </c>
      <c r="G2738">
        <v>20</v>
      </c>
      <c r="H2738" s="2">
        <v>119.99</v>
      </c>
      <c r="I2738" s="2">
        <v>359.97</v>
      </c>
      <c r="J2738" t="s">
        <v>19</v>
      </c>
      <c r="K2738" t="s">
        <v>20</v>
      </c>
      <c r="L2738" t="s">
        <v>21</v>
      </c>
      <c r="M2738" t="s">
        <v>22</v>
      </c>
      <c r="N2738" t="s">
        <v>23</v>
      </c>
      <c r="O2738" t="s">
        <v>24</v>
      </c>
      <c r="P2738">
        <v>2</v>
      </c>
      <c r="Q2738" s="2">
        <f>Ventas[[#This Row],[precio_base]]*Ventas[[#This Row],[cantidad]]</f>
        <v>449.97</v>
      </c>
      <c r="R2738" s="2">
        <f>Ventas[[#This Row],[Total bruto (antes de descuento)]]-Ventas[[#This Row],[total_venta]]</f>
        <v>90</v>
      </c>
    </row>
    <row r="2739" spans="1:18" x14ac:dyDescent="0.25">
      <c r="A2739" t="s">
        <v>2832</v>
      </c>
      <c r="B2739" s="1">
        <v>44974</v>
      </c>
      <c r="C2739" t="s">
        <v>78</v>
      </c>
      <c r="D2739" t="s">
        <v>18</v>
      </c>
      <c r="E2739">
        <v>5</v>
      </c>
      <c r="F2739" s="2">
        <v>349.99</v>
      </c>
      <c r="G2739">
        <v>0</v>
      </c>
      <c r="H2739" s="2">
        <v>349.99</v>
      </c>
      <c r="I2739" s="2">
        <v>1749.95</v>
      </c>
      <c r="J2739" t="s">
        <v>19</v>
      </c>
      <c r="K2739" t="s">
        <v>44</v>
      </c>
      <c r="L2739" t="s">
        <v>28</v>
      </c>
      <c r="M2739" t="s">
        <v>39</v>
      </c>
      <c r="N2739" t="s">
        <v>40</v>
      </c>
      <c r="O2739" t="s">
        <v>35</v>
      </c>
      <c r="P2739">
        <v>1</v>
      </c>
      <c r="Q2739" s="2">
        <f>Ventas[[#This Row],[precio_base]]*Ventas[[#This Row],[cantidad]]</f>
        <v>1749.95</v>
      </c>
      <c r="R2739" s="2">
        <f>Ventas[[#This Row],[Total bruto (antes de descuento)]]-Ventas[[#This Row],[total_venta]]</f>
        <v>0</v>
      </c>
    </row>
    <row r="2740" spans="1:18" x14ac:dyDescent="0.25">
      <c r="A2740" t="s">
        <v>2833</v>
      </c>
      <c r="B2740" s="1">
        <v>45020</v>
      </c>
      <c r="C2740" t="s">
        <v>151</v>
      </c>
      <c r="D2740" t="s">
        <v>27</v>
      </c>
      <c r="E2740">
        <v>2</v>
      </c>
      <c r="F2740" s="2">
        <v>599.99</v>
      </c>
      <c r="G2740">
        <v>0</v>
      </c>
      <c r="H2740" s="2">
        <v>599.99</v>
      </c>
      <c r="I2740" s="2">
        <v>1199.98</v>
      </c>
      <c r="J2740" t="s">
        <v>51</v>
      </c>
      <c r="K2740" t="s">
        <v>20</v>
      </c>
      <c r="L2740" t="s">
        <v>32</v>
      </c>
      <c r="M2740" t="s">
        <v>63</v>
      </c>
      <c r="N2740" t="s">
        <v>34</v>
      </c>
      <c r="O2740" t="s">
        <v>24</v>
      </c>
      <c r="Q2740" s="2">
        <f>Ventas[[#This Row],[precio_base]]*Ventas[[#This Row],[cantidad]]</f>
        <v>1199.98</v>
      </c>
      <c r="R2740" s="2">
        <f>Ventas[[#This Row],[Total bruto (antes de descuento)]]-Ventas[[#This Row],[total_venta]]</f>
        <v>0</v>
      </c>
    </row>
    <row r="2741" spans="1:18" x14ac:dyDescent="0.25">
      <c r="A2741" t="s">
        <v>2834</v>
      </c>
      <c r="B2741" s="1">
        <v>44986</v>
      </c>
      <c r="C2741" t="s">
        <v>151</v>
      </c>
      <c r="D2741" t="s">
        <v>27</v>
      </c>
      <c r="E2741">
        <v>4</v>
      </c>
      <c r="F2741" s="2">
        <v>599.99</v>
      </c>
      <c r="G2741">
        <v>20</v>
      </c>
      <c r="H2741" s="2">
        <v>479.99</v>
      </c>
      <c r="I2741" s="2">
        <v>1919.96</v>
      </c>
      <c r="J2741" t="s">
        <v>19</v>
      </c>
      <c r="K2741" t="s">
        <v>44</v>
      </c>
      <c r="L2741" t="s">
        <v>28</v>
      </c>
      <c r="M2741" t="s">
        <v>53</v>
      </c>
      <c r="N2741" t="s">
        <v>54</v>
      </c>
      <c r="O2741" t="s">
        <v>35</v>
      </c>
      <c r="P2741">
        <v>1</v>
      </c>
      <c r="Q2741" s="2">
        <f>Ventas[[#This Row],[precio_base]]*Ventas[[#This Row],[cantidad]]</f>
        <v>2399.96</v>
      </c>
      <c r="R2741" s="2">
        <f>Ventas[[#This Row],[Total bruto (antes de descuento)]]-Ventas[[#This Row],[total_venta]]</f>
        <v>480</v>
      </c>
    </row>
    <row r="2742" spans="1:18" x14ac:dyDescent="0.25">
      <c r="A2742" t="s">
        <v>2835</v>
      </c>
      <c r="B2742" s="1">
        <v>45414</v>
      </c>
      <c r="C2742" t="s">
        <v>72</v>
      </c>
      <c r="D2742" t="s">
        <v>31</v>
      </c>
      <c r="E2742">
        <v>4</v>
      </c>
      <c r="F2742" s="2">
        <v>29.99</v>
      </c>
      <c r="G2742">
        <v>0</v>
      </c>
      <c r="H2742" s="2">
        <v>29.99</v>
      </c>
      <c r="I2742" s="2">
        <v>119.96</v>
      </c>
      <c r="J2742" t="s">
        <v>62</v>
      </c>
      <c r="K2742" t="s">
        <v>20</v>
      </c>
      <c r="L2742" t="s">
        <v>28</v>
      </c>
      <c r="M2742" t="s">
        <v>120</v>
      </c>
      <c r="N2742" t="s">
        <v>23</v>
      </c>
      <c r="O2742" t="s">
        <v>24</v>
      </c>
      <c r="Q2742" s="2">
        <f>Ventas[[#This Row],[precio_base]]*Ventas[[#This Row],[cantidad]]</f>
        <v>119.96</v>
      </c>
      <c r="R2742" s="2">
        <f>Ventas[[#This Row],[Total bruto (antes de descuento)]]-Ventas[[#This Row],[total_venta]]</f>
        <v>0</v>
      </c>
    </row>
    <row r="2743" spans="1:18" x14ac:dyDescent="0.25">
      <c r="A2743" t="s">
        <v>2836</v>
      </c>
      <c r="B2743" s="1">
        <v>45542</v>
      </c>
      <c r="C2743" t="s">
        <v>122</v>
      </c>
      <c r="D2743" t="s">
        <v>43</v>
      </c>
      <c r="E2743">
        <v>2</v>
      </c>
      <c r="F2743" s="2">
        <v>44.99</v>
      </c>
      <c r="G2743">
        <v>0</v>
      </c>
      <c r="H2743" s="2">
        <v>44.99</v>
      </c>
      <c r="I2743" s="2">
        <v>89.98</v>
      </c>
      <c r="J2743" t="s">
        <v>19</v>
      </c>
      <c r="K2743" t="s">
        <v>44</v>
      </c>
      <c r="L2743" t="s">
        <v>21</v>
      </c>
      <c r="M2743" t="s">
        <v>123</v>
      </c>
      <c r="N2743" t="s">
        <v>124</v>
      </c>
      <c r="O2743" t="s">
        <v>24</v>
      </c>
      <c r="P2743">
        <v>4</v>
      </c>
      <c r="Q2743" s="2">
        <f>Ventas[[#This Row],[precio_base]]*Ventas[[#This Row],[cantidad]]</f>
        <v>89.98</v>
      </c>
      <c r="R2743" s="2">
        <f>Ventas[[#This Row],[Total bruto (antes de descuento)]]-Ventas[[#This Row],[total_venta]]</f>
        <v>0</v>
      </c>
    </row>
    <row r="2744" spans="1:18" x14ac:dyDescent="0.25">
      <c r="A2744" t="s">
        <v>2837</v>
      </c>
      <c r="B2744" s="1">
        <v>45084</v>
      </c>
      <c r="C2744" t="s">
        <v>70</v>
      </c>
      <c r="D2744" t="s">
        <v>31</v>
      </c>
      <c r="E2744">
        <v>4</v>
      </c>
      <c r="F2744" s="2">
        <v>59.99</v>
      </c>
      <c r="G2744">
        <v>15</v>
      </c>
      <c r="H2744" s="2">
        <v>50.99</v>
      </c>
      <c r="I2744" s="2">
        <v>203.96</v>
      </c>
      <c r="J2744" t="s">
        <v>19</v>
      </c>
      <c r="K2744" t="s">
        <v>52</v>
      </c>
      <c r="L2744" t="s">
        <v>21</v>
      </c>
      <c r="M2744" t="s">
        <v>65</v>
      </c>
      <c r="N2744" t="s">
        <v>54</v>
      </c>
      <c r="O2744" t="s">
        <v>35</v>
      </c>
      <c r="P2744">
        <v>2</v>
      </c>
      <c r="Q2744" s="2">
        <f>Ventas[[#This Row],[precio_base]]*Ventas[[#This Row],[cantidad]]</f>
        <v>239.96</v>
      </c>
      <c r="R2744" s="2">
        <f>Ventas[[#This Row],[Total bruto (antes de descuento)]]-Ventas[[#This Row],[total_venta]]</f>
        <v>36</v>
      </c>
    </row>
    <row r="2745" spans="1:18" x14ac:dyDescent="0.25">
      <c r="A2745" t="s">
        <v>2838</v>
      </c>
      <c r="B2745" s="1">
        <v>45251</v>
      </c>
      <c r="C2745" t="s">
        <v>156</v>
      </c>
      <c r="D2745" t="s">
        <v>27</v>
      </c>
      <c r="E2745">
        <v>1</v>
      </c>
      <c r="F2745" s="2">
        <v>49.99</v>
      </c>
      <c r="G2745">
        <v>20</v>
      </c>
      <c r="H2745" s="2">
        <v>39.99</v>
      </c>
      <c r="I2745" s="2">
        <v>39.99</v>
      </c>
      <c r="J2745" t="s">
        <v>90</v>
      </c>
      <c r="K2745" t="s">
        <v>44</v>
      </c>
      <c r="L2745" t="s">
        <v>45</v>
      </c>
      <c r="M2745" t="s">
        <v>39</v>
      </c>
      <c r="N2745" t="s">
        <v>40</v>
      </c>
      <c r="O2745" t="s">
        <v>35</v>
      </c>
      <c r="Q2745" s="2">
        <f>Ventas[[#This Row],[precio_base]]*Ventas[[#This Row],[cantidad]]</f>
        <v>49.99</v>
      </c>
      <c r="R2745" s="2">
        <f>Ventas[[#This Row],[Total bruto (antes de descuento)]]-Ventas[[#This Row],[total_venta]]</f>
        <v>10</v>
      </c>
    </row>
    <row r="2746" spans="1:18" x14ac:dyDescent="0.25">
      <c r="A2746" t="s">
        <v>2839</v>
      </c>
      <c r="B2746" s="1">
        <v>45473</v>
      </c>
      <c r="C2746" t="s">
        <v>83</v>
      </c>
      <c r="D2746" t="s">
        <v>38</v>
      </c>
      <c r="E2746">
        <v>3</v>
      </c>
      <c r="F2746" s="2">
        <v>49.99</v>
      </c>
      <c r="G2746">
        <v>10</v>
      </c>
      <c r="H2746" s="2">
        <v>44.99</v>
      </c>
      <c r="I2746" s="2">
        <v>134.97</v>
      </c>
      <c r="J2746" t="s">
        <v>51</v>
      </c>
      <c r="K2746" t="s">
        <v>52</v>
      </c>
      <c r="L2746" t="s">
        <v>45</v>
      </c>
      <c r="M2746" t="s">
        <v>63</v>
      </c>
      <c r="N2746" t="s">
        <v>34</v>
      </c>
      <c r="O2746" t="s">
        <v>24</v>
      </c>
      <c r="Q2746" s="2">
        <f>Ventas[[#This Row],[precio_base]]*Ventas[[#This Row],[cantidad]]</f>
        <v>149.97</v>
      </c>
      <c r="R2746" s="2">
        <f>Ventas[[#This Row],[Total bruto (antes de descuento)]]-Ventas[[#This Row],[total_venta]]</f>
        <v>15</v>
      </c>
    </row>
    <row r="2747" spans="1:18" x14ac:dyDescent="0.25">
      <c r="A2747" t="s">
        <v>2840</v>
      </c>
      <c r="B2747" s="1">
        <v>45569</v>
      </c>
      <c r="C2747" t="s">
        <v>115</v>
      </c>
      <c r="D2747" t="s">
        <v>18</v>
      </c>
      <c r="E2747">
        <v>4</v>
      </c>
      <c r="F2747" s="2">
        <v>799.99</v>
      </c>
      <c r="G2747">
        <v>10</v>
      </c>
      <c r="H2747" s="2">
        <v>719.99</v>
      </c>
      <c r="I2747" s="2">
        <v>2879.96</v>
      </c>
      <c r="J2747" t="s">
        <v>51</v>
      </c>
      <c r="K2747" t="s">
        <v>52</v>
      </c>
      <c r="L2747" t="s">
        <v>21</v>
      </c>
      <c r="M2747" t="s">
        <v>95</v>
      </c>
      <c r="N2747" t="s">
        <v>96</v>
      </c>
      <c r="O2747" t="s">
        <v>48</v>
      </c>
      <c r="Q2747" s="2">
        <f>Ventas[[#This Row],[precio_base]]*Ventas[[#This Row],[cantidad]]</f>
        <v>3199.96</v>
      </c>
      <c r="R2747" s="2">
        <f>Ventas[[#This Row],[Total bruto (antes de descuento)]]-Ventas[[#This Row],[total_venta]]</f>
        <v>320</v>
      </c>
    </row>
    <row r="2748" spans="1:18" x14ac:dyDescent="0.25">
      <c r="A2748" t="s">
        <v>2841</v>
      </c>
      <c r="B2748" s="1">
        <v>45013</v>
      </c>
      <c r="C2748" t="s">
        <v>56</v>
      </c>
      <c r="D2748" t="s">
        <v>18</v>
      </c>
      <c r="E2748">
        <v>1</v>
      </c>
      <c r="F2748" s="2">
        <v>89.99</v>
      </c>
      <c r="G2748">
        <v>0</v>
      </c>
      <c r="H2748" s="2">
        <v>89.99</v>
      </c>
      <c r="I2748" s="2">
        <v>89.99</v>
      </c>
      <c r="J2748" t="s">
        <v>19</v>
      </c>
      <c r="K2748" t="s">
        <v>20</v>
      </c>
      <c r="L2748" t="s">
        <v>28</v>
      </c>
      <c r="M2748" t="s">
        <v>65</v>
      </c>
      <c r="N2748" t="s">
        <v>54</v>
      </c>
      <c r="O2748" t="s">
        <v>35</v>
      </c>
      <c r="P2748">
        <v>5</v>
      </c>
      <c r="Q2748" s="2">
        <f>Ventas[[#This Row],[precio_base]]*Ventas[[#This Row],[cantidad]]</f>
        <v>89.99</v>
      </c>
      <c r="R2748" s="2">
        <f>Ventas[[#This Row],[Total bruto (antes de descuento)]]-Ventas[[#This Row],[total_venta]]</f>
        <v>0</v>
      </c>
    </row>
    <row r="2749" spans="1:18" x14ac:dyDescent="0.25">
      <c r="A2749" t="s">
        <v>2842</v>
      </c>
      <c r="B2749" s="1">
        <v>45352</v>
      </c>
      <c r="C2749" t="s">
        <v>70</v>
      </c>
      <c r="D2749" t="s">
        <v>31</v>
      </c>
      <c r="E2749">
        <v>5</v>
      </c>
      <c r="F2749" s="2">
        <v>59.99</v>
      </c>
      <c r="G2749">
        <v>0</v>
      </c>
      <c r="H2749" s="2">
        <v>59.99</v>
      </c>
      <c r="I2749" s="2">
        <v>299.95</v>
      </c>
      <c r="J2749" t="s">
        <v>51</v>
      </c>
      <c r="K2749" t="s">
        <v>57</v>
      </c>
      <c r="L2749" t="s">
        <v>21</v>
      </c>
      <c r="M2749" t="s">
        <v>53</v>
      </c>
      <c r="N2749" t="s">
        <v>54</v>
      </c>
      <c r="O2749" t="s">
        <v>35</v>
      </c>
      <c r="Q2749" s="2">
        <f>Ventas[[#This Row],[precio_base]]*Ventas[[#This Row],[cantidad]]</f>
        <v>299.95</v>
      </c>
      <c r="R2749" s="2">
        <f>Ventas[[#This Row],[Total bruto (antes de descuento)]]-Ventas[[#This Row],[total_venta]]</f>
        <v>0</v>
      </c>
    </row>
    <row r="2750" spans="1:18" x14ac:dyDescent="0.25">
      <c r="A2750" t="s">
        <v>2843</v>
      </c>
      <c r="B2750" s="1">
        <v>44977</v>
      </c>
      <c r="C2750" t="s">
        <v>42</v>
      </c>
      <c r="D2750" t="s">
        <v>43</v>
      </c>
      <c r="E2750">
        <v>4</v>
      </c>
      <c r="F2750" s="2">
        <v>349.99</v>
      </c>
      <c r="G2750">
        <v>0</v>
      </c>
      <c r="H2750" s="2">
        <v>349.99</v>
      </c>
      <c r="I2750" s="2">
        <v>1399.96</v>
      </c>
      <c r="J2750" t="s">
        <v>51</v>
      </c>
      <c r="K2750" t="s">
        <v>44</v>
      </c>
      <c r="L2750" t="s">
        <v>21</v>
      </c>
      <c r="M2750" t="s">
        <v>39</v>
      </c>
      <c r="N2750" t="s">
        <v>40</v>
      </c>
      <c r="O2750" t="s">
        <v>35</v>
      </c>
      <c r="Q2750" s="2">
        <f>Ventas[[#This Row],[precio_base]]*Ventas[[#This Row],[cantidad]]</f>
        <v>1399.96</v>
      </c>
      <c r="R2750" s="2">
        <f>Ventas[[#This Row],[Total bruto (antes de descuento)]]-Ventas[[#This Row],[total_venta]]</f>
        <v>0</v>
      </c>
    </row>
    <row r="2751" spans="1:18" x14ac:dyDescent="0.25">
      <c r="A2751" t="s">
        <v>2844</v>
      </c>
      <c r="B2751" s="1">
        <v>45081</v>
      </c>
      <c r="C2751" t="s">
        <v>89</v>
      </c>
      <c r="D2751" t="s">
        <v>38</v>
      </c>
      <c r="E2751">
        <v>1</v>
      </c>
      <c r="F2751" s="2">
        <v>69.989999999999995</v>
      </c>
      <c r="G2751">
        <v>10</v>
      </c>
      <c r="H2751" s="2">
        <v>62.99</v>
      </c>
      <c r="I2751" s="2">
        <v>62.99</v>
      </c>
      <c r="J2751" t="s">
        <v>116</v>
      </c>
      <c r="K2751" t="s">
        <v>20</v>
      </c>
      <c r="L2751" t="s">
        <v>45</v>
      </c>
      <c r="M2751" t="s">
        <v>33</v>
      </c>
      <c r="N2751" t="s">
        <v>34</v>
      </c>
      <c r="O2751" t="s">
        <v>35</v>
      </c>
      <c r="Q2751" s="2">
        <f>Ventas[[#This Row],[precio_base]]*Ventas[[#This Row],[cantidad]]</f>
        <v>69.989999999999995</v>
      </c>
      <c r="R2751" s="2">
        <f>Ventas[[#This Row],[Total bruto (antes de descuento)]]-Ventas[[#This Row],[total_venta]]</f>
        <v>6.9999999999999929</v>
      </c>
    </row>
    <row r="2752" spans="1:18" x14ac:dyDescent="0.25">
      <c r="A2752" t="s">
        <v>2845</v>
      </c>
      <c r="B2752" s="1">
        <v>45539</v>
      </c>
      <c r="C2752" t="s">
        <v>141</v>
      </c>
      <c r="D2752" t="s">
        <v>38</v>
      </c>
      <c r="E2752">
        <v>1</v>
      </c>
      <c r="F2752" s="2">
        <v>89.99</v>
      </c>
      <c r="G2752">
        <v>5</v>
      </c>
      <c r="H2752" s="2">
        <v>85.49</v>
      </c>
      <c r="I2752" s="2">
        <v>85.49</v>
      </c>
      <c r="J2752" t="s">
        <v>19</v>
      </c>
      <c r="K2752" t="s">
        <v>20</v>
      </c>
      <c r="L2752" t="s">
        <v>45</v>
      </c>
      <c r="M2752" t="s">
        <v>63</v>
      </c>
      <c r="N2752" t="s">
        <v>34</v>
      </c>
      <c r="O2752" t="s">
        <v>24</v>
      </c>
      <c r="P2752">
        <v>4</v>
      </c>
      <c r="Q2752" s="2">
        <f>Ventas[[#This Row],[precio_base]]*Ventas[[#This Row],[cantidad]]</f>
        <v>89.99</v>
      </c>
      <c r="R2752" s="2">
        <f>Ventas[[#This Row],[Total bruto (antes de descuento)]]-Ventas[[#This Row],[total_venta]]</f>
        <v>4.5</v>
      </c>
    </row>
    <row r="2753" spans="1:18" x14ac:dyDescent="0.25">
      <c r="A2753" t="s">
        <v>2846</v>
      </c>
      <c r="B2753" s="1">
        <v>45187</v>
      </c>
      <c r="C2753" t="s">
        <v>163</v>
      </c>
      <c r="D2753" t="s">
        <v>18</v>
      </c>
      <c r="E2753">
        <v>2</v>
      </c>
      <c r="F2753" s="2">
        <v>499.99</v>
      </c>
      <c r="G2753">
        <v>10</v>
      </c>
      <c r="H2753" s="2">
        <v>449.99</v>
      </c>
      <c r="I2753" s="2">
        <v>899.98</v>
      </c>
      <c r="J2753" t="s">
        <v>19</v>
      </c>
      <c r="K2753" t="s">
        <v>20</v>
      </c>
      <c r="L2753" t="s">
        <v>32</v>
      </c>
      <c r="M2753" t="s">
        <v>63</v>
      </c>
      <c r="N2753" t="s">
        <v>34</v>
      </c>
      <c r="O2753" t="s">
        <v>24</v>
      </c>
      <c r="P2753">
        <v>2</v>
      </c>
      <c r="Q2753" s="2">
        <f>Ventas[[#This Row],[precio_base]]*Ventas[[#This Row],[cantidad]]</f>
        <v>999.98</v>
      </c>
      <c r="R2753" s="2">
        <f>Ventas[[#This Row],[Total bruto (antes de descuento)]]-Ventas[[#This Row],[total_venta]]</f>
        <v>100</v>
      </c>
    </row>
    <row r="2754" spans="1:18" x14ac:dyDescent="0.25">
      <c r="A2754" t="s">
        <v>2847</v>
      </c>
      <c r="B2754" s="1">
        <v>45074</v>
      </c>
      <c r="C2754" t="s">
        <v>17</v>
      </c>
      <c r="D2754" t="s">
        <v>18</v>
      </c>
      <c r="E2754">
        <v>4</v>
      </c>
      <c r="F2754" s="2">
        <v>45.99</v>
      </c>
      <c r="G2754">
        <v>0</v>
      </c>
      <c r="H2754" s="2">
        <v>45.99</v>
      </c>
      <c r="I2754" s="2">
        <v>183.96</v>
      </c>
      <c r="J2754" t="s">
        <v>19</v>
      </c>
      <c r="K2754" t="s">
        <v>44</v>
      </c>
      <c r="L2754" t="s">
        <v>21</v>
      </c>
      <c r="M2754" t="s">
        <v>123</v>
      </c>
      <c r="N2754" t="s">
        <v>124</v>
      </c>
      <c r="O2754" t="s">
        <v>24</v>
      </c>
      <c r="P2754">
        <v>4</v>
      </c>
      <c r="Q2754" s="2">
        <f>Ventas[[#This Row],[precio_base]]*Ventas[[#This Row],[cantidad]]</f>
        <v>183.96</v>
      </c>
      <c r="R2754" s="2">
        <f>Ventas[[#This Row],[Total bruto (antes de descuento)]]-Ventas[[#This Row],[total_venta]]</f>
        <v>0</v>
      </c>
    </row>
    <row r="2755" spans="1:18" x14ac:dyDescent="0.25">
      <c r="A2755" t="s">
        <v>2848</v>
      </c>
      <c r="B2755" s="1">
        <v>45123</v>
      </c>
      <c r="C2755" t="s">
        <v>122</v>
      </c>
      <c r="D2755" t="s">
        <v>43</v>
      </c>
      <c r="E2755">
        <v>2</v>
      </c>
      <c r="F2755" s="2">
        <v>44.99</v>
      </c>
      <c r="G2755">
        <v>15</v>
      </c>
      <c r="H2755" s="2">
        <v>38.24</v>
      </c>
      <c r="I2755" s="2">
        <v>76.48</v>
      </c>
      <c r="J2755" t="s">
        <v>51</v>
      </c>
      <c r="K2755" t="s">
        <v>44</v>
      </c>
      <c r="L2755" t="s">
        <v>21</v>
      </c>
      <c r="M2755" t="s">
        <v>84</v>
      </c>
      <c r="N2755" t="s">
        <v>85</v>
      </c>
      <c r="O2755" t="s">
        <v>35</v>
      </c>
      <c r="Q2755" s="2">
        <f>Ventas[[#This Row],[precio_base]]*Ventas[[#This Row],[cantidad]]</f>
        <v>89.98</v>
      </c>
      <c r="R2755" s="2">
        <f>Ventas[[#This Row],[Total bruto (antes de descuento)]]-Ventas[[#This Row],[total_venta]]</f>
        <v>13.5</v>
      </c>
    </row>
    <row r="2756" spans="1:18" x14ac:dyDescent="0.25">
      <c r="A2756" t="s">
        <v>2849</v>
      </c>
      <c r="B2756" s="1">
        <v>45223</v>
      </c>
      <c r="C2756" t="s">
        <v>83</v>
      </c>
      <c r="D2756" t="s">
        <v>38</v>
      </c>
      <c r="E2756">
        <v>3</v>
      </c>
      <c r="F2756" s="2">
        <v>49.99</v>
      </c>
      <c r="G2756">
        <v>5</v>
      </c>
      <c r="H2756" s="2">
        <v>47.49</v>
      </c>
      <c r="I2756" s="2">
        <v>142.47</v>
      </c>
      <c r="J2756" t="s">
        <v>62</v>
      </c>
      <c r="K2756" t="s">
        <v>20</v>
      </c>
      <c r="L2756" t="s">
        <v>45</v>
      </c>
      <c r="M2756" t="s">
        <v>67</v>
      </c>
      <c r="N2756" t="s">
        <v>68</v>
      </c>
      <c r="O2756" t="s">
        <v>35</v>
      </c>
      <c r="Q2756" s="2">
        <f>Ventas[[#This Row],[precio_base]]*Ventas[[#This Row],[cantidad]]</f>
        <v>149.97</v>
      </c>
      <c r="R2756" s="2">
        <f>Ventas[[#This Row],[Total bruto (antes de descuento)]]-Ventas[[#This Row],[total_venta]]</f>
        <v>7.5</v>
      </c>
    </row>
    <row r="2757" spans="1:18" x14ac:dyDescent="0.25">
      <c r="A2757" t="s">
        <v>2850</v>
      </c>
      <c r="B2757" s="1">
        <v>45458</v>
      </c>
      <c r="C2757" t="s">
        <v>92</v>
      </c>
      <c r="D2757" t="s">
        <v>27</v>
      </c>
      <c r="E2757">
        <v>5</v>
      </c>
      <c r="F2757" s="2">
        <v>79.989999999999995</v>
      </c>
      <c r="G2757">
        <v>10</v>
      </c>
      <c r="H2757" s="2">
        <v>71.989999999999995</v>
      </c>
      <c r="I2757" s="2">
        <v>359.95</v>
      </c>
      <c r="J2757" t="s">
        <v>19</v>
      </c>
      <c r="K2757" t="s">
        <v>20</v>
      </c>
      <c r="L2757" t="s">
        <v>45</v>
      </c>
      <c r="M2757" t="s">
        <v>123</v>
      </c>
      <c r="N2757" t="s">
        <v>124</v>
      </c>
      <c r="O2757" t="s">
        <v>24</v>
      </c>
      <c r="P2757">
        <v>2</v>
      </c>
      <c r="Q2757" s="2">
        <f>Ventas[[#This Row],[precio_base]]*Ventas[[#This Row],[cantidad]]</f>
        <v>399.95</v>
      </c>
      <c r="R2757" s="2">
        <f>Ventas[[#This Row],[Total bruto (antes de descuento)]]-Ventas[[#This Row],[total_venta]]</f>
        <v>40</v>
      </c>
    </row>
    <row r="2758" spans="1:18" x14ac:dyDescent="0.25">
      <c r="A2758" t="s">
        <v>2851</v>
      </c>
      <c r="B2758" s="1">
        <v>44937</v>
      </c>
      <c r="C2758" t="s">
        <v>42</v>
      </c>
      <c r="D2758" t="s">
        <v>43</v>
      </c>
      <c r="E2758">
        <v>3</v>
      </c>
      <c r="F2758" s="2">
        <v>349.99</v>
      </c>
      <c r="G2758">
        <v>10</v>
      </c>
      <c r="H2758" s="2">
        <v>314.99</v>
      </c>
      <c r="I2758" s="2">
        <v>944.97</v>
      </c>
      <c r="J2758" t="s">
        <v>51</v>
      </c>
      <c r="K2758" t="s">
        <v>44</v>
      </c>
      <c r="L2758" t="s">
        <v>21</v>
      </c>
      <c r="M2758" t="s">
        <v>39</v>
      </c>
      <c r="N2758" t="s">
        <v>40</v>
      </c>
      <c r="O2758" t="s">
        <v>35</v>
      </c>
      <c r="Q2758" s="2">
        <f>Ventas[[#This Row],[precio_base]]*Ventas[[#This Row],[cantidad]]</f>
        <v>1049.97</v>
      </c>
      <c r="R2758" s="2">
        <f>Ventas[[#This Row],[Total bruto (antes de descuento)]]-Ventas[[#This Row],[total_venta]]</f>
        <v>105</v>
      </c>
    </row>
    <row r="2759" spans="1:18" x14ac:dyDescent="0.25">
      <c r="A2759" t="s">
        <v>2852</v>
      </c>
      <c r="B2759" s="1">
        <v>45553</v>
      </c>
      <c r="C2759" t="s">
        <v>98</v>
      </c>
      <c r="D2759" t="s">
        <v>31</v>
      </c>
      <c r="E2759">
        <v>3</v>
      </c>
      <c r="F2759" s="2">
        <v>99.99</v>
      </c>
      <c r="G2759">
        <v>0</v>
      </c>
      <c r="H2759" s="2">
        <v>99.99</v>
      </c>
      <c r="I2759" s="2">
        <v>299.97000000000003</v>
      </c>
      <c r="J2759" t="s">
        <v>51</v>
      </c>
      <c r="K2759" t="s">
        <v>44</v>
      </c>
      <c r="L2759" t="s">
        <v>28</v>
      </c>
      <c r="M2759" t="s">
        <v>101</v>
      </c>
      <c r="N2759" t="s">
        <v>102</v>
      </c>
      <c r="O2759" t="s">
        <v>35</v>
      </c>
      <c r="Q2759" s="2">
        <f>Ventas[[#This Row],[precio_base]]*Ventas[[#This Row],[cantidad]]</f>
        <v>299.96999999999997</v>
      </c>
      <c r="R2759" s="2">
        <f>Ventas[[#This Row],[Total bruto (antes de descuento)]]-Ventas[[#This Row],[total_venta]]</f>
        <v>0</v>
      </c>
    </row>
    <row r="2760" spans="1:18" x14ac:dyDescent="0.25">
      <c r="A2760" t="s">
        <v>2853</v>
      </c>
      <c r="B2760" s="1">
        <v>45113</v>
      </c>
      <c r="C2760" t="s">
        <v>109</v>
      </c>
      <c r="D2760" t="s">
        <v>38</v>
      </c>
      <c r="E2760">
        <v>4</v>
      </c>
      <c r="F2760" s="2">
        <v>39.99</v>
      </c>
      <c r="G2760">
        <v>15</v>
      </c>
      <c r="H2760" s="2">
        <v>33.99</v>
      </c>
      <c r="I2760" s="2">
        <v>135.96</v>
      </c>
      <c r="J2760" t="s">
        <v>51</v>
      </c>
      <c r="K2760" t="s">
        <v>52</v>
      </c>
      <c r="L2760" t="s">
        <v>45</v>
      </c>
      <c r="M2760" t="s">
        <v>63</v>
      </c>
      <c r="N2760" t="s">
        <v>34</v>
      </c>
      <c r="O2760" t="s">
        <v>24</v>
      </c>
      <c r="Q2760" s="2">
        <f>Ventas[[#This Row],[precio_base]]*Ventas[[#This Row],[cantidad]]</f>
        <v>159.96</v>
      </c>
      <c r="R2760" s="2">
        <f>Ventas[[#This Row],[Total bruto (antes de descuento)]]-Ventas[[#This Row],[total_venta]]</f>
        <v>24</v>
      </c>
    </row>
    <row r="2761" spans="1:18" x14ac:dyDescent="0.25">
      <c r="A2761" t="s">
        <v>2854</v>
      </c>
      <c r="B2761" s="1">
        <v>45251</v>
      </c>
      <c r="C2761" t="s">
        <v>37</v>
      </c>
      <c r="D2761" t="s">
        <v>38</v>
      </c>
      <c r="E2761">
        <v>2</v>
      </c>
      <c r="F2761" s="2">
        <v>34.99</v>
      </c>
      <c r="G2761">
        <v>0</v>
      </c>
      <c r="H2761" s="2">
        <v>34.99</v>
      </c>
      <c r="I2761" s="2">
        <v>69.98</v>
      </c>
      <c r="J2761" t="s">
        <v>19</v>
      </c>
      <c r="K2761" t="s">
        <v>44</v>
      </c>
      <c r="L2761" t="s">
        <v>21</v>
      </c>
      <c r="M2761" t="s">
        <v>53</v>
      </c>
      <c r="N2761" t="s">
        <v>54</v>
      </c>
      <c r="O2761" t="s">
        <v>35</v>
      </c>
      <c r="P2761">
        <v>2</v>
      </c>
      <c r="Q2761" s="2">
        <f>Ventas[[#This Row],[precio_base]]*Ventas[[#This Row],[cantidad]]</f>
        <v>69.98</v>
      </c>
      <c r="R2761" s="2">
        <f>Ventas[[#This Row],[Total bruto (antes de descuento)]]-Ventas[[#This Row],[total_venta]]</f>
        <v>0</v>
      </c>
    </row>
    <row r="2762" spans="1:18" x14ac:dyDescent="0.25">
      <c r="A2762" t="s">
        <v>2855</v>
      </c>
      <c r="B2762" s="1">
        <v>45090</v>
      </c>
      <c r="C2762" t="s">
        <v>122</v>
      </c>
      <c r="D2762" t="s">
        <v>43</v>
      </c>
      <c r="E2762">
        <v>3</v>
      </c>
      <c r="F2762" s="2">
        <v>44.99</v>
      </c>
      <c r="G2762">
        <v>10</v>
      </c>
      <c r="H2762" s="2">
        <v>40.49</v>
      </c>
      <c r="I2762" s="2">
        <v>121.47</v>
      </c>
      <c r="J2762" t="s">
        <v>19</v>
      </c>
      <c r="K2762" t="s">
        <v>20</v>
      </c>
      <c r="L2762" t="s">
        <v>45</v>
      </c>
      <c r="M2762" t="s">
        <v>120</v>
      </c>
      <c r="N2762" t="s">
        <v>23</v>
      </c>
      <c r="O2762" t="s">
        <v>24</v>
      </c>
      <c r="P2762">
        <v>5</v>
      </c>
      <c r="Q2762" s="2">
        <f>Ventas[[#This Row],[precio_base]]*Ventas[[#This Row],[cantidad]]</f>
        <v>134.97</v>
      </c>
      <c r="R2762" s="2">
        <f>Ventas[[#This Row],[Total bruto (antes de descuento)]]-Ventas[[#This Row],[total_venta]]</f>
        <v>13.5</v>
      </c>
    </row>
    <row r="2763" spans="1:18" x14ac:dyDescent="0.25">
      <c r="A2763" t="s">
        <v>2856</v>
      </c>
      <c r="B2763" s="1">
        <v>45012</v>
      </c>
      <c r="C2763" t="s">
        <v>78</v>
      </c>
      <c r="D2763" t="s">
        <v>18</v>
      </c>
      <c r="E2763">
        <v>5</v>
      </c>
      <c r="F2763" s="2">
        <v>349.99</v>
      </c>
      <c r="G2763">
        <v>0</v>
      </c>
      <c r="H2763" s="2">
        <v>349.99</v>
      </c>
      <c r="I2763" s="2">
        <v>1749.95</v>
      </c>
      <c r="J2763" t="s">
        <v>19</v>
      </c>
      <c r="K2763" t="s">
        <v>44</v>
      </c>
      <c r="L2763" t="s">
        <v>152</v>
      </c>
      <c r="M2763" t="s">
        <v>123</v>
      </c>
      <c r="N2763" t="s">
        <v>124</v>
      </c>
      <c r="O2763" t="s">
        <v>24</v>
      </c>
      <c r="P2763">
        <v>2</v>
      </c>
      <c r="Q2763" s="2">
        <f>Ventas[[#This Row],[precio_base]]*Ventas[[#This Row],[cantidad]]</f>
        <v>1749.95</v>
      </c>
      <c r="R2763" s="2">
        <f>Ventas[[#This Row],[Total bruto (antes de descuento)]]-Ventas[[#This Row],[total_venta]]</f>
        <v>0</v>
      </c>
    </row>
    <row r="2764" spans="1:18" x14ac:dyDescent="0.25">
      <c r="A2764" t="s">
        <v>2857</v>
      </c>
      <c r="B2764" s="1">
        <v>45533</v>
      </c>
      <c r="C2764" t="s">
        <v>83</v>
      </c>
      <c r="D2764" t="s">
        <v>38</v>
      </c>
      <c r="E2764">
        <v>1</v>
      </c>
      <c r="F2764" s="2">
        <v>49.99</v>
      </c>
      <c r="G2764">
        <v>0</v>
      </c>
      <c r="H2764" s="2">
        <v>49.99</v>
      </c>
      <c r="I2764" s="2">
        <v>49.99</v>
      </c>
      <c r="J2764" t="s">
        <v>19</v>
      </c>
      <c r="K2764" t="s">
        <v>57</v>
      </c>
      <c r="L2764" t="s">
        <v>28</v>
      </c>
      <c r="M2764" t="s">
        <v>67</v>
      </c>
      <c r="N2764" t="s">
        <v>68</v>
      </c>
      <c r="O2764" t="s">
        <v>35</v>
      </c>
      <c r="P2764">
        <v>2</v>
      </c>
      <c r="Q2764" s="2">
        <f>Ventas[[#This Row],[precio_base]]*Ventas[[#This Row],[cantidad]]</f>
        <v>49.99</v>
      </c>
      <c r="R2764" s="2">
        <f>Ventas[[#This Row],[Total bruto (antes de descuento)]]-Ventas[[#This Row],[total_venta]]</f>
        <v>0</v>
      </c>
    </row>
    <row r="2765" spans="1:18" x14ac:dyDescent="0.25">
      <c r="A2765" t="s">
        <v>2858</v>
      </c>
      <c r="B2765" s="1">
        <v>44970</v>
      </c>
      <c r="C2765" t="s">
        <v>78</v>
      </c>
      <c r="D2765" t="s">
        <v>18</v>
      </c>
      <c r="E2765">
        <v>5</v>
      </c>
      <c r="F2765" s="2">
        <v>349.99</v>
      </c>
      <c r="G2765">
        <v>0</v>
      </c>
      <c r="H2765" s="2">
        <v>349.99</v>
      </c>
      <c r="I2765" s="2">
        <v>1749.95</v>
      </c>
      <c r="J2765" t="s">
        <v>19</v>
      </c>
      <c r="K2765" t="s">
        <v>44</v>
      </c>
      <c r="L2765" t="s">
        <v>45</v>
      </c>
      <c r="M2765" t="s">
        <v>73</v>
      </c>
      <c r="N2765" t="s">
        <v>74</v>
      </c>
      <c r="O2765" t="s">
        <v>35</v>
      </c>
      <c r="P2765">
        <v>4</v>
      </c>
      <c r="Q2765" s="2">
        <f>Ventas[[#This Row],[precio_base]]*Ventas[[#This Row],[cantidad]]</f>
        <v>1749.95</v>
      </c>
      <c r="R2765" s="2">
        <f>Ventas[[#This Row],[Total bruto (antes de descuento)]]-Ventas[[#This Row],[total_venta]]</f>
        <v>0</v>
      </c>
    </row>
    <row r="2766" spans="1:18" x14ac:dyDescent="0.25">
      <c r="A2766" t="s">
        <v>2859</v>
      </c>
      <c r="B2766" s="1">
        <v>45177</v>
      </c>
      <c r="C2766" t="s">
        <v>151</v>
      </c>
      <c r="D2766" t="s">
        <v>27</v>
      </c>
      <c r="E2766">
        <v>2</v>
      </c>
      <c r="F2766" s="2">
        <v>599.99</v>
      </c>
      <c r="G2766">
        <v>15</v>
      </c>
      <c r="H2766" s="2">
        <v>509.99</v>
      </c>
      <c r="I2766" s="2">
        <v>1019.98</v>
      </c>
      <c r="J2766" t="s">
        <v>19</v>
      </c>
      <c r="K2766" t="s">
        <v>44</v>
      </c>
      <c r="L2766" t="s">
        <v>21</v>
      </c>
      <c r="M2766" t="s">
        <v>67</v>
      </c>
      <c r="N2766" t="s">
        <v>68</v>
      </c>
      <c r="O2766" t="s">
        <v>35</v>
      </c>
      <c r="P2766">
        <v>2</v>
      </c>
      <c r="Q2766" s="2">
        <f>Ventas[[#This Row],[precio_base]]*Ventas[[#This Row],[cantidad]]</f>
        <v>1199.98</v>
      </c>
      <c r="R2766" s="2">
        <f>Ventas[[#This Row],[Total bruto (antes de descuento)]]-Ventas[[#This Row],[total_venta]]</f>
        <v>180</v>
      </c>
    </row>
    <row r="2767" spans="1:18" x14ac:dyDescent="0.25">
      <c r="A2767" t="s">
        <v>2860</v>
      </c>
      <c r="B2767" s="1">
        <v>44970</v>
      </c>
      <c r="C2767" t="s">
        <v>37</v>
      </c>
      <c r="D2767" t="s">
        <v>38</v>
      </c>
      <c r="E2767">
        <v>4</v>
      </c>
      <c r="F2767" s="2">
        <v>34.99</v>
      </c>
      <c r="G2767">
        <v>0</v>
      </c>
      <c r="H2767" s="2">
        <v>34.99</v>
      </c>
      <c r="I2767" s="2">
        <v>139.96</v>
      </c>
      <c r="J2767" t="s">
        <v>19</v>
      </c>
      <c r="K2767" t="s">
        <v>44</v>
      </c>
      <c r="L2767" t="s">
        <v>21</v>
      </c>
      <c r="M2767" t="s">
        <v>58</v>
      </c>
      <c r="N2767" t="s">
        <v>59</v>
      </c>
      <c r="O2767" t="s">
        <v>24</v>
      </c>
      <c r="P2767">
        <v>5</v>
      </c>
      <c r="Q2767" s="2">
        <f>Ventas[[#This Row],[precio_base]]*Ventas[[#This Row],[cantidad]]</f>
        <v>139.96</v>
      </c>
      <c r="R2767" s="2">
        <f>Ventas[[#This Row],[Total bruto (antes de descuento)]]-Ventas[[#This Row],[total_venta]]</f>
        <v>0</v>
      </c>
    </row>
    <row r="2768" spans="1:18" x14ac:dyDescent="0.25">
      <c r="A2768" t="s">
        <v>2861</v>
      </c>
      <c r="B2768" s="1">
        <v>45274</v>
      </c>
      <c r="C2768" t="s">
        <v>17</v>
      </c>
      <c r="D2768" t="s">
        <v>18</v>
      </c>
      <c r="E2768">
        <v>2</v>
      </c>
      <c r="F2768" s="2">
        <v>45.99</v>
      </c>
      <c r="G2768">
        <v>0</v>
      </c>
      <c r="H2768" s="2">
        <v>45.99</v>
      </c>
      <c r="I2768" s="2">
        <v>91.98</v>
      </c>
      <c r="J2768" t="s">
        <v>51</v>
      </c>
      <c r="K2768" t="s">
        <v>44</v>
      </c>
      <c r="L2768" t="s">
        <v>28</v>
      </c>
      <c r="M2768" t="s">
        <v>22</v>
      </c>
      <c r="N2768" t="s">
        <v>23</v>
      </c>
      <c r="O2768" t="s">
        <v>24</v>
      </c>
      <c r="Q2768" s="2">
        <f>Ventas[[#This Row],[precio_base]]*Ventas[[#This Row],[cantidad]]</f>
        <v>91.98</v>
      </c>
      <c r="R2768" s="2">
        <f>Ventas[[#This Row],[Total bruto (antes de descuento)]]-Ventas[[#This Row],[total_venta]]</f>
        <v>0</v>
      </c>
    </row>
    <row r="2769" spans="1:18" x14ac:dyDescent="0.25">
      <c r="A2769" t="s">
        <v>2862</v>
      </c>
      <c r="B2769" s="1">
        <v>44968</v>
      </c>
      <c r="C2769" t="s">
        <v>94</v>
      </c>
      <c r="D2769" t="s">
        <v>18</v>
      </c>
      <c r="E2769">
        <v>3</v>
      </c>
      <c r="F2769" s="2">
        <v>899.99</v>
      </c>
      <c r="G2769">
        <v>10</v>
      </c>
      <c r="H2769" s="2">
        <v>809.99</v>
      </c>
      <c r="I2769" s="2">
        <v>2429.9699999999998</v>
      </c>
      <c r="J2769" t="s">
        <v>19</v>
      </c>
      <c r="K2769" t="s">
        <v>20</v>
      </c>
      <c r="L2769" t="s">
        <v>32</v>
      </c>
      <c r="M2769" t="s">
        <v>67</v>
      </c>
      <c r="N2769" t="s">
        <v>68</v>
      </c>
      <c r="O2769" t="s">
        <v>35</v>
      </c>
      <c r="P2769">
        <v>1</v>
      </c>
      <c r="Q2769" s="2">
        <f>Ventas[[#This Row],[precio_base]]*Ventas[[#This Row],[cantidad]]</f>
        <v>2699.9700000000003</v>
      </c>
      <c r="R2769" s="2">
        <f>Ventas[[#This Row],[Total bruto (antes de descuento)]]-Ventas[[#This Row],[total_venta]]</f>
        <v>270.00000000000045</v>
      </c>
    </row>
    <row r="2770" spans="1:18" x14ac:dyDescent="0.25">
      <c r="A2770" t="s">
        <v>2863</v>
      </c>
      <c r="B2770" s="1">
        <v>45584</v>
      </c>
      <c r="C2770" t="s">
        <v>56</v>
      </c>
      <c r="D2770" t="s">
        <v>18</v>
      </c>
      <c r="E2770">
        <v>2</v>
      </c>
      <c r="F2770" s="2">
        <v>89.99</v>
      </c>
      <c r="G2770">
        <v>20</v>
      </c>
      <c r="H2770" s="2">
        <v>71.989999999999995</v>
      </c>
      <c r="I2770" s="2">
        <v>143.97999999999999</v>
      </c>
      <c r="J2770" t="s">
        <v>19</v>
      </c>
      <c r="K2770" t="s">
        <v>20</v>
      </c>
      <c r="L2770" t="s">
        <v>21</v>
      </c>
      <c r="M2770" t="s">
        <v>67</v>
      </c>
      <c r="N2770" t="s">
        <v>68</v>
      </c>
      <c r="O2770" t="s">
        <v>35</v>
      </c>
      <c r="P2770">
        <v>3</v>
      </c>
      <c r="Q2770" s="2">
        <f>Ventas[[#This Row],[precio_base]]*Ventas[[#This Row],[cantidad]]</f>
        <v>179.98</v>
      </c>
      <c r="R2770" s="2">
        <f>Ventas[[#This Row],[Total bruto (antes de descuento)]]-Ventas[[#This Row],[total_venta]]</f>
        <v>36</v>
      </c>
    </row>
    <row r="2771" spans="1:18" x14ac:dyDescent="0.25">
      <c r="A2771" t="s">
        <v>2864</v>
      </c>
      <c r="B2771" s="1">
        <v>45450</v>
      </c>
      <c r="C2771" t="s">
        <v>81</v>
      </c>
      <c r="D2771" t="s">
        <v>31</v>
      </c>
      <c r="E2771">
        <v>1</v>
      </c>
      <c r="F2771" s="2">
        <v>189.99</v>
      </c>
      <c r="G2771">
        <v>15</v>
      </c>
      <c r="H2771" s="2">
        <v>161.49</v>
      </c>
      <c r="I2771" s="2">
        <v>161.49</v>
      </c>
      <c r="J2771" t="s">
        <v>19</v>
      </c>
      <c r="K2771" t="s">
        <v>52</v>
      </c>
      <c r="L2771" t="s">
        <v>45</v>
      </c>
      <c r="M2771" t="s">
        <v>63</v>
      </c>
      <c r="N2771" t="s">
        <v>34</v>
      </c>
      <c r="O2771" t="s">
        <v>24</v>
      </c>
      <c r="P2771">
        <v>5</v>
      </c>
      <c r="Q2771" s="2">
        <f>Ventas[[#This Row],[precio_base]]*Ventas[[#This Row],[cantidad]]</f>
        <v>189.99</v>
      </c>
      <c r="R2771" s="2">
        <f>Ventas[[#This Row],[Total bruto (antes de descuento)]]-Ventas[[#This Row],[total_venta]]</f>
        <v>28.5</v>
      </c>
    </row>
    <row r="2772" spans="1:18" x14ac:dyDescent="0.25">
      <c r="A2772" t="s">
        <v>2865</v>
      </c>
      <c r="B2772" s="1">
        <v>45438</v>
      </c>
      <c r="C2772" t="s">
        <v>109</v>
      </c>
      <c r="D2772" t="s">
        <v>38</v>
      </c>
      <c r="E2772">
        <v>3</v>
      </c>
      <c r="F2772" s="2">
        <v>39.99</v>
      </c>
      <c r="G2772">
        <v>0</v>
      </c>
      <c r="H2772" s="2">
        <v>39.99</v>
      </c>
      <c r="I2772" s="2">
        <v>119.97</v>
      </c>
      <c r="J2772" t="s">
        <v>19</v>
      </c>
      <c r="K2772" t="s">
        <v>20</v>
      </c>
      <c r="L2772" t="s">
        <v>21</v>
      </c>
      <c r="M2772" t="s">
        <v>33</v>
      </c>
      <c r="N2772" t="s">
        <v>34</v>
      </c>
      <c r="O2772" t="s">
        <v>35</v>
      </c>
      <c r="P2772">
        <v>5</v>
      </c>
      <c r="Q2772" s="2">
        <f>Ventas[[#This Row],[precio_base]]*Ventas[[#This Row],[cantidad]]</f>
        <v>119.97</v>
      </c>
      <c r="R2772" s="2">
        <f>Ventas[[#This Row],[Total bruto (antes de descuento)]]-Ventas[[#This Row],[total_venta]]</f>
        <v>0</v>
      </c>
    </row>
    <row r="2773" spans="1:18" x14ac:dyDescent="0.25">
      <c r="A2773" t="s">
        <v>2866</v>
      </c>
      <c r="B2773" s="1">
        <v>45477</v>
      </c>
      <c r="C2773" t="s">
        <v>94</v>
      </c>
      <c r="D2773" t="s">
        <v>18</v>
      </c>
      <c r="E2773">
        <v>4</v>
      </c>
      <c r="F2773" s="2">
        <v>899.99</v>
      </c>
      <c r="G2773">
        <v>0</v>
      </c>
      <c r="H2773" s="2">
        <v>899.99</v>
      </c>
      <c r="I2773" s="2">
        <v>3599.96</v>
      </c>
      <c r="J2773" t="s">
        <v>116</v>
      </c>
      <c r="K2773" t="s">
        <v>20</v>
      </c>
      <c r="L2773" t="s">
        <v>32</v>
      </c>
      <c r="M2773" t="s">
        <v>39</v>
      </c>
      <c r="N2773" t="s">
        <v>40</v>
      </c>
      <c r="O2773" t="s">
        <v>35</v>
      </c>
      <c r="Q2773" s="2">
        <f>Ventas[[#This Row],[precio_base]]*Ventas[[#This Row],[cantidad]]</f>
        <v>3599.96</v>
      </c>
      <c r="R2773" s="2">
        <f>Ventas[[#This Row],[Total bruto (antes de descuento)]]-Ventas[[#This Row],[total_venta]]</f>
        <v>0</v>
      </c>
    </row>
    <row r="2774" spans="1:18" x14ac:dyDescent="0.25">
      <c r="A2774" t="s">
        <v>2867</v>
      </c>
      <c r="B2774" s="1">
        <v>44927</v>
      </c>
      <c r="C2774" t="s">
        <v>94</v>
      </c>
      <c r="D2774" t="s">
        <v>18</v>
      </c>
      <c r="E2774">
        <v>4</v>
      </c>
      <c r="F2774" s="2">
        <v>899.99</v>
      </c>
      <c r="G2774">
        <v>0</v>
      </c>
      <c r="H2774" s="2">
        <v>899.99</v>
      </c>
      <c r="I2774" s="2">
        <v>3599.96</v>
      </c>
      <c r="J2774" t="s">
        <v>19</v>
      </c>
      <c r="K2774" t="s">
        <v>52</v>
      </c>
      <c r="L2774" t="s">
        <v>45</v>
      </c>
      <c r="M2774" t="s">
        <v>65</v>
      </c>
      <c r="N2774" t="s">
        <v>54</v>
      </c>
      <c r="O2774" t="s">
        <v>35</v>
      </c>
      <c r="P2774">
        <v>5</v>
      </c>
      <c r="Q2774" s="2">
        <f>Ventas[[#This Row],[precio_base]]*Ventas[[#This Row],[cantidad]]</f>
        <v>3599.96</v>
      </c>
      <c r="R2774" s="2">
        <f>Ventas[[#This Row],[Total bruto (antes de descuento)]]-Ventas[[#This Row],[total_venta]]</f>
        <v>0</v>
      </c>
    </row>
    <row r="2775" spans="1:18" x14ac:dyDescent="0.25">
      <c r="A2775" t="s">
        <v>2868</v>
      </c>
      <c r="B2775" s="1">
        <v>45418</v>
      </c>
      <c r="C2775" t="s">
        <v>163</v>
      </c>
      <c r="D2775" t="s">
        <v>18</v>
      </c>
      <c r="E2775">
        <v>3</v>
      </c>
      <c r="F2775" s="2">
        <v>499.99</v>
      </c>
      <c r="G2775">
        <v>10</v>
      </c>
      <c r="H2775" s="2">
        <v>449.99</v>
      </c>
      <c r="I2775" s="2">
        <v>1349.97</v>
      </c>
      <c r="J2775" t="s">
        <v>19</v>
      </c>
      <c r="K2775" t="s">
        <v>57</v>
      </c>
      <c r="L2775" t="s">
        <v>28</v>
      </c>
      <c r="M2775" t="s">
        <v>84</v>
      </c>
      <c r="N2775" t="s">
        <v>85</v>
      </c>
      <c r="O2775" t="s">
        <v>35</v>
      </c>
      <c r="P2775">
        <v>3</v>
      </c>
      <c r="Q2775" s="2">
        <f>Ventas[[#This Row],[precio_base]]*Ventas[[#This Row],[cantidad]]</f>
        <v>1499.97</v>
      </c>
      <c r="R2775" s="2">
        <f>Ventas[[#This Row],[Total bruto (antes de descuento)]]-Ventas[[#This Row],[total_venta]]</f>
        <v>150</v>
      </c>
    </row>
    <row r="2776" spans="1:18" x14ac:dyDescent="0.25">
      <c r="A2776" t="s">
        <v>2869</v>
      </c>
      <c r="B2776" s="1">
        <v>45335</v>
      </c>
      <c r="C2776" t="s">
        <v>76</v>
      </c>
      <c r="D2776" t="s">
        <v>31</v>
      </c>
      <c r="E2776">
        <v>3</v>
      </c>
      <c r="F2776" s="2">
        <v>69.989999999999995</v>
      </c>
      <c r="G2776">
        <v>20</v>
      </c>
      <c r="H2776" s="2">
        <v>55.99</v>
      </c>
      <c r="I2776" s="2">
        <v>167.97</v>
      </c>
      <c r="J2776" t="s">
        <v>51</v>
      </c>
      <c r="K2776" t="s">
        <v>20</v>
      </c>
      <c r="L2776" t="s">
        <v>21</v>
      </c>
      <c r="M2776" t="s">
        <v>33</v>
      </c>
      <c r="N2776" t="s">
        <v>34</v>
      </c>
      <c r="O2776" t="s">
        <v>35</v>
      </c>
      <c r="Q2776" s="2">
        <f>Ventas[[#This Row],[precio_base]]*Ventas[[#This Row],[cantidad]]</f>
        <v>209.96999999999997</v>
      </c>
      <c r="R2776" s="2">
        <f>Ventas[[#This Row],[Total bruto (antes de descuento)]]-Ventas[[#This Row],[total_venta]]</f>
        <v>41.999999999999972</v>
      </c>
    </row>
    <row r="2777" spans="1:18" x14ac:dyDescent="0.25">
      <c r="A2777" t="s">
        <v>2870</v>
      </c>
      <c r="B2777" s="1">
        <v>45230</v>
      </c>
      <c r="C2777" t="s">
        <v>81</v>
      </c>
      <c r="D2777" t="s">
        <v>31</v>
      </c>
      <c r="E2777">
        <v>2</v>
      </c>
      <c r="F2777" s="2">
        <v>189.99</v>
      </c>
      <c r="G2777">
        <v>0</v>
      </c>
      <c r="H2777" s="2">
        <v>189.99</v>
      </c>
      <c r="I2777" s="2">
        <v>379.98</v>
      </c>
      <c r="J2777" t="s">
        <v>51</v>
      </c>
      <c r="K2777" t="s">
        <v>52</v>
      </c>
      <c r="L2777" t="s">
        <v>32</v>
      </c>
      <c r="M2777" t="s">
        <v>84</v>
      </c>
      <c r="N2777" t="s">
        <v>85</v>
      </c>
      <c r="O2777" t="s">
        <v>35</v>
      </c>
      <c r="Q2777" s="2">
        <f>Ventas[[#This Row],[precio_base]]*Ventas[[#This Row],[cantidad]]</f>
        <v>379.98</v>
      </c>
      <c r="R2777" s="2">
        <f>Ventas[[#This Row],[Total bruto (antes de descuento)]]-Ventas[[#This Row],[total_venta]]</f>
        <v>0</v>
      </c>
    </row>
    <row r="2778" spans="1:18" x14ac:dyDescent="0.25">
      <c r="A2778" t="s">
        <v>2871</v>
      </c>
      <c r="B2778" s="1">
        <v>45110</v>
      </c>
      <c r="C2778" t="s">
        <v>56</v>
      </c>
      <c r="D2778" t="s">
        <v>18</v>
      </c>
      <c r="E2778">
        <v>2</v>
      </c>
      <c r="F2778" s="2">
        <v>89.99</v>
      </c>
      <c r="G2778">
        <v>0</v>
      </c>
      <c r="H2778" s="2">
        <v>89.99</v>
      </c>
      <c r="I2778" s="2">
        <v>179.98</v>
      </c>
      <c r="J2778" t="s">
        <v>19</v>
      </c>
      <c r="K2778" t="s">
        <v>20</v>
      </c>
      <c r="L2778" t="s">
        <v>21</v>
      </c>
      <c r="M2778" t="s">
        <v>84</v>
      </c>
      <c r="N2778" t="s">
        <v>85</v>
      </c>
      <c r="O2778" t="s">
        <v>35</v>
      </c>
      <c r="P2778">
        <v>5</v>
      </c>
      <c r="Q2778" s="2">
        <f>Ventas[[#This Row],[precio_base]]*Ventas[[#This Row],[cantidad]]</f>
        <v>179.98</v>
      </c>
      <c r="R2778" s="2">
        <f>Ventas[[#This Row],[Total bruto (antes de descuento)]]-Ventas[[#This Row],[total_venta]]</f>
        <v>0</v>
      </c>
    </row>
    <row r="2779" spans="1:18" x14ac:dyDescent="0.25">
      <c r="A2779" t="s">
        <v>2872</v>
      </c>
      <c r="B2779" s="1">
        <v>45186</v>
      </c>
      <c r="C2779" t="s">
        <v>50</v>
      </c>
      <c r="D2779" t="s">
        <v>27</v>
      </c>
      <c r="E2779">
        <v>2</v>
      </c>
      <c r="F2779" s="2">
        <v>149.99</v>
      </c>
      <c r="G2779">
        <v>20</v>
      </c>
      <c r="H2779" s="2">
        <v>119.99</v>
      </c>
      <c r="I2779" s="2">
        <v>239.98</v>
      </c>
      <c r="J2779" t="s">
        <v>116</v>
      </c>
      <c r="K2779" t="s">
        <v>44</v>
      </c>
      <c r="L2779" t="s">
        <v>152</v>
      </c>
      <c r="M2779" t="s">
        <v>58</v>
      </c>
      <c r="N2779" t="s">
        <v>59</v>
      </c>
      <c r="O2779" t="s">
        <v>24</v>
      </c>
      <c r="Q2779" s="2">
        <f>Ventas[[#This Row],[precio_base]]*Ventas[[#This Row],[cantidad]]</f>
        <v>299.98</v>
      </c>
      <c r="R2779" s="2">
        <f>Ventas[[#This Row],[Total bruto (antes de descuento)]]-Ventas[[#This Row],[total_venta]]</f>
        <v>60.000000000000028</v>
      </c>
    </row>
    <row r="2780" spans="1:18" x14ac:dyDescent="0.25">
      <c r="A2780" t="s">
        <v>2873</v>
      </c>
      <c r="B2780" s="1">
        <v>45508</v>
      </c>
      <c r="C2780" t="s">
        <v>98</v>
      </c>
      <c r="D2780" t="s">
        <v>31</v>
      </c>
      <c r="E2780">
        <v>1</v>
      </c>
      <c r="F2780" s="2">
        <v>99.99</v>
      </c>
      <c r="G2780">
        <v>0</v>
      </c>
      <c r="H2780" s="2">
        <v>99.99</v>
      </c>
      <c r="I2780" s="2">
        <v>99.99</v>
      </c>
      <c r="J2780" t="s">
        <v>19</v>
      </c>
      <c r="K2780" t="s">
        <v>20</v>
      </c>
      <c r="L2780" t="s">
        <v>32</v>
      </c>
      <c r="M2780" t="s">
        <v>33</v>
      </c>
      <c r="N2780" t="s">
        <v>34</v>
      </c>
      <c r="O2780" t="s">
        <v>35</v>
      </c>
      <c r="P2780">
        <v>4</v>
      </c>
      <c r="Q2780" s="2">
        <f>Ventas[[#This Row],[precio_base]]*Ventas[[#This Row],[cantidad]]</f>
        <v>99.99</v>
      </c>
      <c r="R2780" s="2">
        <f>Ventas[[#This Row],[Total bruto (antes de descuento)]]-Ventas[[#This Row],[total_venta]]</f>
        <v>0</v>
      </c>
    </row>
    <row r="2781" spans="1:18" x14ac:dyDescent="0.25">
      <c r="A2781" t="s">
        <v>2874</v>
      </c>
      <c r="B2781" s="1">
        <v>45529</v>
      </c>
      <c r="C2781" t="s">
        <v>156</v>
      </c>
      <c r="D2781" t="s">
        <v>27</v>
      </c>
      <c r="E2781">
        <v>5</v>
      </c>
      <c r="F2781" s="2">
        <v>49.99</v>
      </c>
      <c r="G2781">
        <v>10</v>
      </c>
      <c r="H2781" s="2">
        <v>44.99</v>
      </c>
      <c r="I2781" s="2">
        <v>224.95</v>
      </c>
      <c r="J2781" t="s">
        <v>19</v>
      </c>
      <c r="K2781" t="s">
        <v>44</v>
      </c>
      <c r="L2781" t="s">
        <v>28</v>
      </c>
      <c r="M2781" t="s">
        <v>84</v>
      </c>
      <c r="N2781" t="s">
        <v>85</v>
      </c>
      <c r="O2781" t="s">
        <v>35</v>
      </c>
      <c r="P2781">
        <v>5</v>
      </c>
      <c r="Q2781" s="2">
        <f>Ventas[[#This Row],[precio_base]]*Ventas[[#This Row],[cantidad]]</f>
        <v>249.95000000000002</v>
      </c>
      <c r="R2781" s="2">
        <f>Ventas[[#This Row],[Total bruto (antes de descuento)]]-Ventas[[#This Row],[total_venta]]</f>
        <v>25.000000000000028</v>
      </c>
    </row>
    <row r="2782" spans="1:18" x14ac:dyDescent="0.25">
      <c r="A2782" t="s">
        <v>2875</v>
      </c>
      <c r="B2782" s="1">
        <v>45642</v>
      </c>
      <c r="C2782" t="s">
        <v>115</v>
      </c>
      <c r="D2782" t="s">
        <v>18</v>
      </c>
      <c r="E2782">
        <v>1</v>
      </c>
      <c r="F2782" s="2">
        <v>799.99</v>
      </c>
      <c r="G2782">
        <v>15</v>
      </c>
      <c r="H2782" s="2">
        <v>679.99</v>
      </c>
      <c r="I2782" s="2">
        <v>679.99</v>
      </c>
      <c r="J2782" t="s">
        <v>19</v>
      </c>
      <c r="K2782" t="s">
        <v>20</v>
      </c>
      <c r="L2782" t="s">
        <v>45</v>
      </c>
      <c r="M2782" t="s">
        <v>46</v>
      </c>
      <c r="N2782" t="s">
        <v>47</v>
      </c>
      <c r="O2782" t="s">
        <v>48</v>
      </c>
      <c r="P2782">
        <v>4</v>
      </c>
      <c r="Q2782" s="2">
        <f>Ventas[[#This Row],[precio_base]]*Ventas[[#This Row],[cantidad]]</f>
        <v>799.99</v>
      </c>
      <c r="R2782" s="2">
        <f>Ventas[[#This Row],[Total bruto (antes de descuento)]]-Ventas[[#This Row],[total_venta]]</f>
        <v>120</v>
      </c>
    </row>
    <row r="2783" spans="1:18" x14ac:dyDescent="0.25">
      <c r="A2783" t="s">
        <v>2876</v>
      </c>
      <c r="B2783" s="1">
        <v>44948</v>
      </c>
      <c r="C2783" t="s">
        <v>76</v>
      </c>
      <c r="D2783" t="s">
        <v>31</v>
      </c>
      <c r="E2783">
        <v>2</v>
      </c>
      <c r="F2783" s="2">
        <v>69.989999999999995</v>
      </c>
      <c r="G2783">
        <v>15</v>
      </c>
      <c r="H2783" s="2">
        <v>59.49</v>
      </c>
      <c r="I2783" s="2">
        <v>118.98</v>
      </c>
      <c r="J2783" t="s">
        <v>19</v>
      </c>
      <c r="K2783" t="s">
        <v>20</v>
      </c>
      <c r="L2783" t="s">
        <v>21</v>
      </c>
      <c r="M2783" t="s">
        <v>46</v>
      </c>
      <c r="N2783" t="s">
        <v>47</v>
      </c>
      <c r="O2783" t="s">
        <v>48</v>
      </c>
      <c r="P2783">
        <v>2</v>
      </c>
      <c r="Q2783" s="2">
        <f>Ventas[[#This Row],[precio_base]]*Ventas[[#This Row],[cantidad]]</f>
        <v>139.97999999999999</v>
      </c>
      <c r="R2783" s="2">
        <f>Ventas[[#This Row],[Total bruto (antes de descuento)]]-Ventas[[#This Row],[total_venta]]</f>
        <v>20.999999999999986</v>
      </c>
    </row>
    <row r="2784" spans="1:18" x14ac:dyDescent="0.25">
      <c r="A2784" t="s">
        <v>2877</v>
      </c>
      <c r="B2784" s="1">
        <v>45479</v>
      </c>
      <c r="C2784" t="s">
        <v>141</v>
      </c>
      <c r="D2784" t="s">
        <v>38</v>
      </c>
      <c r="E2784">
        <v>2</v>
      </c>
      <c r="F2784" s="2">
        <v>89.99</v>
      </c>
      <c r="G2784">
        <v>10</v>
      </c>
      <c r="H2784" s="2">
        <v>80.989999999999995</v>
      </c>
      <c r="I2784" s="2">
        <v>161.97999999999999</v>
      </c>
      <c r="J2784" t="s">
        <v>19</v>
      </c>
      <c r="K2784" t="s">
        <v>20</v>
      </c>
      <c r="L2784" t="s">
        <v>21</v>
      </c>
      <c r="M2784" t="s">
        <v>67</v>
      </c>
      <c r="N2784" t="s">
        <v>68</v>
      </c>
      <c r="O2784" t="s">
        <v>35</v>
      </c>
      <c r="P2784">
        <v>1</v>
      </c>
      <c r="Q2784" s="2">
        <f>Ventas[[#This Row],[precio_base]]*Ventas[[#This Row],[cantidad]]</f>
        <v>179.98</v>
      </c>
      <c r="R2784" s="2">
        <f>Ventas[[#This Row],[Total bruto (antes de descuento)]]-Ventas[[#This Row],[total_venta]]</f>
        <v>18</v>
      </c>
    </row>
    <row r="2785" spans="1:18" x14ac:dyDescent="0.25">
      <c r="A2785" t="s">
        <v>2878</v>
      </c>
      <c r="B2785" s="1">
        <v>45261</v>
      </c>
      <c r="C2785" t="s">
        <v>70</v>
      </c>
      <c r="D2785" t="s">
        <v>31</v>
      </c>
      <c r="E2785">
        <v>2</v>
      </c>
      <c r="F2785" s="2">
        <v>59.99</v>
      </c>
      <c r="G2785">
        <v>0</v>
      </c>
      <c r="H2785" s="2">
        <v>59.99</v>
      </c>
      <c r="I2785" s="2">
        <v>119.98</v>
      </c>
      <c r="J2785" t="s">
        <v>19</v>
      </c>
      <c r="K2785" t="s">
        <v>52</v>
      </c>
      <c r="L2785" t="s">
        <v>45</v>
      </c>
      <c r="M2785" t="s">
        <v>65</v>
      </c>
      <c r="N2785" t="s">
        <v>54</v>
      </c>
      <c r="O2785" t="s">
        <v>35</v>
      </c>
      <c r="P2785">
        <v>1</v>
      </c>
      <c r="Q2785" s="2">
        <f>Ventas[[#This Row],[precio_base]]*Ventas[[#This Row],[cantidad]]</f>
        <v>119.98</v>
      </c>
      <c r="R2785" s="2">
        <f>Ventas[[#This Row],[Total bruto (antes de descuento)]]-Ventas[[#This Row],[total_venta]]</f>
        <v>0</v>
      </c>
    </row>
    <row r="2786" spans="1:18" x14ac:dyDescent="0.25">
      <c r="A2786" t="s">
        <v>2879</v>
      </c>
      <c r="B2786" s="1">
        <v>45290</v>
      </c>
      <c r="C2786" t="s">
        <v>50</v>
      </c>
      <c r="D2786" t="s">
        <v>27</v>
      </c>
      <c r="E2786">
        <v>2</v>
      </c>
      <c r="F2786" s="2">
        <v>149.99</v>
      </c>
      <c r="G2786">
        <v>5</v>
      </c>
      <c r="H2786" s="2">
        <v>142.49</v>
      </c>
      <c r="I2786" s="2">
        <v>284.98</v>
      </c>
      <c r="J2786" t="s">
        <v>62</v>
      </c>
      <c r="K2786" t="s">
        <v>20</v>
      </c>
      <c r="L2786" t="s">
        <v>28</v>
      </c>
      <c r="M2786" t="s">
        <v>33</v>
      </c>
      <c r="N2786" t="s">
        <v>34</v>
      </c>
      <c r="O2786" t="s">
        <v>35</v>
      </c>
      <c r="Q2786" s="2">
        <f>Ventas[[#This Row],[precio_base]]*Ventas[[#This Row],[cantidad]]</f>
        <v>299.98</v>
      </c>
      <c r="R2786" s="2">
        <f>Ventas[[#This Row],[Total bruto (antes de descuento)]]-Ventas[[#This Row],[total_venta]]</f>
        <v>15</v>
      </c>
    </row>
    <row r="2787" spans="1:18" x14ac:dyDescent="0.25">
      <c r="A2787" t="s">
        <v>2880</v>
      </c>
      <c r="B2787" s="1">
        <v>45553</v>
      </c>
      <c r="C2787" t="s">
        <v>94</v>
      </c>
      <c r="D2787" t="s">
        <v>18</v>
      </c>
      <c r="E2787">
        <v>1</v>
      </c>
      <c r="F2787" s="2">
        <v>899.99</v>
      </c>
      <c r="G2787">
        <v>5</v>
      </c>
      <c r="H2787" s="2">
        <v>854.99</v>
      </c>
      <c r="I2787" s="2">
        <v>854.99</v>
      </c>
      <c r="J2787" t="s">
        <v>19</v>
      </c>
      <c r="K2787" t="s">
        <v>20</v>
      </c>
      <c r="L2787" t="s">
        <v>32</v>
      </c>
      <c r="M2787" t="s">
        <v>84</v>
      </c>
      <c r="N2787" t="s">
        <v>85</v>
      </c>
      <c r="O2787" t="s">
        <v>35</v>
      </c>
      <c r="P2787">
        <v>4</v>
      </c>
      <c r="Q2787" s="2">
        <f>Ventas[[#This Row],[precio_base]]*Ventas[[#This Row],[cantidad]]</f>
        <v>899.99</v>
      </c>
      <c r="R2787" s="2">
        <f>Ventas[[#This Row],[Total bruto (antes de descuento)]]-Ventas[[#This Row],[total_venta]]</f>
        <v>45</v>
      </c>
    </row>
    <row r="2788" spans="1:18" x14ac:dyDescent="0.25">
      <c r="A2788" t="s">
        <v>2881</v>
      </c>
      <c r="B2788" s="1">
        <v>45176</v>
      </c>
      <c r="C2788" t="s">
        <v>42</v>
      </c>
      <c r="D2788" t="s">
        <v>43</v>
      </c>
      <c r="E2788">
        <v>2</v>
      </c>
      <c r="F2788" s="2">
        <v>349.99</v>
      </c>
      <c r="G2788">
        <v>0</v>
      </c>
      <c r="H2788" s="2">
        <v>349.99</v>
      </c>
      <c r="I2788" s="2">
        <v>699.98</v>
      </c>
      <c r="J2788" t="s">
        <v>62</v>
      </c>
      <c r="K2788" t="s">
        <v>20</v>
      </c>
      <c r="L2788" t="s">
        <v>32</v>
      </c>
      <c r="M2788" t="s">
        <v>53</v>
      </c>
      <c r="N2788" t="s">
        <v>54</v>
      </c>
      <c r="O2788" t="s">
        <v>35</v>
      </c>
      <c r="Q2788" s="2">
        <f>Ventas[[#This Row],[precio_base]]*Ventas[[#This Row],[cantidad]]</f>
        <v>699.98</v>
      </c>
      <c r="R2788" s="2">
        <f>Ventas[[#This Row],[Total bruto (antes de descuento)]]-Ventas[[#This Row],[total_venta]]</f>
        <v>0</v>
      </c>
    </row>
    <row r="2789" spans="1:18" x14ac:dyDescent="0.25">
      <c r="A2789" t="s">
        <v>2882</v>
      </c>
      <c r="B2789" s="1">
        <v>45551</v>
      </c>
      <c r="C2789" t="s">
        <v>130</v>
      </c>
      <c r="D2789" t="s">
        <v>43</v>
      </c>
      <c r="E2789">
        <v>4</v>
      </c>
      <c r="F2789" s="2">
        <v>24.99</v>
      </c>
      <c r="G2789">
        <v>15</v>
      </c>
      <c r="H2789" s="2">
        <v>21.24</v>
      </c>
      <c r="I2789" s="2">
        <v>84.96</v>
      </c>
      <c r="J2789" t="s">
        <v>51</v>
      </c>
      <c r="K2789" t="s">
        <v>20</v>
      </c>
      <c r="L2789" t="s">
        <v>45</v>
      </c>
      <c r="M2789" t="s">
        <v>22</v>
      </c>
      <c r="N2789" t="s">
        <v>23</v>
      </c>
      <c r="O2789" t="s">
        <v>24</v>
      </c>
      <c r="Q2789" s="2">
        <f>Ventas[[#This Row],[precio_base]]*Ventas[[#This Row],[cantidad]]</f>
        <v>99.96</v>
      </c>
      <c r="R2789" s="2">
        <f>Ventas[[#This Row],[Total bruto (antes de descuento)]]-Ventas[[#This Row],[total_venta]]</f>
        <v>15</v>
      </c>
    </row>
    <row r="2790" spans="1:18" x14ac:dyDescent="0.25">
      <c r="A2790" t="s">
        <v>2883</v>
      </c>
      <c r="B2790" s="1">
        <v>45012</v>
      </c>
      <c r="C2790" t="s">
        <v>87</v>
      </c>
      <c r="D2790" t="s">
        <v>27</v>
      </c>
      <c r="E2790">
        <v>3</v>
      </c>
      <c r="F2790" s="2">
        <v>249.99</v>
      </c>
      <c r="G2790">
        <v>15</v>
      </c>
      <c r="H2790" s="2">
        <v>212.49</v>
      </c>
      <c r="I2790" s="2">
        <v>637.47</v>
      </c>
      <c r="J2790" t="s">
        <v>19</v>
      </c>
      <c r="K2790" t="s">
        <v>57</v>
      </c>
      <c r="L2790" t="s">
        <v>152</v>
      </c>
      <c r="M2790" t="s">
        <v>73</v>
      </c>
      <c r="N2790" t="s">
        <v>74</v>
      </c>
      <c r="O2790" t="s">
        <v>35</v>
      </c>
      <c r="P2790">
        <v>4</v>
      </c>
      <c r="Q2790" s="2">
        <f>Ventas[[#This Row],[precio_base]]*Ventas[[#This Row],[cantidad]]</f>
        <v>749.97</v>
      </c>
      <c r="R2790" s="2">
        <f>Ventas[[#This Row],[Total bruto (antes de descuento)]]-Ventas[[#This Row],[total_venta]]</f>
        <v>112.5</v>
      </c>
    </row>
    <row r="2791" spans="1:18" x14ac:dyDescent="0.25">
      <c r="A2791" t="s">
        <v>2884</v>
      </c>
      <c r="B2791" s="1">
        <v>45108</v>
      </c>
      <c r="C2791" t="s">
        <v>109</v>
      </c>
      <c r="D2791" t="s">
        <v>38</v>
      </c>
      <c r="E2791">
        <v>4</v>
      </c>
      <c r="F2791" s="2">
        <v>39.99</v>
      </c>
      <c r="G2791">
        <v>0</v>
      </c>
      <c r="H2791" s="2">
        <v>39.99</v>
      </c>
      <c r="I2791" s="2">
        <v>159.96</v>
      </c>
      <c r="J2791" t="s">
        <v>19</v>
      </c>
      <c r="K2791" t="s">
        <v>20</v>
      </c>
      <c r="L2791" t="s">
        <v>28</v>
      </c>
      <c r="M2791" t="s">
        <v>65</v>
      </c>
      <c r="N2791" t="s">
        <v>54</v>
      </c>
      <c r="O2791" t="s">
        <v>35</v>
      </c>
      <c r="P2791">
        <v>1</v>
      </c>
      <c r="Q2791" s="2">
        <f>Ventas[[#This Row],[precio_base]]*Ventas[[#This Row],[cantidad]]</f>
        <v>159.96</v>
      </c>
      <c r="R2791" s="2">
        <f>Ventas[[#This Row],[Total bruto (antes de descuento)]]-Ventas[[#This Row],[total_venta]]</f>
        <v>0</v>
      </c>
    </row>
    <row r="2792" spans="1:18" x14ac:dyDescent="0.25">
      <c r="A2792" t="s">
        <v>2885</v>
      </c>
      <c r="B2792" s="1">
        <v>45003</v>
      </c>
      <c r="C2792" t="s">
        <v>115</v>
      </c>
      <c r="D2792" t="s">
        <v>18</v>
      </c>
      <c r="E2792">
        <v>2</v>
      </c>
      <c r="F2792" s="2">
        <v>799.99</v>
      </c>
      <c r="G2792">
        <v>15</v>
      </c>
      <c r="H2792" s="2">
        <v>679.99</v>
      </c>
      <c r="I2792" s="2">
        <v>1359.98</v>
      </c>
      <c r="J2792" t="s">
        <v>19</v>
      </c>
      <c r="K2792" t="s">
        <v>20</v>
      </c>
      <c r="L2792" t="s">
        <v>21</v>
      </c>
      <c r="M2792" t="s">
        <v>63</v>
      </c>
      <c r="N2792" t="s">
        <v>34</v>
      </c>
      <c r="O2792" t="s">
        <v>24</v>
      </c>
      <c r="P2792">
        <v>5</v>
      </c>
      <c r="Q2792" s="2">
        <f>Ventas[[#This Row],[precio_base]]*Ventas[[#This Row],[cantidad]]</f>
        <v>1599.98</v>
      </c>
      <c r="R2792" s="2">
        <f>Ventas[[#This Row],[Total bruto (antes de descuento)]]-Ventas[[#This Row],[total_venta]]</f>
        <v>240</v>
      </c>
    </row>
    <row r="2793" spans="1:18" x14ac:dyDescent="0.25">
      <c r="A2793" t="s">
        <v>2886</v>
      </c>
      <c r="B2793" s="1">
        <v>45083</v>
      </c>
      <c r="C2793" t="s">
        <v>17</v>
      </c>
      <c r="D2793" t="s">
        <v>18</v>
      </c>
      <c r="E2793">
        <v>5</v>
      </c>
      <c r="F2793" s="2">
        <v>45.99</v>
      </c>
      <c r="G2793">
        <v>20</v>
      </c>
      <c r="H2793" s="2">
        <v>36.79</v>
      </c>
      <c r="I2793" s="2">
        <v>183.95</v>
      </c>
      <c r="J2793" t="s">
        <v>19</v>
      </c>
      <c r="K2793" t="s">
        <v>20</v>
      </c>
      <c r="L2793" t="s">
        <v>21</v>
      </c>
      <c r="M2793" t="s">
        <v>22</v>
      </c>
      <c r="N2793" t="s">
        <v>23</v>
      </c>
      <c r="O2793" t="s">
        <v>24</v>
      </c>
      <c r="P2793">
        <v>5</v>
      </c>
      <c r="Q2793" s="2">
        <f>Ventas[[#This Row],[precio_base]]*Ventas[[#This Row],[cantidad]]</f>
        <v>229.95000000000002</v>
      </c>
      <c r="R2793" s="2">
        <f>Ventas[[#This Row],[Total bruto (antes de descuento)]]-Ventas[[#This Row],[total_venta]]</f>
        <v>46.000000000000028</v>
      </c>
    </row>
    <row r="2794" spans="1:18" x14ac:dyDescent="0.25">
      <c r="A2794" t="s">
        <v>2887</v>
      </c>
      <c r="B2794" s="1">
        <v>44991</v>
      </c>
      <c r="C2794" t="s">
        <v>87</v>
      </c>
      <c r="D2794" t="s">
        <v>27</v>
      </c>
      <c r="E2794">
        <v>4</v>
      </c>
      <c r="F2794" s="2">
        <v>249.99</v>
      </c>
      <c r="G2794">
        <v>0</v>
      </c>
      <c r="H2794" s="2">
        <v>249.99</v>
      </c>
      <c r="I2794" s="2">
        <v>999.96</v>
      </c>
      <c r="J2794" t="s">
        <v>51</v>
      </c>
      <c r="K2794" t="s">
        <v>44</v>
      </c>
      <c r="L2794" t="s">
        <v>28</v>
      </c>
      <c r="M2794" t="s">
        <v>39</v>
      </c>
      <c r="N2794" t="s">
        <v>40</v>
      </c>
      <c r="O2794" t="s">
        <v>35</v>
      </c>
      <c r="Q2794" s="2">
        <f>Ventas[[#This Row],[precio_base]]*Ventas[[#This Row],[cantidad]]</f>
        <v>999.96</v>
      </c>
      <c r="R2794" s="2">
        <f>Ventas[[#This Row],[Total bruto (antes de descuento)]]-Ventas[[#This Row],[total_venta]]</f>
        <v>0</v>
      </c>
    </row>
    <row r="2795" spans="1:18" x14ac:dyDescent="0.25">
      <c r="A2795" t="s">
        <v>2888</v>
      </c>
      <c r="B2795" s="1">
        <v>45342</v>
      </c>
      <c r="C2795" t="s">
        <v>130</v>
      </c>
      <c r="D2795" t="s">
        <v>43</v>
      </c>
      <c r="E2795">
        <v>4</v>
      </c>
      <c r="F2795" s="2">
        <v>24.99</v>
      </c>
      <c r="G2795">
        <v>5</v>
      </c>
      <c r="H2795" s="2">
        <v>23.74</v>
      </c>
      <c r="I2795" s="2">
        <v>94.96</v>
      </c>
      <c r="J2795" t="s">
        <v>19</v>
      </c>
      <c r="K2795" t="s">
        <v>20</v>
      </c>
      <c r="L2795" t="s">
        <v>28</v>
      </c>
      <c r="M2795" t="s">
        <v>73</v>
      </c>
      <c r="N2795" t="s">
        <v>74</v>
      </c>
      <c r="O2795" t="s">
        <v>35</v>
      </c>
      <c r="P2795">
        <v>3</v>
      </c>
      <c r="Q2795" s="2">
        <f>Ventas[[#This Row],[precio_base]]*Ventas[[#This Row],[cantidad]]</f>
        <v>99.96</v>
      </c>
      <c r="R2795" s="2">
        <f>Ventas[[#This Row],[Total bruto (antes de descuento)]]-Ventas[[#This Row],[total_venta]]</f>
        <v>5</v>
      </c>
    </row>
    <row r="2796" spans="1:18" x14ac:dyDescent="0.25">
      <c r="A2796" t="s">
        <v>2889</v>
      </c>
      <c r="B2796" s="1">
        <v>45522</v>
      </c>
      <c r="C2796" t="s">
        <v>205</v>
      </c>
      <c r="D2796" t="s">
        <v>18</v>
      </c>
      <c r="E2796">
        <v>1</v>
      </c>
      <c r="F2796" s="2">
        <v>129.99</v>
      </c>
      <c r="G2796">
        <v>15</v>
      </c>
      <c r="H2796" s="2">
        <v>110.49</v>
      </c>
      <c r="I2796" s="2">
        <v>110.49</v>
      </c>
      <c r="J2796" t="s">
        <v>62</v>
      </c>
      <c r="K2796" t="s">
        <v>44</v>
      </c>
      <c r="L2796" t="s">
        <v>32</v>
      </c>
      <c r="M2796" t="s">
        <v>65</v>
      </c>
      <c r="N2796" t="s">
        <v>54</v>
      </c>
      <c r="O2796" t="s">
        <v>35</v>
      </c>
      <c r="Q2796" s="2">
        <f>Ventas[[#This Row],[precio_base]]*Ventas[[#This Row],[cantidad]]</f>
        <v>129.99</v>
      </c>
      <c r="R2796" s="2">
        <f>Ventas[[#This Row],[Total bruto (antes de descuento)]]-Ventas[[#This Row],[total_venta]]</f>
        <v>19.500000000000014</v>
      </c>
    </row>
    <row r="2797" spans="1:18" x14ac:dyDescent="0.25">
      <c r="A2797" t="s">
        <v>2890</v>
      </c>
      <c r="B2797" s="1">
        <v>45199</v>
      </c>
      <c r="C2797" t="s">
        <v>163</v>
      </c>
      <c r="D2797" t="s">
        <v>18</v>
      </c>
      <c r="E2797">
        <v>1</v>
      </c>
      <c r="F2797" s="2">
        <v>499.99</v>
      </c>
      <c r="G2797">
        <v>10</v>
      </c>
      <c r="H2797" s="2">
        <v>449.99</v>
      </c>
      <c r="I2797" s="2">
        <v>449.99</v>
      </c>
      <c r="J2797" t="s">
        <v>19</v>
      </c>
      <c r="K2797" t="s">
        <v>20</v>
      </c>
      <c r="L2797" t="s">
        <v>45</v>
      </c>
      <c r="M2797" t="s">
        <v>33</v>
      </c>
      <c r="N2797" t="s">
        <v>34</v>
      </c>
      <c r="O2797" t="s">
        <v>35</v>
      </c>
      <c r="P2797">
        <v>4</v>
      </c>
      <c r="Q2797" s="2">
        <f>Ventas[[#This Row],[precio_base]]*Ventas[[#This Row],[cantidad]]</f>
        <v>499.99</v>
      </c>
      <c r="R2797" s="2">
        <f>Ventas[[#This Row],[Total bruto (antes de descuento)]]-Ventas[[#This Row],[total_venta]]</f>
        <v>50</v>
      </c>
    </row>
    <row r="2798" spans="1:18" x14ac:dyDescent="0.25">
      <c r="A2798" t="s">
        <v>2891</v>
      </c>
      <c r="B2798" s="1">
        <v>45442</v>
      </c>
      <c r="C2798" t="s">
        <v>30</v>
      </c>
      <c r="D2798" t="s">
        <v>31</v>
      </c>
      <c r="E2798">
        <v>1</v>
      </c>
      <c r="F2798" s="2">
        <v>299.99</v>
      </c>
      <c r="G2798">
        <v>0</v>
      </c>
      <c r="H2798" s="2">
        <v>299.99</v>
      </c>
      <c r="I2798" s="2">
        <v>299.99</v>
      </c>
      <c r="J2798" t="s">
        <v>116</v>
      </c>
      <c r="K2798" t="s">
        <v>44</v>
      </c>
      <c r="L2798" t="s">
        <v>45</v>
      </c>
      <c r="M2798" t="s">
        <v>120</v>
      </c>
      <c r="N2798" t="s">
        <v>23</v>
      </c>
      <c r="O2798" t="s">
        <v>24</v>
      </c>
      <c r="Q2798" s="2">
        <f>Ventas[[#This Row],[precio_base]]*Ventas[[#This Row],[cantidad]]</f>
        <v>299.99</v>
      </c>
      <c r="R2798" s="2">
        <f>Ventas[[#This Row],[Total bruto (antes de descuento)]]-Ventas[[#This Row],[total_venta]]</f>
        <v>0</v>
      </c>
    </row>
    <row r="2799" spans="1:18" x14ac:dyDescent="0.25">
      <c r="A2799" t="s">
        <v>2892</v>
      </c>
      <c r="B2799" s="1">
        <v>45179</v>
      </c>
      <c r="C2799" t="s">
        <v>50</v>
      </c>
      <c r="D2799" t="s">
        <v>27</v>
      </c>
      <c r="E2799">
        <v>3</v>
      </c>
      <c r="F2799" s="2">
        <v>149.99</v>
      </c>
      <c r="G2799">
        <v>0</v>
      </c>
      <c r="H2799" s="2">
        <v>149.99</v>
      </c>
      <c r="I2799" s="2">
        <v>449.97</v>
      </c>
      <c r="J2799" t="s">
        <v>51</v>
      </c>
      <c r="K2799" t="s">
        <v>44</v>
      </c>
      <c r="L2799" t="s">
        <v>21</v>
      </c>
      <c r="M2799" t="s">
        <v>63</v>
      </c>
      <c r="N2799" t="s">
        <v>34</v>
      </c>
      <c r="O2799" t="s">
        <v>24</v>
      </c>
      <c r="Q2799" s="2">
        <f>Ventas[[#This Row],[precio_base]]*Ventas[[#This Row],[cantidad]]</f>
        <v>449.97</v>
      </c>
      <c r="R2799" s="2">
        <f>Ventas[[#This Row],[Total bruto (antes de descuento)]]-Ventas[[#This Row],[total_venta]]</f>
        <v>0</v>
      </c>
    </row>
    <row r="2800" spans="1:18" x14ac:dyDescent="0.25">
      <c r="A2800" t="s">
        <v>2893</v>
      </c>
      <c r="B2800" s="1">
        <v>45081</v>
      </c>
      <c r="C2800" t="s">
        <v>30</v>
      </c>
      <c r="D2800" t="s">
        <v>31</v>
      </c>
      <c r="E2800">
        <v>4</v>
      </c>
      <c r="F2800" s="2">
        <v>299.99</v>
      </c>
      <c r="G2800">
        <v>5</v>
      </c>
      <c r="H2800" s="2">
        <v>284.99</v>
      </c>
      <c r="I2800" s="2">
        <v>1139.96</v>
      </c>
      <c r="J2800" t="s">
        <v>19</v>
      </c>
      <c r="K2800" t="s">
        <v>20</v>
      </c>
      <c r="L2800" t="s">
        <v>45</v>
      </c>
      <c r="M2800" t="s">
        <v>67</v>
      </c>
      <c r="N2800" t="s">
        <v>68</v>
      </c>
      <c r="O2800" t="s">
        <v>35</v>
      </c>
      <c r="P2800">
        <v>2</v>
      </c>
      <c r="Q2800" s="2">
        <f>Ventas[[#This Row],[precio_base]]*Ventas[[#This Row],[cantidad]]</f>
        <v>1199.96</v>
      </c>
      <c r="R2800" s="2">
        <f>Ventas[[#This Row],[Total bruto (antes de descuento)]]-Ventas[[#This Row],[total_venta]]</f>
        <v>60</v>
      </c>
    </row>
    <row r="2801" spans="1:18" x14ac:dyDescent="0.25">
      <c r="A2801" t="s">
        <v>2894</v>
      </c>
      <c r="B2801" s="1">
        <v>45553</v>
      </c>
      <c r="C2801" t="s">
        <v>42</v>
      </c>
      <c r="D2801" t="s">
        <v>43</v>
      </c>
      <c r="E2801">
        <v>3</v>
      </c>
      <c r="F2801" s="2">
        <v>349.99</v>
      </c>
      <c r="G2801">
        <v>10</v>
      </c>
      <c r="H2801" s="2">
        <v>314.99</v>
      </c>
      <c r="I2801" s="2">
        <v>944.97</v>
      </c>
      <c r="J2801" t="s">
        <v>62</v>
      </c>
      <c r="K2801" t="s">
        <v>20</v>
      </c>
      <c r="L2801" t="s">
        <v>21</v>
      </c>
      <c r="M2801" t="s">
        <v>63</v>
      </c>
      <c r="N2801" t="s">
        <v>34</v>
      </c>
      <c r="O2801" t="s">
        <v>24</v>
      </c>
      <c r="Q2801" s="2">
        <f>Ventas[[#This Row],[precio_base]]*Ventas[[#This Row],[cantidad]]</f>
        <v>1049.97</v>
      </c>
      <c r="R2801" s="2">
        <f>Ventas[[#This Row],[Total bruto (antes de descuento)]]-Ventas[[#This Row],[total_venta]]</f>
        <v>105</v>
      </c>
    </row>
    <row r="2802" spans="1:18" x14ac:dyDescent="0.25">
      <c r="A2802" t="s">
        <v>2895</v>
      </c>
      <c r="B2802" s="1">
        <v>45558</v>
      </c>
      <c r="C2802" t="s">
        <v>87</v>
      </c>
      <c r="D2802" t="s">
        <v>27</v>
      </c>
      <c r="E2802">
        <v>5</v>
      </c>
      <c r="F2802" s="2">
        <v>249.99</v>
      </c>
      <c r="G2802">
        <v>10</v>
      </c>
      <c r="H2802" s="2">
        <v>224.99</v>
      </c>
      <c r="I2802" s="2">
        <v>1124.95</v>
      </c>
      <c r="J2802" t="s">
        <v>62</v>
      </c>
      <c r="K2802" t="s">
        <v>20</v>
      </c>
      <c r="L2802" t="s">
        <v>21</v>
      </c>
      <c r="M2802" t="s">
        <v>63</v>
      </c>
      <c r="N2802" t="s">
        <v>34</v>
      </c>
      <c r="O2802" t="s">
        <v>24</v>
      </c>
      <c r="Q2802" s="2">
        <f>Ventas[[#This Row],[precio_base]]*Ventas[[#This Row],[cantidad]]</f>
        <v>1249.95</v>
      </c>
      <c r="R2802" s="2">
        <f>Ventas[[#This Row],[Total bruto (antes de descuento)]]-Ventas[[#This Row],[total_venta]]</f>
        <v>125</v>
      </c>
    </row>
    <row r="2803" spans="1:18" x14ac:dyDescent="0.25">
      <c r="A2803" t="s">
        <v>2896</v>
      </c>
      <c r="B2803" s="1">
        <v>45206</v>
      </c>
      <c r="C2803" t="s">
        <v>81</v>
      </c>
      <c r="D2803" t="s">
        <v>31</v>
      </c>
      <c r="E2803">
        <v>4</v>
      </c>
      <c r="F2803" s="2">
        <v>189.99</v>
      </c>
      <c r="G2803">
        <v>15</v>
      </c>
      <c r="H2803" s="2">
        <v>161.49</v>
      </c>
      <c r="I2803" s="2">
        <v>645.96</v>
      </c>
      <c r="J2803" t="s">
        <v>51</v>
      </c>
      <c r="K2803" t="s">
        <v>20</v>
      </c>
      <c r="L2803" t="s">
        <v>21</v>
      </c>
      <c r="M2803" t="s">
        <v>39</v>
      </c>
      <c r="N2803" t="s">
        <v>40</v>
      </c>
      <c r="O2803" t="s">
        <v>35</v>
      </c>
      <c r="Q2803" s="2">
        <f>Ventas[[#This Row],[precio_base]]*Ventas[[#This Row],[cantidad]]</f>
        <v>759.96</v>
      </c>
      <c r="R2803" s="2">
        <f>Ventas[[#This Row],[Total bruto (antes de descuento)]]-Ventas[[#This Row],[total_venta]]</f>
        <v>114</v>
      </c>
    </row>
    <row r="2804" spans="1:18" x14ac:dyDescent="0.25">
      <c r="A2804" t="s">
        <v>2897</v>
      </c>
      <c r="B2804" s="1">
        <v>45066</v>
      </c>
      <c r="C2804" t="s">
        <v>26</v>
      </c>
      <c r="D2804" t="s">
        <v>27</v>
      </c>
      <c r="E2804">
        <v>5</v>
      </c>
      <c r="F2804" s="2">
        <v>399.99</v>
      </c>
      <c r="G2804">
        <v>0</v>
      </c>
      <c r="H2804" s="2">
        <v>399.99</v>
      </c>
      <c r="I2804" s="2">
        <v>1999.95</v>
      </c>
      <c r="J2804" t="s">
        <v>19</v>
      </c>
      <c r="K2804" t="s">
        <v>44</v>
      </c>
      <c r="L2804" t="s">
        <v>28</v>
      </c>
      <c r="M2804" t="s">
        <v>73</v>
      </c>
      <c r="N2804" t="s">
        <v>74</v>
      </c>
      <c r="O2804" t="s">
        <v>35</v>
      </c>
      <c r="P2804">
        <v>4</v>
      </c>
      <c r="Q2804" s="2">
        <f>Ventas[[#This Row],[precio_base]]*Ventas[[#This Row],[cantidad]]</f>
        <v>1999.95</v>
      </c>
      <c r="R2804" s="2">
        <f>Ventas[[#This Row],[Total bruto (antes de descuento)]]-Ventas[[#This Row],[total_venta]]</f>
        <v>0</v>
      </c>
    </row>
    <row r="2805" spans="1:18" x14ac:dyDescent="0.25">
      <c r="A2805" t="s">
        <v>2898</v>
      </c>
      <c r="B2805" s="1">
        <v>45360</v>
      </c>
      <c r="C2805" t="s">
        <v>26</v>
      </c>
      <c r="D2805" t="s">
        <v>27</v>
      </c>
      <c r="E2805">
        <v>3</v>
      </c>
      <c r="F2805" s="2">
        <v>399.99</v>
      </c>
      <c r="G2805">
        <v>0</v>
      </c>
      <c r="H2805" s="2">
        <v>399.99</v>
      </c>
      <c r="I2805" s="2">
        <v>1199.97</v>
      </c>
      <c r="J2805" t="s">
        <v>51</v>
      </c>
      <c r="K2805" t="s">
        <v>44</v>
      </c>
      <c r="L2805" t="s">
        <v>45</v>
      </c>
      <c r="M2805" t="s">
        <v>33</v>
      </c>
      <c r="N2805" t="s">
        <v>34</v>
      </c>
      <c r="O2805" t="s">
        <v>35</v>
      </c>
      <c r="Q2805" s="2">
        <f>Ventas[[#This Row],[precio_base]]*Ventas[[#This Row],[cantidad]]</f>
        <v>1199.97</v>
      </c>
      <c r="R2805" s="2">
        <f>Ventas[[#This Row],[Total bruto (antes de descuento)]]-Ventas[[#This Row],[total_venta]]</f>
        <v>0</v>
      </c>
    </row>
    <row r="2806" spans="1:18" x14ac:dyDescent="0.25">
      <c r="A2806" t="s">
        <v>2899</v>
      </c>
      <c r="B2806" s="1">
        <v>45502</v>
      </c>
      <c r="C2806" t="s">
        <v>104</v>
      </c>
      <c r="D2806" t="s">
        <v>18</v>
      </c>
      <c r="E2806">
        <v>5</v>
      </c>
      <c r="F2806" s="2">
        <v>1199.99</v>
      </c>
      <c r="G2806">
        <v>20</v>
      </c>
      <c r="H2806" s="2">
        <v>959.99</v>
      </c>
      <c r="I2806" s="2">
        <v>4799.95</v>
      </c>
      <c r="J2806" t="s">
        <v>19</v>
      </c>
      <c r="K2806" t="s">
        <v>44</v>
      </c>
      <c r="L2806" t="s">
        <v>45</v>
      </c>
      <c r="M2806" t="s">
        <v>58</v>
      </c>
      <c r="N2806" t="s">
        <v>59</v>
      </c>
      <c r="O2806" t="s">
        <v>24</v>
      </c>
      <c r="P2806">
        <v>5</v>
      </c>
      <c r="Q2806" s="2">
        <f>Ventas[[#This Row],[precio_base]]*Ventas[[#This Row],[cantidad]]</f>
        <v>5999.95</v>
      </c>
      <c r="R2806" s="2">
        <f>Ventas[[#This Row],[Total bruto (antes de descuento)]]-Ventas[[#This Row],[total_venta]]</f>
        <v>1200</v>
      </c>
    </row>
    <row r="2807" spans="1:18" x14ac:dyDescent="0.25">
      <c r="A2807" t="s">
        <v>2900</v>
      </c>
      <c r="B2807" s="1">
        <v>45287</v>
      </c>
      <c r="C2807" t="s">
        <v>81</v>
      </c>
      <c r="D2807" t="s">
        <v>31</v>
      </c>
      <c r="E2807">
        <v>5</v>
      </c>
      <c r="F2807" s="2">
        <v>189.99</v>
      </c>
      <c r="G2807">
        <v>20</v>
      </c>
      <c r="H2807" s="2">
        <v>151.99</v>
      </c>
      <c r="I2807" s="2">
        <v>759.95</v>
      </c>
      <c r="J2807" t="s">
        <v>19</v>
      </c>
      <c r="K2807" t="s">
        <v>20</v>
      </c>
      <c r="L2807" t="s">
        <v>152</v>
      </c>
      <c r="M2807" t="s">
        <v>120</v>
      </c>
      <c r="N2807" t="s">
        <v>23</v>
      </c>
      <c r="O2807" t="s">
        <v>24</v>
      </c>
      <c r="P2807">
        <v>2</v>
      </c>
      <c r="Q2807" s="2">
        <f>Ventas[[#This Row],[precio_base]]*Ventas[[#This Row],[cantidad]]</f>
        <v>949.95</v>
      </c>
      <c r="R2807" s="2">
        <f>Ventas[[#This Row],[Total bruto (antes de descuento)]]-Ventas[[#This Row],[total_venta]]</f>
        <v>190</v>
      </c>
    </row>
    <row r="2808" spans="1:18" x14ac:dyDescent="0.25">
      <c r="A2808" t="s">
        <v>2901</v>
      </c>
      <c r="B2808" s="1">
        <v>45549</v>
      </c>
      <c r="C2808" t="s">
        <v>70</v>
      </c>
      <c r="D2808" t="s">
        <v>31</v>
      </c>
      <c r="E2808">
        <v>5</v>
      </c>
      <c r="F2808" s="2">
        <v>59.99</v>
      </c>
      <c r="G2808">
        <v>20</v>
      </c>
      <c r="H2808" s="2">
        <v>47.99</v>
      </c>
      <c r="I2808" s="2">
        <v>239.95</v>
      </c>
      <c r="J2808" t="s">
        <v>19</v>
      </c>
      <c r="K2808" t="s">
        <v>44</v>
      </c>
      <c r="L2808" t="s">
        <v>21</v>
      </c>
      <c r="M2808" t="s">
        <v>120</v>
      </c>
      <c r="N2808" t="s">
        <v>23</v>
      </c>
      <c r="O2808" t="s">
        <v>24</v>
      </c>
      <c r="P2808">
        <v>4</v>
      </c>
      <c r="Q2808" s="2">
        <f>Ventas[[#This Row],[precio_base]]*Ventas[[#This Row],[cantidad]]</f>
        <v>299.95</v>
      </c>
      <c r="R2808" s="2">
        <f>Ventas[[#This Row],[Total bruto (antes de descuento)]]-Ventas[[#This Row],[total_venta]]</f>
        <v>60</v>
      </c>
    </row>
    <row r="2809" spans="1:18" x14ac:dyDescent="0.25">
      <c r="A2809" t="s">
        <v>2902</v>
      </c>
      <c r="B2809" s="1">
        <v>45458</v>
      </c>
      <c r="C2809" t="s">
        <v>72</v>
      </c>
      <c r="D2809" t="s">
        <v>31</v>
      </c>
      <c r="E2809">
        <v>3</v>
      </c>
      <c r="F2809" s="2">
        <v>29.99</v>
      </c>
      <c r="G2809">
        <v>0</v>
      </c>
      <c r="H2809" s="2">
        <v>29.99</v>
      </c>
      <c r="I2809" s="2">
        <v>89.97</v>
      </c>
      <c r="J2809" t="s">
        <v>19</v>
      </c>
      <c r="K2809" t="s">
        <v>44</v>
      </c>
      <c r="L2809" t="s">
        <v>45</v>
      </c>
      <c r="M2809" t="s">
        <v>33</v>
      </c>
      <c r="N2809" t="s">
        <v>34</v>
      </c>
      <c r="O2809" t="s">
        <v>35</v>
      </c>
      <c r="P2809">
        <v>4</v>
      </c>
      <c r="Q2809" s="2">
        <f>Ventas[[#This Row],[precio_base]]*Ventas[[#This Row],[cantidad]]</f>
        <v>89.97</v>
      </c>
      <c r="R2809" s="2">
        <f>Ventas[[#This Row],[Total bruto (antes de descuento)]]-Ventas[[#This Row],[total_venta]]</f>
        <v>0</v>
      </c>
    </row>
    <row r="2810" spans="1:18" x14ac:dyDescent="0.25">
      <c r="A2810" t="s">
        <v>2903</v>
      </c>
      <c r="B2810" s="1">
        <v>45226</v>
      </c>
      <c r="C2810" t="s">
        <v>98</v>
      </c>
      <c r="D2810" t="s">
        <v>31</v>
      </c>
      <c r="E2810">
        <v>5</v>
      </c>
      <c r="F2810" s="2">
        <v>99.99</v>
      </c>
      <c r="G2810">
        <v>10</v>
      </c>
      <c r="H2810" s="2">
        <v>89.99</v>
      </c>
      <c r="I2810" s="2">
        <v>449.95</v>
      </c>
      <c r="J2810" t="s">
        <v>19</v>
      </c>
      <c r="K2810" t="s">
        <v>20</v>
      </c>
      <c r="L2810" t="s">
        <v>28</v>
      </c>
      <c r="M2810" t="s">
        <v>58</v>
      </c>
      <c r="N2810" t="s">
        <v>59</v>
      </c>
      <c r="O2810" t="s">
        <v>24</v>
      </c>
      <c r="P2810">
        <v>2</v>
      </c>
      <c r="Q2810" s="2">
        <f>Ventas[[#This Row],[precio_base]]*Ventas[[#This Row],[cantidad]]</f>
        <v>499.95</v>
      </c>
      <c r="R2810" s="2">
        <f>Ventas[[#This Row],[Total bruto (antes de descuento)]]-Ventas[[#This Row],[total_venta]]</f>
        <v>50</v>
      </c>
    </row>
    <row r="2811" spans="1:18" x14ac:dyDescent="0.25">
      <c r="A2811" t="s">
        <v>2904</v>
      </c>
      <c r="B2811" s="1">
        <v>45605</v>
      </c>
      <c r="C2811" t="s">
        <v>72</v>
      </c>
      <c r="D2811" t="s">
        <v>31</v>
      </c>
      <c r="E2811">
        <v>5</v>
      </c>
      <c r="F2811" s="2">
        <v>29.99</v>
      </c>
      <c r="G2811">
        <v>20</v>
      </c>
      <c r="H2811" s="2">
        <v>23.99</v>
      </c>
      <c r="I2811" s="2">
        <v>119.95</v>
      </c>
      <c r="J2811" t="s">
        <v>19</v>
      </c>
      <c r="K2811" t="s">
        <v>20</v>
      </c>
      <c r="L2811" t="s">
        <v>21</v>
      </c>
      <c r="M2811" t="s">
        <v>46</v>
      </c>
      <c r="N2811" t="s">
        <v>47</v>
      </c>
      <c r="O2811" t="s">
        <v>48</v>
      </c>
      <c r="P2811">
        <v>1</v>
      </c>
      <c r="Q2811" s="2">
        <f>Ventas[[#This Row],[precio_base]]*Ventas[[#This Row],[cantidad]]</f>
        <v>149.94999999999999</v>
      </c>
      <c r="R2811" s="2">
        <f>Ventas[[#This Row],[Total bruto (antes de descuento)]]-Ventas[[#This Row],[total_venta]]</f>
        <v>29.999999999999986</v>
      </c>
    </row>
    <row r="2812" spans="1:18" x14ac:dyDescent="0.25">
      <c r="A2812" t="s">
        <v>2905</v>
      </c>
      <c r="B2812" s="1">
        <v>45094</v>
      </c>
      <c r="C2812" t="s">
        <v>109</v>
      </c>
      <c r="D2812" t="s">
        <v>38</v>
      </c>
      <c r="E2812">
        <v>2</v>
      </c>
      <c r="F2812" s="2">
        <v>39.99</v>
      </c>
      <c r="G2812">
        <v>5</v>
      </c>
      <c r="H2812" s="2">
        <v>37.99</v>
      </c>
      <c r="I2812" s="2">
        <v>75.98</v>
      </c>
      <c r="J2812" t="s">
        <v>19</v>
      </c>
      <c r="K2812" t="s">
        <v>20</v>
      </c>
      <c r="L2812" t="s">
        <v>28</v>
      </c>
      <c r="M2812" t="s">
        <v>120</v>
      </c>
      <c r="N2812" t="s">
        <v>23</v>
      </c>
      <c r="O2812" t="s">
        <v>24</v>
      </c>
      <c r="P2812">
        <v>1</v>
      </c>
      <c r="Q2812" s="2">
        <f>Ventas[[#This Row],[precio_base]]*Ventas[[#This Row],[cantidad]]</f>
        <v>79.98</v>
      </c>
      <c r="R2812" s="2">
        <f>Ventas[[#This Row],[Total bruto (antes de descuento)]]-Ventas[[#This Row],[total_venta]]</f>
        <v>4</v>
      </c>
    </row>
    <row r="2813" spans="1:18" x14ac:dyDescent="0.25">
      <c r="A2813" t="s">
        <v>2906</v>
      </c>
      <c r="B2813" s="1">
        <v>44945</v>
      </c>
      <c r="C2813" t="s">
        <v>143</v>
      </c>
      <c r="D2813" t="s">
        <v>43</v>
      </c>
      <c r="E2813">
        <v>5</v>
      </c>
      <c r="F2813" s="2">
        <v>34.99</v>
      </c>
      <c r="G2813">
        <v>0</v>
      </c>
      <c r="H2813" s="2">
        <v>34.99</v>
      </c>
      <c r="I2813" s="2">
        <v>174.95</v>
      </c>
      <c r="J2813" t="s">
        <v>19</v>
      </c>
      <c r="K2813" t="s">
        <v>20</v>
      </c>
      <c r="L2813" t="s">
        <v>45</v>
      </c>
      <c r="M2813" t="s">
        <v>67</v>
      </c>
      <c r="N2813" t="s">
        <v>68</v>
      </c>
      <c r="O2813" t="s">
        <v>35</v>
      </c>
      <c r="P2813">
        <v>2</v>
      </c>
      <c r="Q2813" s="2">
        <f>Ventas[[#This Row],[precio_base]]*Ventas[[#This Row],[cantidad]]</f>
        <v>174.95000000000002</v>
      </c>
      <c r="R2813" s="2">
        <f>Ventas[[#This Row],[Total bruto (antes de descuento)]]-Ventas[[#This Row],[total_venta]]</f>
        <v>0</v>
      </c>
    </row>
    <row r="2814" spans="1:18" x14ac:dyDescent="0.25">
      <c r="A2814" t="s">
        <v>2907</v>
      </c>
      <c r="B2814" s="1">
        <v>44927</v>
      </c>
      <c r="C2814" t="s">
        <v>50</v>
      </c>
      <c r="D2814" t="s">
        <v>27</v>
      </c>
      <c r="E2814">
        <v>5</v>
      </c>
      <c r="F2814" s="2">
        <v>149.99</v>
      </c>
      <c r="G2814">
        <v>10</v>
      </c>
      <c r="H2814" s="2">
        <v>134.99</v>
      </c>
      <c r="I2814" s="2">
        <v>674.95</v>
      </c>
      <c r="J2814" t="s">
        <v>19</v>
      </c>
      <c r="K2814" t="s">
        <v>44</v>
      </c>
      <c r="L2814" t="s">
        <v>21</v>
      </c>
      <c r="M2814" t="s">
        <v>67</v>
      </c>
      <c r="N2814" t="s">
        <v>68</v>
      </c>
      <c r="O2814" t="s">
        <v>35</v>
      </c>
      <c r="P2814">
        <v>4</v>
      </c>
      <c r="Q2814" s="2">
        <f>Ventas[[#This Row],[precio_base]]*Ventas[[#This Row],[cantidad]]</f>
        <v>749.95</v>
      </c>
      <c r="R2814" s="2">
        <f>Ventas[[#This Row],[Total bruto (antes de descuento)]]-Ventas[[#This Row],[total_venta]]</f>
        <v>75</v>
      </c>
    </row>
    <row r="2815" spans="1:18" x14ac:dyDescent="0.25">
      <c r="A2815" t="s">
        <v>2908</v>
      </c>
      <c r="B2815" s="1">
        <v>45239</v>
      </c>
      <c r="C2815" t="s">
        <v>81</v>
      </c>
      <c r="D2815" t="s">
        <v>31</v>
      </c>
      <c r="E2815">
        <v>5</v>
      </c>
      <c r="F2815" s="2">
        <v>189.99</v>
      </c>
      <c r="G2815">
        <v>10</v>
      </c>
      <c r="H2815" s="2">
        <v>170.99</v>
      </c>
      <c r="I2815" s="2">
        <v>854.95</v>
      </c>
      <c r="J2815" t="s">
        <v>19</v>
      </c>
      <c r="K2815" t="s">
        <v>44</v>
      </c>
      <c r="L2815" t="s">
        <v>21</v>
      </c>
      <c r="M2815" t="s">
        <v>33</v>
      </c>
      <c r="N2815" t="s">
        <v>34</v>
      </c>
      <c r="O2815" t="s">
        <v>35</v>
      </c>
      <c r="P2815">
        <v>1</v>
      </c>
      <c r="Q2815" s="2">
        <f>Ventas[[#This Row],[precio_base]]*Ventas[[#This Row],[cantidad]]</f>
        <v>949.95</v>
      </c>
      <c r="R2815" s="2">
        <f>Ventas[[#This Row],[Total bruto (antes de descuento)]]-Ventas[[#This Row],[total_venta]]</f>
        <v>95</v>
      </c>
    </row>
    <row r="2816" spans="1:18" x14ac:dyDescent="0.25">
      <c r="A2816" t="s">
        <v>2909</v>
      </c>
      <c r="B2816" s="1">
        <v>45493</v>
      </c>
      <c r="C2816" t="s">
        <v>89</v>
      </c>
      <c r="D2816" t="s">
        <v>38</v>
      </c>
      <c r="E2816">
        <v>4</v>
      </c>
      <c r="F2816" s="2">
        <v>69.989999999999995</v>
      </c>
      <c r="G2816">
        <v>20</v>
      </c>
      <c r="H2816" s="2">
        <v>55.99</v>
      </c>
      <c r="I2816" s="2">
        <v>223.96</v>
      </c>
      <c r="J2816" t="s">
        <v>19</v>
      </c>
      <c r="K2816" t="s">
        <v>52</v>
      </c>
      <c r="L2816" t="s">
        <v>45</v>
      </c>
      <c r="M2816" t="s">
        <v>63</v>
      </c>
      <c r="N2816" t="s">
        <v>34</v>
      </c>
      <c r="O2816" t="s">
        <v>24</v>
      </c>
      <c r="P2816">
        <v>3</v>
      </c>
      <c r="Q2816" s="2">
        <f>Ventas[[#This Row],[precio_base]]*Ventas[[#This Row],[cantidad]]</f>
        <v>279.95999999999998</v>
      </c>
      <c r="R2816" s="2">
        <f>Ventas[[#This Row],[Total bruto (antes de descuento)]]-Ventas[[#This Row],[total_venta]]</f>
        <v>55.999999999999972</v>
      </c>
    </row>
    <row r="2817" spans="1:18" x14ac:dyDescent="0.25">
      <c r="A2817" t="s">
        <v>2910</v>
      </c>
      <c r="B2817" s="1">
        <v>44940</v>
      </c>
      <c r="C2817" t="s">
        <v>94</v>
      </c>
      <c r="D2817" t="s">
        <v>18</v>
      </c>
      <c r="E2817">
        <v>1</v>
      </c>
      <c r="F2817" s="2">
        <v>899.99</v>
      </c>
      <c r="G2817">
        <v>0</v>
      </c>
      <c r="H2817" s="2">
        <v>899.99</v>
      </c>
      <c r="I2817" s="2">
        <v>899.99</v>
      </c>
      <c r="J2817" t="s">
        <v>19</v>
      </c>
      <c r="K2817" t="s">
        <v>44</v>
      </c>
      <c r="L2817" t="s">
        <v>28</v>
      </c>
      <c r="M2817" t="s">
        <v>123</v>
      </c>
      <c r="N2817" t="s">
        <v>124</v>
      </c>
      <c r="O2817" t="s">
        <v>24</v>
      </c>
      <c r="P2817">
        <v>4</v>
      </c>
      <c r="Q2817" s="2">
        <f>Ventas[[#This Row],[precio_base]]*Ventas[[#This Row],[cantidad]]</f>
        <v>899.99</v>
      </c>
      <c r="R2817" s="2">
        <f>Ventas[[#This Row],[Total bruto (antes de descuento)]]-Ventas[[#This Row],[total_venta]]</f>
        <v>0</v>
      </c>
    </row>
    <row r="2818" spans="1:18" x14ac:dyDescent="0.25">
      <c r="A2818" t="s">
        <v>2911</v>
      </c>
      <c r="B2818" s="1">
        <v>45031</v>
      </c>
      <c r="C2818" t="s">
        <v>26</v>
      </c>
      <c r="D2818" t="s">
        <v>27</v>
      </c>
      <c r="E2818">
        <v>5</v>
      </c>
      <c r="F2818" s="2">
        <v>399.99</v>
      </c>
      <c r="G2818">
        <v>0</v>
      </c>
      <c r="H2818" s="2">
        <v>399.99</v>
      </c>
      <c r="I2818" s="2">
        <v>1999.95</v>
      </c>
      <c r="J2818" t="s">
        <v>51</v>
      </c>
      <c r="K2818" t="s">
        <v>52</v>
      </c>
      <c r="L2818" t="s">
        <v>152</v>
      </c>
      <c r="M2818" t="s">
        <v>46</v>
      </c>
      <c r="N2818" t="s">
        <v>47</v>
      </c>
      <c r="O2818" t="s">
        <v>48</v>
      </c>
      <c r="Q2818" s="2">
        <f>Ventas[[#This Row],[precio_base]]*Ventas[[#This Row],[cantidad]]</f>
        <v>1999.95</v>
      </c>
      <c r="R2818" s="2">
        <f>Ventas[[#This Row],[Total bruto (antes de descuento)]]-Ventas[[#This Row],[total_venta]]</f>
        <v>0</v>
      </c>
    </row>
    <row r="2819" spans="1:18" x14ac:dyDescent="0.25">
      <c r="A2819" t="s">
        <v>2912</v>
      </c>
      <c r="B2819" s="1">
        <v>45323</v>
      </c>
      <c r="C2819" t="s">
        <v>83</v>
      </c>
      <c r="D2819" t="s">
        <v>38</v>
      </c>
      <c r="E2819">
        <v>1</v>
      </c>
      <c r="F2819" s="2">
        <v>49.99</v>
      </c>
      <c r="G2819">
        <v>10</v>
      </c>
      <c r="H2819" s="2">
        <v>44.99</v>
      </c>
      <c r="I2819" s="2">
        <v>44.99</v>
      </c>
      <c r="J2819" t="s">
        <v>19</v>
      </c>
      <c r="K2819" t="s">
        <v>20</v>
      </c>
      <c r="L2819" t="s">
        <v>45</v>
      </c>
      <c r="M2819" t="s">
        <v>33</v>
      </c>
      <c r="N2819" t="s">
        <v>34</v>
      </c>
      <c r="O2819" t="s">
        <v>35</v>
      </c>
      <c r="P2819">
        <v>5</v>
      </c>
      <c r="Q2819" s="2">
        <f>Ventas[[#This Row],[precio_base]]*Ventas[[#This Row],[cantidad]]</f>
        <v>49.99</v>
      </c>
      <c r="R2819" s="2">
        <f>Ventas[[#This Row],[Total bruto (antes de descuento)]]-Ventas[[#This Row],[total_venta]]</f>
        <v>5</v>
      </c>
    </row>
    <row r="2820" spans="1:18" x14ac:dyDescent="0.25">
      <c r="A2820" t="s">
        <v>2913</v>
      </c>
      <c r="B2820" s="1">
        <v>45607</v>
      </c>
      <c r="C2820" t="s">
        <v>42</v>
      </c>
      <c r="D2820" t="s">
        <v>43</v>
      </c>
      <c r="E2820">
        <v>3</v>
      </c>
      <c r="F2820" s="2">
        <v>349.99</v>
      </c>
      <c r="G2820">
        <v>5</v>
      </c>
      <c r="H2820" s="2">
        <v>332.49</v>
      </c>
      <c r="I2820" s="2">
        <v>997.47</v>
      </c>
      <c r="J2820" t="s">
        <v>19</v>
      </c>
      <c r="K2820" t="s">
        <v>44</v>
      </c>
      <c r="L2820" t="s">
        <v>45</v>
      </c>
      <c r="M2820" t="s">
        <v>46</v>
      </c>
      <c r="N2820" t="s">
        <v>47</v>
      </c>
      <c r="O2820" t="s">
        <v>48</v>
      </c>
      <c r="P2820">
        <v>1</v>
      </c>
      <c r="Q2820" s="2">
        <f>Ventas[[#This Row],[precio_base]]*Ventas[[#This Row],[cantidad]]</f>
        <v>1049.97</v>
      </c>
      <c r="R2820" s="2">
        <f>Ventas[[#This Row],[Total bruto (antes de descuento)]]-Ventas[[#This Row],[total_venta]]</f>
        <v>52.5</v>
      </c>
    </row>
    <row r="2821" spans="1:18" x14ac:dyDescent="0.25">
      <c r="A2821" t="s">
        <v>2914</v>
      </c>
      <c r="B2821" s="1">
        <v>45596</v>
      </c>
      <c r="C2821" t="s">
        <v>17</v>
      </c>
      <c r="D2821" t="s">
        <v>18</v>
      </c>
      <c r="E2821">
        <v>5</v>
      </c>
      <c r="F2821" s="2">
        <v>45.99</v>
      </c>
      <c r="G2821">
        <v>5</v>
      </c>
      <c r="H2821" s="2">
        <v>43.69</v>
      </c>
      <c r="I2821" s="2">
        <v>218.45</v>
      </c>
      <c r="J2821" t="s">
        <v>19</v>
      </c>
      <c r="K2821" t="s">
        <v>44</v>
      </c>
      <c r="L2821" t="s">
        <v>21</v>
      </c>
      <c r="M2821" t="s">
        <v>53</v>
      </c>
      <c r="N2821" t="s">
        <v>54</v>
      </c>
      <c r="O2821" t="s">
        <v>35</v>
      </c>
      <c r="P2821">
        <v>1</v>
      </c>
      <c r="Q2821" s="2">
        <f>Ventas[[#This Row],[precio_base]]*Ventas[[#This Row],[cantidad]]</f>
        <v>229.95000000000002</v>
      </c>
      <c r="R2821" s="2">
        <f>Ventas[[#This Row],[Total bruto (antes de descuento)]]-Ventas[[#This Row],[total_venta]]</f>
        <v>11.500000000000028</v>
      </c>
    </row>
    <row r="2822" spans="1:18" x14ac:dyDescent="0.25">
      <c r="A2822" t="s">
        <v>2915</v>
      </c>
      <c r="B2822" s="1">
        <v>45573</v>
      </c>
      <c r="C2822" t="s">
        <v>98</v>
      </c>
      <c r="D2822" t="s">
        <v>31</v>
      </c>
      <c r="E2822">
        <v>2</v>
      </c>
      <c r="F2822" s="2">
        <v>99.99</v>
      </c>
      <c r="G2822">
        <v>5</v>
      </c>
      <c r="H2822" s="2">
        <v>94.99</v>
      </c>
      <c r="I2822" s="2">
        <v>189.98</v>
      </c>
      <c r="J2822" t="s">
        <v>19</v>
      </c>
      <c r="K2822" t="s">
        <v>20</v>
      </c>
      <c r="L2822" t="s">
        <v>21</v>
      </c>
      <c r="M2822" t="s">
        <v>84</v>
      </c>
      <c r="N2822" t="s">
        <v>85</v>
      </c>
      <c r="O2822" t="s">
        <v>35</v>
      </c>
      <c r="P2822">
        <v>3</v>
      </c>
      <c r="Q2822" s="2">
        <f>Ventas[[#This Row],[precio_base]]*Ventas[[#This Row],[cantidad]]</f>
        <v>199.98</v>
      </c>
      <c r="R2822" s="2">
        <f>Ventas[[#This Row],[Total bruto (antes de descuento)]]-Ventas[[#This Row],[total_venta]]</f>
        <v>10</v>
      </c>
    </row>
    <row r="2823" spans="1:18" x14ac:dyDescent="0.25">
      <c r="A2823" t="s">
        <v>2916</v>
      </c>
      <c r="B2823" s="1">
        <v>45237</v>
      </c>
      <c r="C2823" t="s">
        <v>61</v>
      </c>
      <c r="D2823" t="s">
        <v>38</v>
      </c>
      <c r="E2823">
        <v>2</v>
      </c>
      <c r="F2823" s="2">
        <v>19.989999999999998</v>
      </c>
      <c r="G2823">
        <v>10</v>
      </c>
      <c r="H2823" s="2">
        <v>17.989999999999998</v>
      </c>
      <c r="I2823" s="2">
        <v>35.979999999999997</v>
      </c>
      <c r="J2823" t="s">
        <v>19</v>
      </c>
      <c r="K2823" t="s">
        <v>20</v>
      </c>
      <c r="L2823" t="s">
        <v>21</v>
      </c>
      <c r="M2823" t="s">
        <v>46</v>
      </c>
      <c r="N2823" t="s">
        <v>47</v>
      </c>
      <c r="O2823" t="s">
        <v>48</v>
      </c>
      <c r="P2823">
        <v>3</v>
      </c>
      <c r="Q2823" s="2">
        <f>Ventas[[#This Row],[precio_base]]*Ventas[[#This Row],[cantidad]]</f>
        <v>39.979999999999997</v>
      </c>
      <c r="R2823" s="2">
        <f>Ventas[[#This Row],[Total bruto (antes de descuento)]]-Ventas[[#This Row],[total_venta]]</f>
        <v>4</v>
      </c>
    </row>
    <row r="2824" spans="1:18" x14ac:dyDescent="0.25">
      <c r="A2824" t="s">
        <v>2917</v>
      </c>
      <c r="B2824" s="1">
        <v>45359</v>
      </c>
      <c r="C2824" t="s">
        <v>50</v>
      </c>
      <c r="D2824" t="s">
        <v>27</v>
      </c>
      <c r="E2824">
        <v>4</v>
      </c>
      <c r="F2824" s="2">
        <v>149.99</v>
      </c>
      <c r="G2824">
        <v>20</v>
      </c>
      <c r="H2824" s="2">
        <v>119.99</v>
      </c>
      <c r="I2824" s="2">
        <v>479.96</v>
      </c>
      <c r="J2824" t="s">
        <v>90</v>
      </c>
      <c r="K2824" t="s">
        <v>20</v>
      </c>
      <c r="L2824" t="s">
        <v>21</v>
      </c>
      <c r="M2824" t="s">
        <v>63</v>
      </c>
      <c r="N2824" t="s">
        <v>34</v>
      </c>
      <c r="O2824" t="s">
        <v>24</v>
      </c>
      <c r="Q2824" s="2">
        <f>Ventas[[#This Row],[precio_base]]*Ventas[[#This Row],[cantidad]]</f>
        <v>599.96</v>
      </c>
      <c r="R2824" s="2">
        <f>Ventas[[#This Row],[Total bruto (antes de descuento)]]-Ventas[[#This Row],[total_venta]]</f>
        <v>120.00000000000006</v>
      </c>
    </row>
    <row r="2825" spans="1:18" x14ac:dyDescent="0.25">
      <c r="A2825" t="s">
        <v>2918</v>
      </c>
      <c r="B2825" s="1">
        <v>45072</v>
      </c>
      <c r="C2825" t="s">
        <v>70</v>
      </c>
      <c r="D2825" t="s">
        <v>31</v>
      </c>
      <c r="E2825">
        <v>2</v>
      </c>
      <c r="F2825" s="2">
        <v>59.99</v>
      </c>
      <c r="G2825">
        <v>0</v>
      </c>
      <c r="H2825" s="2">
        <v>59.99</v>
      </c>
      <c r="I2825" s="2">
        <v>119.98</v>
      </c>
      <c r="J2825" t="s">
        <v>19</v>
      </c>
      <c r="K2825" t="s">
        <v>44</v>
      </c>
      <c r="L2825" t="s">
        <v>45</v>
      </c>
      <c r="M2825" t="s">
        <v>123</v>
      </c>
      <c r="N2825" t="s">
        <v>124</v>
      </c>
      <c r="O2825" t="s">
        <v>24</v>
      </c>
      <c r="P2825">
        <v>4</v>
      </c>
      <c r="Q2825" s="2">
        <f>Ventas[[#This Row],[precio_base]]*Ventas[[#This Row],[cantidad]]</f>
        <v>119.98</v>
      </c>
      <c r="R2825" s="2">
        <f>Ventas[[#This Row],[Total bruto (antes de descuento)]]-Ventas[[#This Row],[total_venta]]</f>
        <v>0</v>
      </c>
    </row>
    <row r="2826" spans="1:18" x14ac:dyDescent="0.25">
      <c r="A2826" t="s">
        <v>2919</v>
      </c>
      <c r="B2826" s="1">
        <v>45067</v>
      </c>
      <c r="C2826" t="s">
        <v>141</v>
      </c>
      <c r="D2826" t="s">
        <v>38</v>
      </c>
      <c r="E2826">
        <v>4</v>
      </c>
      <c r="F2826" s="2">
        <v>89.99</v>
      </c>
      <c r="G2826">
        <v>20</v>
      </c>
      <c r="H2826" s="2">
        <v>71.989999999999995</v>
      </c>
      <c r="I2826" s="2">
        <v>287.95999999999998</v>
      </c>
      <c r="J2826" t="s">
        <v>19</v>
      </c>
      <c r="K2826" t="s">
        <v>20</v>
      </c>
      <c r="L2826" t="s">
        <v>28</v>
      </c>
      <c r="M2826" t="s">
        <v>67</v>
      </c>
      <c r="N2826" t="s">
        <v>68</v>
      </c>
      <c r="O2826" t="s">
        <v>35</v>
      </c>
      <c r="P2826">
        <v>3</v>
      </c>
      <c r="Q2826" s="2">
        <f>Ventas[[#This Row],[precio_base]]*Ventas[[#This Row],[cantidad]]</f>
        <v>359.96</v>
      </c>
      <c r="R2826" s="2">
        <f>Ventas[[#This Row],[Total bruto (antes de descuento)]]-Ventas[[#This Row],[total_venta]]</f>
        <v>72</v>
      </c>
    </row>
    <row r="2827" spans="1:18" x14ac:dyDescent="0.25">
      <c r="A2827" t="s">
        <v>2920</v>
      </c>
      <c r="B2827" s="1">
        <v>45168</v>
      </c>
      <c r="C2827" t="s">
        <v>115</v>
      </c>
      <c r="D2827" t="s">
        <v>18</v>
      </c>
      <c r="E2827">
        <v>3</v>
      </c>
      <c r="F2827" s="2">
        <v>799.99</v>
      </c>
      <c r="G2827">
        <v>5</v>
      </c>
      <c r="H2827" s="2">
        <v>759.99</v>
      </c>
      <c r="I2827" s="2">
        <v>2279.9699999999998</v>
      </c>
      <c r="J2827" t="s">
        <v>51</v>
      </c>
      <c r="K2827" t="s">
        <v>44</v>
      </c>
      <c r="L2827" t="s">
        <v>45</v>
      </c>
      <c r="M2827" t="s">
        <v>58</v>
      </c>
      <c r="N2827" t="s">
        <v>59</v>
      </c>
      <c r="O2827" t="s">
        <v>24</v>
      </c>
      <c r="Q2827" s="2">
        <f>Ventas[[#This Row],[precio_base]]*Ventas[[#This Row],[cantidad]]</f>
        <v>2399.9700000000003</v>
      </c>
      <c r="R2827" s="2">
        <f>Ventas[[#This Row],[Total bruto (antes de descuento)]]-Ventas[[#This Row],[total_venta]]</f>
        <v>120.00000000000045</v>
      </c>
    </row>
    <row r="2828" spans="1:18" x14ac:dyDescent="0.25">
      <c r="A2828" t="s">
        <v>2921</v>
      </c>
      <c r="B2828" s="1">
        <v>45325</v>
      </c>
      <c r="C2828" t="s">
        <v>83</v>
      </c>
      <c r="D2828" t="s">
        <v>38</v>
      </c>
      <c r="E2828">
        <v>5</v>
      </c>
      <c r="F2828" s="2">
        <v>49.99</v>
      </c>
      <c r="G2828">
        <v>0</v>
      </c>
      <c r="H2828" s="2">
        <v>49.99</v>
      </c>
      <c r="I2828" s="2">
        <v>249.95</v>
      </c>
      <c r="J2828" t="s">
        <v>51</v>
      </c>
      <c r="K2828" t="s">
        <v>20</v>
      </c>
      <c r="L2828" t="s">
        <v>21</v>
      </c>
      <c r="M2828" t="s">
        <v>123</v>
      </c>
      <c r="N2828" t="s">
        <v>124</v>
      </c>
      <c r="O2828" t="s">
        <v>24</v>
      </c>
      <c r="Q2828" s="2">
        <f>Ventas[[#This Row],[precio_base]]*Ventas[[#This Row],[cantidad]]</f>
        <v>249.95000000000002</v>
      </c>
      <c r="R2828" s="2">
        <f>Ventas[[#This Row],[Total bruto (antes de descuento)]]-Ventas[[#This Row],[total_venta]]</f>
        <v>0</v>
      </c>
    </row>
    <row r="2829" spans="1:18" x14ac:dyDescent="0.25">
      <c r="A2829" t="s">
        <v>2922</v>
      </c>
      <c r="B2829" s="1">
        <v>45374</v>
      </c>
      <c r="C2829" t="s">
        <v>141</v>
      </c>
      <c r="D2829" t="s">
        <v>38</v>
      </c>
      <c r="E2829">
        <v>2</v>
      </c>
      <c r="F2829" s="2">
        <v>89.99</v>
      </c>
      <c r="G2829">
        <v>0</v>
      </c>
      <c r="H2829" s="2">
        <v>89.99</v>
      </c>
      <c r="I2829" s="2">
        <v>179.98</v>
      </c>
      <c r="J2829" t="s">
        <v>62</v>
      </c>
      <c r="K2829" t="s">
        <v>20</v>
      </c>
      <c r="L2829" t="s">
        <v>21</v>
      </c>
      <c r="M2829" t="s">
        <v>67</v>
      </c>
      <c r="N2829" t="s">
        <v>68</v>
      </c>
      <c r="O2829" t="s">
        <v>35</v>
      </c>
      <c r="Q2829" s="2">
        <f>Ventas[[#This Row],[precio_base]]*Ventas[[#This Row],[cantidad]]</f>
        <v>179.98</v>
      </c>
      <c r="R2829" s="2">
        <f>Ventas[[#This Row],[Total bruto (antes de descuento)]]-Ventas[[#This Row],[total_venta]]</f>
        <v>0</v>
      </c>
    </row>
    <row r="2830" spans="1:18" x14ac:dyDescent="0.25">
      <c r="A2830" t="s">
        <v>2923</v>
      </c>
      <c r="B2830" s="1">
        <v>44933</v>
      </c>
      <c r="C2830" t="s">
        <v>92</v>
      </c>
      <c r="D2830" t="s">
        <v>27</v>
      </c>
      <c r="E2830">
        <v>1</v>
      </c>
      <c r="F2830" s="2">
        <v>79.989999999999995</v>
      </c>
      <c r="G2830">
        <v>0</v>
      </c>
      <c r="H2830" s="2">
        <v>79.989999999999995</v>
      </c>
      <c r="I2830" s="2">
        <v>79.989999999999995</v>
      </c>
      <c r="J2830" t="s">
        <v>19</v>
      </c>
      <c r="K2830" t="s">
        <v>20</v>
      </c>
      <c r="L2830" t="s">
        <v>21</v>
      </c>
      <c r="M2830" t="s">
        <v>84</v>
      </c>
      <c r="N2830" t="s">
        <v>85</v>
      </c>
      <c r="O2830" t="s">
        <v>35</v>
      </c>
      <c r="P2830">
        <v>5</v>
      </c>
      <c r="Q2830" s="2">
        <f>Ventas[[#This Row],[precio_base]]*Ventas[[#This Row],[cantidad]]</f>
        <v>79.989999999999995</v>
      </c>
      <c r="R2830" s="2">
        <f>Ventas[[#This Row],[Total bruto (antes de descuento)]]-Ventas[[#This Row],[total_venta]]</f>
        <v>0</v>
      </c>
    </row>
    <row r="2831" spans="1:18" x14ac:dyDescent="0.25">
      <c r="A2831" t="s">
        <v>2924</v>
      </c>
      <c r="B2831" s="1">
        <v>44984</v>
      </c>
      <c r="C2831" t="s">
        <v>104</v>
      </c>
      <c r="D2831" t="s">
        <v>18</v>
      </c>
      <c r="E2831">
        <v>2</v>
      </c>
      <c r="F2831" s="2">
        <v>1199.99</v>
      </c>
      <c r="G2831">
        <v>5</v>
      </c>
      <c r="H2831" s="2">
        <v>1139.99</v>
      </c>
      <c r="I2831" s="2">
        <v>2279.98</v>
      </c>
      <c r="J2831" t="s">
        <v>19</v>
      </c>
      <c r="K2831" t="s">
        <v>52</v>
      </c>
      <c r="L2831" t="s">
        <v>152</v>
      </c>
      <c r="M2831" t="s">
        <v>63</v>
      </c>
      <c r="N2831" t="s">
        <v>34</v>
      </c>
      <c r="O2831" t="s">
        <v>24</v>
      </c>
      <c r="P2831">
        <v>1</v>
      </c>
      <c r="Q2831" s="2">
        <f>Ventas[[#This Row],[precio_base]]*Ventas[[#This Row],[cantidad]]</f>
        <v>2399.98</v>
      </c>
      <c r="R2831" s="2">
        <f>Ventas[[#This Row],[Total bruto (antes de descuento)]]-Ventas[[#This Row],[total_venta]]</f>
        <v>120</v>
      </c>
    </row>
    <row r="2832" spans="1:18" x14ac:dyDescent="0.25">
      <c r="A2832" t="s">
        <v>2925</v>
      </c>
      <c r="B2832" s="1">
        <v>45410</v>
      </c>
      <c r="C2832" t="s">
        <v>163</v>
      </c>
      <c r="D2832" t="s">
        <v>18</v>
      </c>
      <c r="E2832">
        <v>2</v>
      </c>
      <c r="F2832" s="2">
        <v>499.99</v>
      </c>
      <c r="G2832">
        <v>15</v>
      </c>
      <c r="H2832" s="2">
        <v>424.99</v>
      </c>
      <c r="I2832" s="2">
        <v>849.98</v>
      </c>
      <c r="J2832" t="s">
        <v>116</v>
      </c>
      <c r="K2832" t="s">
        <v>20</v>
      </c>
      <c r="L2832" t="s">
        <v>28</v>
      </c>
      <c r="M2832" t="s">
        <v>101</v>
      </c>
      <c r="N2832" t="s">
        <v>102</v>
      </c>
      <c r="O2832" t="s">
        <v>35</v>
      </c>
      <c r="Q2832" s="2">
        <f>Ventas[[#This Row],[precio_base]]*Ventas[[#This Row],[cantidad]]</f>
        <v>999.98</v>
      </c>
      <c r="R2832" s="2">
        <f>Ventas[[#This Row],[Total bruto (antes de descuento)]]-Ventas[[#This Row],[total_venta]]</f>
        <v>150</v>
      </c>
    </row>
    <row r="2833" spans="1:18" x14ac:dyDescent="0.25">
      <c r="A2833" t="s">
        <v>2926</v>
      </c>
      <c r="B2833" s="1">
        <v>45475</v>
      </c>
      <c r="C2833" t="s">
        <v>72</v>
      </c>
      <c r="D2833" t="s">
        <v>31</v>
      </c>
      <c r="E2833">
        <v>5</v>
      </c>
      <c r="F2833" s="2">
        <v>29.99</v>
      </c>
      <c r="G2833">
        <v>15</v>
      </c>
      <c r="H2833" s="2">
        <v>25.49</v>
      </c>
      <c r="I2833" s="2">
        <v>127.45</v>
      </c>
      <c r="J2833" t="s">
        <v>19</v>
      </c>
      <c r="K2833" t="s">
        <v>44</v>
      </c>
      <c r="L2833" t="s">
        <v>28</v>
      </c>
      <c r="M2833" t="s">
        <v>123</v>
      </c>
      <c r="N2833" t="s">
        <v>124</v>
      </c>
      <c r="O2833" t="s">
        <v>24</v>
      </c>
      <c r="P2833">
        <v>3</v>
      </c>
      <c r="Q2833" s="2">
        <f>Ventas[[#This Row],[precio_base]]*Ventas[[#This Row],[cantidad]]</f>
        <v>149.94999999999999</v>
      </c>
      <c r="R2833" s="2">
        <f>Ventas[[#This Row],[Total bruto (antes de descuento)]]-Ventas[[#This Row],[total_venta]]</f>
        <v>22.499999999999986</v>
      </c>
    </row>
    <row r="2834" spans="1:18" x14ac:dyDescent="0.25">
      <c r="A2834" t="s">
        <v>2927</v>
      </c>
      <c r="B2834" s="1">
        <v>45494</v>
      </c>
      <c r="C2834" t="s">
        <v>141</v>
      </c>
      <c r="D2834" t="s">
        <v>38</v>
      </c>
      <c r="E2834">
        <v>2</v>
      </c>
      <c r="F2834" s="2">
        <v>89.99</v>
      </c>
      <c r="G2834">
        <v>0</v>
      </c>
      <c r="H2834" s="2">
        <v>89.99</v>
      </c>
      <c r="I2834" s="2">
        <v>179.98</v>
      </c>
      <c r="J2834" t="s">
        <v>19</v>
      </c>
      <c r="K2834" t="s">
        <v>20</v>
      </c>
      <c r="L2834" t="s">
        <v>32</v>
      </c>
      <c r="M2834" t="s">
        <v>58</v>
      </c>
      <c r="N2834" t="s">
        <v>59</v>
      </c>
      <c r="O2834" t="s">
        <v>24</v>
      </c>
      <c r="P2834">
        <v>2</v>
      </c>
      <c r="Q2834" s="2">
        <f>Ventas[[#This Row],[precio_base]]*Ventas[[#This Row],[cantidad]]</f>
        <v>179.98</v>
      </c>
      <c r="R2834" s="2">
        <f>Ventas[[#This Row],[Total bruto (antes de descuento)]]-Ventas[[#This Row],[total_venta]]</f>
        <v>0</v>
      </c>
    </row>
    <row r="2835" spans="1:18" x14ac:dyDescent="0.25">
      <c r="A2835" t="s">
        <v>2928</v>
      </c>
      <c r="B2835" s="1">
        <v>45656</v>
      </c>
      <c r="C2835" t="s">
        <v>42</v>
      </c>
      <c r="D2835" t="s">
        <v>43</v>
      </c>
      <c r="E2835">
        <v>3</v>
      </c>
      <c r="F2835" s="2">
        <v>349.99</v>
      </c>
      <c r="G2835">
        <v>0</v>
      </c>
      <c r="H2835" s="2">
        <v>349.99</v>
      </c>
      <c r="I2835" s="2">
        <v>1049.97</v>
      </c>
      <c r="J2835" t="s">
        <v>19</v>
      </c>
      <c r="K2835" t="s">
        <v>20</v>
      </c>
      <c r="L2835" t="s">
        <v>45</v>
      </c>
      <c r="M2835" t="s">
        <v>65</v>
      </c>
      <c r="N2835" t="s">
        <v>54</v>
      </c>
      <c r="O2835" t="s">
        <v>35</v>
      </c>
      <c r="P2835">
        <v>1</v>
      </c>
      <c r="Q2835" s="2">
        <f>Ventas[[#This Row],[precio_base]]*Ventas[[#This Row],[cantidad]]</f>
        <v>1049.97</v>
      </c>
      <c r="R2835" s="2">
        <f>Ventas[[#This Row],[Total bruto (antes de descuento)]]-Ventas[[#This Row],[total_venta]]</f>
        <v>0</v>
      </c>
    </row>
    <row r="2836" spans="1:18" x14ac:dyDescent="0.25">
      <c r="A2836" t="s">
        <v>2929</v>
      </c>
      <c r="B2836" s="1">
        <v>45386</v>
      </c>
      <c r="C2836" t="s">
        <v>56</v>
      </c>
      <c r="D2836" t="s">
        <v>18</v>
      </c>
      <c r="E2836">
        <v>1</v>
      </c>
      <c r="F2836" s="2">
        <v>89.99</v>
      </c>
      <c r="G2836">
        <v>0</v>
      </c>
      <c r="H2836" s="2">
        <v>89.99</v>
      </c>
      <c r="I2836" s="2">
        <v>89.99</v>
      </c>
      <c r="J2836" t="s">
        <v>90</v>
      </c>
      <c r="K2836" t="s">
        <v>52</v>
      </c>
      <c r="L2836" t="s">
        <v>21</v>
      </c>
      <c r="M2836" t="s">
        <v>65</v>
      </c>
      <c r="N2836" t="s">
        <v>54</v>
      </c>
      <c r="O2836" t="s">
        <v>35</v>
      </c>
      <c r="Q2836" s="2">
        <f>Ventas[[#This Row],[precio_base]]*Ventas[[#This Row],[cantidad]]</f>
        <v>89.99</v>
      </c>
      <c r="R2836" s="2">
        <f>Ventas[[#This Row],[Total bruto (antes de descuento)]]-Ventas[[#This Row],[total_venta]]</f>
        <v>0</v>
      </c>
    </row>
    <row r="2837" spans="1:18" x14ac:dyDescent="0.25">
      <c r="A2837" t="s">
        <v>2930</v>
      </c>
      <c r="B2837" s="1">
        <v>45242</v>
      </c>
      <c r="C2837" t="s">
        <v>156</v>
      </c>
      <c r="D2837" t="s">
        <v>27</v>
      </c>
      <c r="E2837">
        <v>1</v>
      </c>
      <c r="F2837" s="2">
        <v>49.99</v>
      </c>
      <c r="G2837">
        <v>0</v>
      </c>
      <c r="H2837" s="2">
        <v>49.99</v>
      </c>
      <c r="I2837" s="2">
        <v>49.99</v>
      </c>
      <c r="J2837" t="s">
        <v>19</v>
      </c>
      <c r="K2837" t="s">
        <v>20</v>
      </c>
      <c r="L2837" t="s">
        <v>21</v>
      </c>
      <c r="M2837" t="s">
        <v>58</v>
      </c>
      <c r="N2837" t="s">
        <v>59</v>
      </c>
      <c r="O2837" t="s">
        <v>24</v>
      </c>
      <c r="P2837">
        <v>3</v>
      </c>
      <c r="Q2837" s="2">
        <f>Ventas[[#This Row],[precio_base]]*Ventas[[#This Row],[cantidad]]</f>
        <v>49.99</v>
      </c>
      <c r="R2837" s="2">
        <f>Ventas[[#This Row],[Total bruto (antes de descuento)]]-Ventas[[#This Row],[total_venta]]</f>
        <v>0</v>
      </c>
    </row>
    <row r="2838" spans="1:18" x14ac:dyDescent="0.25">
      <c r="A2838" t="s">
        <v>2931</v>
      </c>
      <c r="B2838" s="1">
        <v>45580</v>
      </c>
      <c r="C2838" t="s">
        <v>115</v>
      </c>
      <c r="D2838" t="s">
        <v>18</v>
      </c>
      <c r="E2838">
        <v>3</v>
      </c>
      <c r="F2838" s="2">
        <v>799.99</v>
      </c>
      <c r="G2838">
        <v>20</v>
      </c>
      <c r="H2838" s="2">
        <v>639.99</v>
      </c>
      <c r="I2838" s="2">
        <v>1919.97</v>
      </c>
      <c r="J2838" t="s">
        <v>19</v>
      </c>
      <c r="K2838" t="s">
        <v>52</v>
      </c>
      <c r="L2838" t="s">
        <v>28</v>
      </c>
      <c r="M2838" t="s">
        <v>101</v>
      </c>
      <c r="N2838" t="s">
        <v>102</v>
      </c>
      <c r="O2838" t="s">
        <v>35</v>
      </c>
      <c r="P2838">
        <v>3</v>
      </c>
      <c r="Q2838" s="2">
        <f>Ventas[[#This Row],[precio_base]]*Ventas[[#This Row],[cantidad]]</f>
        <v>2399.9700000000003</v>
      </c>
      <c r="R2838" s="2">
        <f>Ventas[[#This Row],[Total bruto (antes de descuento)]]-Ventas[[#This Row],[total_venta]]</f>
        <v>480.00000000000023</v>
      </c>
    </row>
    <row r="2839" spans="1:18" x14ac:dyDescent="0.25">
      <c r="A2839" t="s">
        <v>2932</v>
      </c>
      <c r="B2839" s="1">
        <v>45041</v>
      </c>
      <c r="C2839" t="s">
        <v>143</v>
      </c>
      <c r="D2839" t="s">
        <v>43</v>
      </c>
      <c r="E2839">
        <v>4</v>
      </c>
      <c r="F2839" s="2">
        <v>34.99</v>
      </c>
      <c r="G2839">
        <v>0</v>
      </c>
      <c r="H2839" s="2">
        <v>34.99</v>
      </c>
      <c r="I2839" s="2">
        <v>139.96</v>
      </c>
      <c r="J2839" t="s">
        <v>19</v>
      </c>
      <c r="K2839" t="s">
        <v>44</v>
      </c>
      <c r="L2839" t="s">
        <v>152</v>
      </c>
      <c r="M2839" t="s">
        <v>58</v>
      </c>
      <c r="N2839" t="s">
        <v>59</v>
      </c>
      <c r="O2839" t="s">
        <v>24</v>
      </c>
      <c r="P2839">
        <v>4</v>
      </c>
      <c r="Q2839" s="2">
        <f>Ventas[[#This Row],[precio_base]]*Ventas[[#This Row],[cantidad]]</f>
        <v>139.96</v>
      </c>
      <c r="R2839" s="2">
        <f>Ventas[[#This Row],[Total bruto (antes de descuento)]]-Ventas[[#This Row],[total_venta]]</f>
        <v>0</v>
      </c>
    </row>
    <row r="2840" spans="1:18" x14ac:dyDescent="0.25">
      <c r="A2840" t="s">
        <v>2933</v>
      </c>
      <c r="B2840" s="1">
        <v>45131</v>
      </c>
      <c r="C2840" t="s">
        <v>61</v>
      </c>
      <c r="D2840" t="s">
        <v>38</v>
      </c>
      <c r="E2840">
        <v>3</v>
      </c>
      <c r="F2840" s="2">
        <v>19.989999999999998</v>
      </c>
      <c r="G2840">
        <v>20</v>
      </c>
      <c r="H2840" s="2">
        <v>15.99</v>
      </c>
      <c r="I2840" s="2">
        <v>47.97</v>
      </c>
      <c r="J2840" t="s">
        <v>90</v>
      </c>
      <c r="K2840" t="s">
        <v>20</v>
      </c>
      <c r="L2840" t="s">
        <v>21</v>
      </c>
      <c r="M2840" t="s">
        <v>22</v>
      </c>
      <c r="N2840" t="s">
        <v>23</v>
      </c>
      <c r="O2840" t="s">
        <v>24</v>
      </c>
      <c r="Q2840" s="2">
        <f>Ventas[[#This Row],[precio_base]]*Ventas[[#This Row],[cantidad]]</f>
        <v>59.97</v>
      </c>
      <c r="R2840" s="2">
        <f>Ventas[[#This Row],[Total bruto (antes de descuento)]]-Ventas[[#This Row],[total_venta]]</f>
        <v>12</v>
      </c>
    </row>
    <row r="2841" spans="1:18" x14ac:dyDescent="0.25">
      <c r="A2841" t="s">
        <v>2934</v>
      </c>
      <c r="B2841" s="1">
        <v>45449</v>
      </c>
      <c r="C2841" t="s">
        <v>50</v>
      </c>
      <c r="D2841" t="s">
        <v>27</v>
      </c>
      <c r="E2841">
        <v>1</v>
      </c>
      <c r="F2841" s="2">
        <v>149.99</v>
      </c>
      <c r="G2841">
        <v>0</v>
      </c>
      <c r="H2841" s="2">
        <v>149.99</v>
      </c>
      <c r="I2841" s="2">
        <v>149.99</v>
      </c>
      <c r="J2841" t="s">
        <v>19</v>
      </c>
      <c r="K2841" t="s">
        <v>20</v>
      </c>
      <c r="L2841" t="s">
        <v>21</v>
      </c>
      <c r="M2841" t="s">
        <v>65</v>
      </c>
      <c r="N2841" t="s">
        <v>54</v>
      </c>
      <c r="O2841" t="s">
        <v>35</v>
      </c>
      <c r="P2841">
        <v>1</v>
      </c>
      <c r="Q2841" s="2">
        <f>Ventas[[#This Row],[precio_base]]*Ventas[[#This Row],[cantidad]]</f>
        <v>149.99</v>
      </c>
      <c r="R2841" s="2">
        <f>Ventas[[#This Row],[Total bruto (antes de descuento)]]-Ventas[[#This Row],[total_venta]]</f>
        <v>0</v>
      </c>
    </row>
    <row r="2842" spans="1:18" x14ac:dyDescent="0.25">
      <c r="A2842" t="s">
        <v>2935</v>
      </c>
      <c r="B2842" s="1">
        <v>45631</v>
      </c>
      <c r="C2842" t="s">
        <v>115</v>
      </c>
      <c r="D2842" t="s">
        <v>18</v>
      </c>
      <c r="E2842">
        <v>2</v>
      </c>
      <c r="F2842" s="2">
        <v>799.99</v>
      </c>
      <c r="G2842">
        <v>20</v>
      </c>
      <c r="H2842" s="2">
        <v>639.99</v>
      </c>
      <c r="I2842" s="2">
        <v>1279.98</v>
      </c>
      <c r="J2842" t="s">
        <v>51</v>
      </c>
      <c r="K2842" t="s">
        <v>44</v>
      </c>
      <c r="L2842" t="s">
        <v>21</v>
      </c>
      <c r="M2842" t="s">
        <v>53</v>
      </c>
      <c r="N2842" t="s">
        <v>54</v>
      </c>
      <c r="O2842" t="s">
        <v>35</v>
      </c>
      <c r="Q2842" s="2">
        <f>Ventas[[#This Row],[precio_base]]*Ventas[[#This Row],[cantidad]]</f>
        <v>1599.98</v>
      </c>
      <c r="R2842" s="2">
        <f>Ventas[[#This Row],[Total bruto (antes de descuento)]]-Ventas[[#This Row],[total_venta]]</f>
        <v>320</v>
      </c>
    </row>
    <row r="2843" spans="1:18" x14ac:dyDescent="0.25">
      <c r="A2843" t="s">
        <v>2936</v>
      </c>
      <c r="B2843" s="1">
        <v>44965</v>
      </c>
      <c r="C2843" t="s">
        <v>87</v>
      </c>
      <c r="D2843" t="s">
        <v>27</v>
      </c>
      <c r="E2843">
        <v>4</v>
      </c>
      <c r="F2843" s="2">
        <v>249.99</v>
      </c>
      <c r="G2843">
        <v>10</v>
      </c>
      <c r="H2843" s="2">
        <v>224.99</v>
      </c>
      <c r="I2843" s="2">
        <v>899.96</v>
      </c>
      <c r="J2843" t="s">
        <v>19</v>
      </c>
      <c r="K2843" t="s">
        <v>52</v>
      </c>
      <c r="L2843" t="s">
        <v>45</v>
      </c>
      <c r="M2843" t="s">
        <v>63</v>
      </c>
      <c r="N2843" t="s">
        <v>34</v>
      </c>
      <c r="O2843" t="s">
        <v>24</v>
      </c>
      <c r="P2843">
        <v>3</v>
      </c>
      <c r="Q2843" s="2">
        <f>Ventas[[#This Row],[precio_base]]*Ventas[[#This Row],[cantidad]]</f>
        <v>999.96</v>
      </c>
      <c r="R2843" s="2">
        <f>Ventas[[#This Row],[Total bruto (antes de descuento)]]-Ventas[[#This Row],[total_venta]]</f>
        <v>100</v>
      </c>
    </row>
    <row r="2844" spans="1:18" x14ac:dyDescent="0.25">
      <c r="A2844" t="s">
        <v>2937</v>
      </c>
      <c r="B2844" s="1">
        <v>45105</v>
      </c>
      <c r="C2844" t="s">
        <v>92</v>
      </c>
      <c r="D2844" t="s">
        <v>27</v>
      </c>
      <c r="E2844">
        <v>5</v>
      </c>
      <c r="F2844" s="2">
        <v>79.989999999999995</v>
      </c>
      <c r="G2844">
        <v>5</v>
      </c>
      <c r="H2844" s="2">
        <v>75.989999999999995</v>
      </c>
      <c r="I2844" s="2">
        <v>379.95</v>
      </c>
      <c r="J2844" t="s">
        <v>19</v>
      </c>
      <c r="K2844" t="s">
        <v>52</v>
      </c>
      <c r="L2844" t="s">
        <v>45</v>
      </c>
      <c r="M2844" t="s">
        <v>58</v>
      </c>
      <c r="N2844" t="s">
        <v>59</v>
      </c>
      <c r="O2844" t="s">
        <v>24</v>
      </c>
      <c r="P2844">
        <v>3</v>
      </c>
      <c r="Q2844" s="2">
        <f>Ventas[[#This Row],[precio_base]]*Ventas[[#This Row],[cantidad]]</f>
        <v>399.95</v>
      </c>
      <c r="R2844" s="2">
        <f>Ventas[[#This Row],[Total bruto (antes de descuento)]]-Ventas[[#This Row],[total_venta]]</f>
        <v>20</v>
      </c>
    </row>
    <row r="2845" spans="1:18" x14ac:dyDescent="0.25">
      <c r="A2845" t="s">
        <v>2938</v>
      </c>
      <c r="B2845" s="1">
        <v>45627</v>
      </c>
      <c r="C2845" t="s">
        <v>56</v>
      </c>
      <c r="D2845" t="s">
        <v>18</v>
      </c>
      <c r="E2845">
        <v>3</v>
      </c>
      <c r="F2845" s="2">
        <v>89.99</v>
      </c>
      <c r="G2845">
        <v>0</v>
      </c>
      <c r="H2845" s="2">
        <v>89.99</v>
      </c>
      <c r="I2845" s="2">
        <v>269.97000000000003</v>
      </c>
      <c r="J2845" t="s">
        <v>19</v>
      </c>
      <c r="K2845" t="s">
        <v>20</v>
      </c>
      <c r="L2845" t="s">
        <v>21</v>
      </c>
      <c r="M2845" t="s">
        <v>84</v>
      </c>
      <c r="N2845" t="s">
        <v>85</v>
      </c>
      <c r="O2845" t="s">
        <v>35</v>
      </c>
      <c r="P2845">
        <v>2</v>
      </c>
      <c r="Q2845" s="2">
        <f>Ventas[[#This Row],[precio_base]]*Ventas[[#This Row],[cantidad]]</f>
        <v>269.96999999999997</v>
      </c>
      <c r="R2845" s="2">
        <f>Ventas[[#This Row],[Total bruto (antes de descuento)]]-Ventas[[#This Row],[total_venta]]</f>
        <v>0</v>
      </c>
    </row>
    <row r="2846" spans="1:18" x14ac:dyDescent="0.25">
      <c r="A2846" t="s">
        <v>2939</v>
      </c>
      <c r="B2846" s="1">
        <v>45262</v>
      </c>
      <c r="C2846" t="s">
        <v>76</v>
      </c>
      <c r="D2846" t="s">
        <v>31</v>
      </c>
      <c r="E2846">
        <v>2</v>
      </c>
      <c r="F2846" s="2">
        <v>69.989999999999995</v>
      </c>
      <c r="G2846">
        <v>5</v>
      </c>
      <c r="H2846" s="2">
        <v>66.489999999999995</v>
      </c>
      <c r="I2846" s="2">
        <v>132.97999999999999</v>
      </c>
      <c r="J2846" t="s">
        <v>62</v>
      </c>
      <c r="K2846" t="s">
        <v>44</v>
      </c>
      <c r="L2846" t="s">
        <v>21</v>
      </c>
      <c r="M2846" t="s">
        <v>39</v>
      </c>
      <c r="N2846" t="s">
        <v>40</v>
      </c>
      <c r="O2846" t="s">
        <v>35</v>
      </c>
      <c r="Q2846" s="2">
        <f>Ventas[[#This Row],[precio_base]]*Ventas[[#This Row],[cantidad]]</f>
        <v>139.97999999999999</v>
      </c>
      <c r="R2846" s="2">
        <f>Ventas[[#This Row],[Total bruto (antes de descuento)]]-Ventas[[#This Row],[total_venta]]</f>
        <v>7</v>
      </c>
    </row>
    <row r="2847" spans="1:18" x14ac:dyDescent="0.25">
      <c r="A2847" t="s">
        <v>2940</v>
      </c>
      <c r="B2847" s="1">
        <v>45505</v>
      </c>
      <c r="C2847" t="s">
        <v>42</v>
      </c>
      <c r="D2847" t="s">
        <v>43</v>
      </c>
      <c r="E2847">
        <v>1</v>
      </c>
      <c r="F2847" s="2">
        <v>349.99</v>
      </c>
      <c r="G2847">
        <v>0</v>
      </c>
      <c r="H2847" s="2">
        <v>349.99</v>
      </c>
      <c r="I2847" s="2">
        <v>349.99</v>
      </c>
      <c r="J2847" t="s">
        <v>19</v>
      </c>
      <c r="K2847" t="s">
        <v>20</v>
      </c>
      <c r="L2847" t="s">
        <v>21</v>
      </c>
      <c r="M2847" t="s">
        <v>101</v>
      </c>
      <c r="N2847" t="s">
        <v>102</v>
      </c>
      <c r="O2847" t="s">
        <v>35</v>
      </c>
      <c r="P2847">
        <v>4</v>
      </c>
      <c r="Q2847" s="2">
        <f>Ventas[[#This Row],[precio_base]]*Ventas[[#This Row],[cantidad]]</f>
        <v>349.99</v>
      </c>
      <c r="R2847" s="2">
        <f>Ventas[[#This Row],[Total bruto (antes de descuento)]]-Ventas[[#This Row],[total_venta]]</f>
        <v>0</v>
      </c>
    </row>
    <row r="2848" spans="1:18" x14ac:dyDescent="0.25">
      <c r="A2848" t="s">
        <v>2941</v>
      </c>
      <c r="B2848" s="1">
        <v>45435</v>
      </c>
      <c r="C2848" t="s">
        <v>56</v>
      </c>
      <c r="D2848" t="s">
        <v>18</v>
      </c>
      <c r="E2848">
        <v>4</v>
      </c>
      <c r="F2848" s="2">
        <v>89.99</v>
      </c>
      <c r="G2848">
        <v>5</v>
      </c>
      <c r="H2848" s="2">
        <v>85.49</v>
      </c>
      <c r="I2848" s="2">
        <v>341.96</v>
      </c>
      <c r="J2848" t="s">
        <v>51</v>
      </c>
      <c r="K2848" t="s">
        <v>20</v>
      </c>
      <c r="L2848" t="s">
        <v>32</v>
      </c>
      <c r="M2848" t="s">
        <v>53</v>
      </c>
      <c r="N2848" t="s">
        <v>54</v>
      </c>
      <c r="O2848" t="s">
        <v>35</v>
      </c>
      <c r="Q2848" s="2">
        <f>Ventas[[#This Row],[precio_base]]*Ventas[[#This Row],[cantidad]]</f>
        <v>359.96</v>
      </c>
      <c r="R2848" s="2">
        <f>Ventas[[#This Row],[Total bruto (antes de descuento)]]-Ventas[[#This Row],[total_venta]]</f>
        <v>18</v>
      </c>
    </row>
    <row r="2849" spans="1:18" x14ac:dyDescent="0.25">
      <c r="A2849" t="s">
        <v>2942</v>
      </c>
      <c r="B2849" s="1">
        <v>45529</v>
      </c>
      <c r="C2849" t="s">
        <v>122</v>
      </c>
      <c r="D2849" t="s">
        <v>43</v>
      </c>
      <c r="E2849">
        <v>1</v>
      </c>
      <c r="F2849" s="2">
        <v>44.99</v>
      </c>
      <c r="G2849">
        <v>0</v>
      </c>
      <c r="H2849" s="2">
        <v>44.99</v>
      </c>
      <c r="I2849" s="2">
        <v>44.99</v>
      </c>
      <c r="J2849" t="s">
        <v>19</v>
      </c>
      <c r="K2849" t="s">
        <v>20</v>
      </c>
      <c r="L2849" t="s">
        <v>45</v>
      </c>
      <c r="M2849" t="s">
        <v>67</v>
      </c>
      <c r="N2849" t="s">
        <v>68</v>
      </c>
      <c r="O2849" t="s">
        <v>35</v>
      </c>
      <c r="P2849">
        <v>5</v>
      </c>
      <c r="Q2849" s="2">
        <f>Ventas[[#This Row],[precio_base]]*Ventas[[#This Row],[cantidad]]</f>
        <v>44.99</v>
      </c>
      <c r="R2849" s="2">
        <f>Ventas[[#This Row],[Total bruto (antes de descuento)]]-Ventas[[#This Row],[total_venta]]</f>
        <v>0</v>
      </c>
    </row>
    <row r="2850" spans="1:18" x14ac:dyDescent="0.25">
      <c r="A2850" t="s">
        <v>2943</v>
      </c>
      <c r="B2850" s="1">
        <v>45190</v>
      </c>
      <c r="C2850" t="s">
        <v>130</v>
      </c>
      <c r="D2850" t="s">
        <v>43</v>
      </c>
      <c r="E2850">
        <v>4</v>
      </c>
      <c r="F2850" s="2">
        <v>24.99</v>
      </c>
      <c r="G2850">
        <v>15</v>
      </c>
      <c r="H2850" s="2">
        <v>21.24</v>
      </c>
      <c r="I2850" s="2">
        <v>84.96</v>
      </c>
      <c r="J2850" t="s">
        <v>51</v>
      </c>
      <c r="K2850" t="s">
        <v>57</v>
      </c>
      <c r="L2850" t="s">
        <v>21</v>
      </c>
      <c r="M2850" t="s">
        <v>58</v>
      </c>
      <c r="N2850" t="s">
        <v>59</v>
      </c>
      <c r="O2850" t="s">
        <v>24</v>
      </c>
      <c r="Q2850" s="2">
        <f>Ventas[[#This Row],[precio_base]]*Ventas[[#This Row],[cantidad]]</f>
        <v>99.96</v>
      </c>
      <c r="R2850" s="2">
        <f>Ventas[[#This Row],[Total bruto (antes de descuento)]]-Ventas[[#This Row],[total_venta]]</f>
        <v>15</v>
      </c>
    </row>
    <row r="2851" spans="1:18" x14ac:dyDescent="0.25">
      <c r="A2851" t="s">
        <v>2944</v>
      </c>
      <c r="B2851" s="1">
        <v>45551</v>
      </c>
      <c r="C2851" t="s">
        <v>26</v>
      </c>
      <c r="D2851" t="s">
        <v>27</v>
      </c>
      <c r="E2851">
        <v>5</v>
      </c>
      <c r="F2851" s="2">
        <v>399.99</v>
      </c>
      <c r="G2851">
        <v>10</v>
      </c>
      <c r="H2851" s="2">
        <v>359.99</v>
      </c>
      <c r="I2851" s="2">
        <v>1799.95</v>
      </c>
      <c r="J2851" t="s">
        <v>51</v>
      </c>
      <c r="K2851" t="s">
        <v>20</v>
      </c>
      <c r="L2851" t="s">
        <v>21</v>
      </c>
      <c r="M2851" t="s">
        <v>84</v>
      </c>
      <c r="N2851" t="s">
        <v>85</v>
      </c>
      <c r="O2851" t="s">
        <v>35</v>
      </c>
      <c r="Q2851" s="2">
        <f>Ventas[[#This Row],[precio_base]]*Ventas[[#This Row],[cantidad]]</f>
        <v>1999.95</v>
      </c>
      <c r="R2851" s="2">
        <f>Ventas[[#This Row],[Total bruto (antes de descuento)]]-Ventas[[#This Row],[total_venta]]</f>
        <v>200</v>
      </c>
    </row>
    <row r="2852" spans="1:18" x14ac:dyDescent="0.25">
      <c r="A2852" t="s">
        <v>2945</v>
      </c>
      <c r="B2852" s="1">
        <v>45536</v>
      </c>
      <c r="C2852" t="s">
        <v>50</v>
      </c>
      <c r="D2852" t="s">
        <v>27</v>
      </c>
      <c r="E2852">
        <v>3</v>
      </c>
      <c r="F2852" s="2">
        <v>149.99</v>
      </c>
      <c r="G2852">
        <v>5</v>
      </c>
      <c r="H2852" s="2">
        <v>142.49</v>
      </c>
      <c r="I2852" s="2">
        <v>427.47</v>
      </c>
      <c r="J2852" t="s">
        <v>19</v>
      </c>
      <c r="K2852" t="s">
        <v>44</v>
      </c>
      <c r="L2852" t="s">
        <v>21</v>
      </c>
      <c r="M2852" t="s">
        <v>46</v>
      </c>
      <c r="N2852" t="s">
        <v>47</v>
      </c>
      <c r="O2852" t="s">
        <v>48</v>
      </c>
      <c r="P2852">
        <v>3</v>
      </c>
      <c r="Q2852" s="2">
        <f>Ventas[[#This Row],[precio_base]]*Ventas[[#This Row],[cantidad]]</f>
        <v>449.97</v>
      </c>
      <c r="R2852" s="2">
        <f>Ventas[[#This Row],[Total bruto (antes de descuento)]]-Ventas[[#This Row],[total_venta]]</f>
        <v>22.5</v>
      </c>
    </row>
    <row r="2853" spans="1:18" x14ac:dyDescent="0.25">
      <c r="A2853" t="s">
        <v>2946</v>
      </c>
      <c r="B2853" s="1">
        <v>45094</v>
      </c>
      <c r="C2853" t="s">
        <v>17</v>
      </c>
      <c r="D2853" t="s">
        <v>18</v>
      </c>
      <c r="E2853">
        <v>1</v>
      </c>
      <c r="F2853" s="2">
        <v>45.99</v>
      </c>
      <c r="G2853">
        <v>10</v>
      </c>
      <c r="H2853" s="2">
        <v>41.39</v>
      </c>
      <c r="I2853" s="2">
        <v>41.39</v>
      </c>
      <c r="J2853" t="s">
        <v>19</v>
      </c>
      <c r="K2853" t="s">
        <v>44</v>
      </c>
      <c r="L2853" t="s">
        <v>152</v>
      </c>
      <c r="M2853" t="s">
        <v>73</v>
      </c>
      <c r="N2853" t="s">
        <v>74</v>
      </c>
      <c r="O2853" t="s">
        <v>35</v>
      </c>
      <c r="P2853">
        <v>2</v>
      </c>
      <c r="Q2853" s="2">
        <f>Ventas[[#This Row],[precio_base]]*Ventas[[#This Row],[cantidad]]</f>
        <v>45.99</v>
      </c>
      <c r="R2853" s="2">
        <f>Ventas[[#This Row],[Total bruto (antes de descuento)]]-Ventas[[#This Row],[total_venta]]</f>
        <v>4.6000000000000014</v>
      </c>
    </row>
    <row r="2854" spans="1:18" x14ac:dyDescent="0.25">
      <c r="A2854" t="s">
        <v>2947</v>
      </c>
      <c r="B2854" s="1">
        <v>45593</v>
      </c>
      <c r="C2854" t="s">
        <v>83</v>
      </c>
      <c r="D2854" t="s">
        <v>38</v>
      </c>
      <c r="E2854">
        <v>4</v>
      </c>
      <c r="F2854" s="2">
        <v>49.99</v>
      </c>
      <c r="G2854">
        <v>0</v>
      </c>
      <c r="H2854" s="2">
        <v>49.99</v>
      </c>
      <c r="I2854" s="2">
        <v>199.96</v>
      </c>
      <c r="J2854" t="s">
        <v>51</v>
      </c>
      <c r="K2854" t="s">
        <v>52</v>
      </c>
      <c r="L2854" t="s">
        <v>21</v>
      </c>
      <c r="M2854" t="s">
        <v>65</v>
      </c>
      <c r="N2854" t="s">
        <v>54</v>
      </c>
      <c r="O2854" t="s">
        <v>35</v>
      </c>
      <c r="Q2854" s="2">
        <f>Ventas[[#This Row],[precio_base]]*Ventas[[#This Row],[cantidad]]</f>
        <v>199.96</v>
      </c>
      <c r="R2854" s="2">
        <f>Ventas[[#This Row],[Total bruto (antes de descuento)]]-Ventas[[#This Row],[total_venta]]</f>
        <v>0</v>
      </c>
    </row>
    <row r="2855" spans="1:18" x14ac:dyDescent="0.25">
      <c r="A2855" t="s">
        <v>2948</v>
      </c>
      <c r="B2855" s="1">
        <v>45613</v>
      </c>
      <c r="C2855" t="s">
        <v>156</v>
      </c>
      <c r="D2855" t="s">
        <v>27</v>
      </c>
      <c r="E2855">
        <v>4</v>
      </c>
      <c r="F2855" s="2">
        <v>49.99</v>
      </c>
      <c r="G2855">
        <v>10</v>
      </c>
      <c r="H2855" s="2">
        <v>44.99</v>
      </c>
      <c r="I2855" s="2">
        <v>179.96</v>
      </c>
      <c r="J2855" t="s">
        <v>19</v>
      </c>
      <c r="K2855" t="s">
        <v>44</v>
      </c>
      <c r="L2855" t="s">
        <v>32</v>
      </c>
      <c r="M2855" t="s">
        <v>63</v>
      </c>
      <c r="N2855" t="s">
        <v>34</v>
      </c>
      <c r="O2855" t="s">
        <v>24</v>
      </c>
      <c r="P2855">
        <v>4</v>
      </c>
      <c r="Q2855" s="2">
        <f>Ventas[[#This Row],[precio_base]]*Ventas[[#This Row],[cantidad]]</f>
        <v>199.96</v>
      </c>
      <c r="R2855" s="2">
        <f>Ventas[[#This Row],[Total bruto (antes de descuento)]]-Ventas[[#This Row],[total_venta]]</f>
        <v>20</v>
      </c>
    </row>
    <row r="2856" spans="1:18" x14ac:dyDescent="0.25">
      <c r="A2856" t="s">
        <v>2949</v>
      </c>
      <c r="B2856" s="1">
        <v>45263</v>
      </c>
      <c r="C2856" t="s">
        <v>72</v>
      </c>
      <c r="D2856" t="s">
        <v>31</v>
      </c>
      <c r="E2856">
        <v>5</v>
      </c>
      <c r="F2856" s="2">
        <v>29.99</v>
      </c>
      <c r="G2856">
        <v>0</v>
      </c>
      <c r="H2856" s="2">
        <v>29.99</v>
      </c>
      <c r="I2856" s="2">
        <v>149.94999999999999</v>
      </c>
      <c r="J2856" t="s">
        <v>51</v>
      </c>
      <c r="K2856" t="s">
        <v>52</v>
      </c>
      <c r="L2856" t="s">
        <v>28</v>
      </c>
      <c r="M2856" t="s">
        <v>63</v>
      </c>
      <c r="N2856" t="s">
        <v>34</v>
      </c>
      <c r="O2856" t="s">
        <v>24</v>
      </c>
      <c r="Q2856" s="2">
        <f>Ventas[[#This Row],[precio_base]]*Ventas[[#This Row],[cantidad]]</f>
        <v>149.94999999999999</v>
      </c>
      <c r="R2856" s="2">
        <f>Ventas[[#This Row],[Total bruto (antes de descuento)]]-Ventas[[#This Row],[total_venta]]</f>
        <v>0</v>
      </c>
    </row>
    <row r="2857" spans="1:18" x14ac:dyDescent="0.25">
      <c r="A2857" t="s">
        <v>2950</v>
      </c>
      <c r="B2857" s="1">
        <v>45533</v>
      </c>
      <c r="C2857" t="s">
        <v>94</v>
      </c>
      <c r="D2857" t="s">
        <v>18</v>
      </c>
      <c r="E2857">
        <v>2</v>
      </c>
      <c r="F2857" s="2">
        <v>899.99</v>
      </c>
      <c r="G2857">
        <v>0</v>
      </c>
      <c r="H2857" s="2">
        <v>899.99</v>
      </c>
      <c r="I2857" s="2">
        <v>1799.98</v>
      </c>
      <c r="J2857" t="s">
        <v>19</v>
      </c>
      <c r="K2857" t="s">
        <v>44</v>
      </c>
      <c r="L2857" t="s">
        <v>28</v>
      </c>
      <c r="M2857" t="s">
        <v>84</v>
      </c>
      <c r="N2857" t="s">
        <v>85</v>
      </c>
      <c r="O2857" t="s">
        <v>35</v>
      </c>
      <c r="P2857">
        <v>5</v>
      </c>
      <c r="Q2857" s="2">
        <f>Ventas[[#This Row],[precio_base]]*Ventas[[#This Row],[cantidad]]</f>
        <v>1799.98</v>
      </c>
      <c r="R2857" s="2">
        <f>Ventas[[#This Row],[Total bruto (antes de descuento)]]-Ventas[[#This Row],[total_venta]]</f>
        <v>0</v>
      </c>
    </row>
    <row r="2858" spans="1:18" x14ac:dyDescent="0.25">
      <c r="A2858" t="s">
        <v>2951</v>
      </c>
      <c r="B2858" s="1">
        <v>45603</v>
      </c>
      <c r="C2858" t="s">
        <v>130</v>
      </c>
      <c r="D2858" t="s">
        <v>43</v>
      </c>
      <c r="E2858">
        <v>1</v>
      </c>
      <c r="F2858" s="2">
        <v>24.99</v>
      </c>
      <c r="G2858">
        <v>20</v>
      </c>
      <c r="H2858" s="2">
        <v>19.989999999999998</v>
      </c>
      <c r="I2858" s="2">
        <v>19.989999999999998</v>
      </c>
      <c r="J2858" t="s">
        <v>19</v>
      </c>
      <c r="K2858" t="s">
        <v>44</v>
      </c>
      <c r="L2858" t="s">
        <v>28</v>
      </c>
      <c r="M2858" t="s">
        <v>65</v>
      </c>
      <c r="N2858" t="s">
        <v>54</v>
      </c>
      <c r="O2858" t="s">
        <v>35</v>
      </c>
      <c r="P2858">
        <v>4</v>
      </c>
      <c r="Q2858" s="2">
        <f>Ventas[[#This Row],[precio_base]]*Ventas[[#This Row],[cantidad]]</f>
        <v>24.99</v>
      </c>
      <c r="R2858" s="2">
        <f>Ventas[[#This Row],[Total bruto (antes de descuento)]]-Ventas[[#This Row],[total_venta]]</f>
        <v>5</v>
      </c>
    </row>
    <row r="2859" spans="1:18" x14ac:dyDescent="0.25">
      <c r="A2859" t="s">
        <v>2952</v>
      </c>
      <c r="B2859" s="1">
        <v>45010</v>
      </c>
      <c r="C2859" t="s">
        <v>151</v>
      </c>
      <c r="D2859" t="s">
        <v>27</v>
      </c>
      <c r="E2859">
        <v>1</v>
      </c>
      <c r="F2859" s="2">
        <v>599.99</v>
      </c>
      <c r="G2859">
        <v>0</v>
      </c>
      <c r="H2859" s="2">
        <v>599.99</v>
      </c>
      <c r="I2859" s="2">
        <v>599.99</v>
      </c>
      <c r="J2859" t="s">
        <v>51</v>
      </c>
      <c r="K2859" t="s">
        <v>20</v>
      </c>
      <c r="L2859" t="s">
        <v>152</v>
      </c>
      <c r="M2859" t="s">
        <v>65</v>
      </c>
      <c r="N2859" t="s">
        <v>54</v>
      </c>
      <c r="O2859" t="s">
        <v>35</v>
      </c>
      <c r="Q2859" s="2">
        <f>Ventas[[#This Row],[precio_base]]*Ventas[[#This Row],[cantidad]]</f>
        <v>599.99</v>
      </c>
      <c r="R2859" s="2">
        <f>Ventas[[#This Row],[Total bruto (antes de descuento)]]-Ventas[[#This Row],[total_venta]]</f>
        <v>0</v>
      </c>
    </row>
    <row r="2860" spans="1:18" x14ac:dyDescent="0.25">
      <c r="A2860" t="s">
        <v>2953</v>
      </c>
      <c r="B2860" s="1">
        <v>45263</v>
      </c>
      <c r="C2860" t="s">
        <v>70</v>
      </c>
      <c r="D2860" t="s">
        <v>31</v>
      </c>
      <c r="E2860">
        <v>1</v>
      </c>
      <c r="F2860" s="2">
        <v>59.99</v>
      </c>
      <c r="G2860">
        <v>20</v>
      </c>
      <c r="H2860" s="2">
        <v>47.99</v>
      </c>
      <c r="I2860" s="2">
        <v>47.99</v>
      </c>
      <c r="J2860" t="s">
        <v>19</v>
      </c>
      <c r="K2860" t="s">
        <v>20</v>
      </c>
      <c r="L2860" t="s">
        <v>45</v>
      </c>
      <c r="M2860" t="s">
        <v>53</v>
      </c>
      <c r="N2860" t="s">
        <v>54</v>
      </c>
      <c r="O2860" t="s">
        <v>35</v>
      </c>
      <c r="P2860">
        <v>2</v>
      </c>
      <c r="Q2860" s="2">
        <f>Ventas[[#This Row],[precio_base]]*Ventas[[#This Row],[cantidad]]</f>
        <v>59.99</v>
      </c>
      <c r="R2860" s="2">
        <f>Ventas[[#This Row],[Total bruto (antes de descuento)]]-Ventas[[#This Row],[total_venta]]</f>
        <v>12</v>
      </c>
    </row>
    <row r="2861" spans="1:18" x14ac:dyDescent="0.25">
      <c r="A2861" t="s">
        <v>2954</v>
      </c>
      <c r="B2861" s="1">
        <v>45462</v>
      </c>
      <c r="C2861" t="s">
        <v>109</v>
      </c>
      <c r="D2861" t="s">
        <v>38</v>
      </c>
      <c r="E2861">
        <v>5</v>
      </c>
      <c r="F2861" s="2">
        <v>39.99</v>
      </c>
      <c r="G2861">
        <v>0</v>
      </c>
      <c r="H2861" s="2">
        <v>39.99</v>
      </c>
      <c r="I2861" s="2">
        <v>199.95</v>
      </c>
      <c r="J2861" t="s">
        <v>19</v>
      </c>
      <c r="K2861" t="s">
        <v>20</v>
      </c>
      <c r="L2861" t="s">
        <v>21</v>
      </c>
      <c r="M2861" t="s">
        <v>84</v>
      </c>
      <c r="N2861" t="s">
        <v>85</v>
      </c>
      <c r="O2861" t="s">
        <v>35</v>
      </c>
      <c r="P2861">
        <v>5</v>
      </c>
      <c r="Q2861" s="2">
        <f>Ventas[[#This Row],[precio_base]]*Ventas[[#This Row],[cantidad]]</f>
        <v>199.95000000000002</v>
      </c>
      <c r="R2861" s="2">
        <f>Ventas[[#This Row],[Total bruto (antes de descuento)]]-Ventas[[#This Row],[total_venta]]</f>
        <v>0</v>
      </c>
    </row>
    <row r="2862" spans="1:18" x14ac:dyDescent="0.25">
      <c r="A2862" t="s">
        <v>2955</v>
      </c>
      <c r="B2862" s="1">
        <v>45441</v>
      </c>
      <c r="C2862" t="s">
        <v>141</v>
      </c>
      <c r="D2862" t="s">
        <v>38</v>
      </c>
      <c r="E2862">
        <v>4</v>
      </c>
      <c r="F2862" s="2">
        <v>89.99</v>
      </c>
      <c r="G2862">
        <v>20</v>
      </c>
      <c r="H2862" s="2">
        <v>71.989999999999995</v>
      </c>
      <c r="I2862" s="2">
        <v>287.95999999999998</v>
      </c>
      <c r="J2862" t="s">
        <v>19</v>
      </c>
      <c r="K2862" t="s">
        <v>20</v>
      </c>
      <c r="L2862" t="s">
        <v>21</v>
      </c>
      <c r="M2862" t="s">
        <v>39</v>
      </c>
      <c r="N2862" t="s">
        <v>40</v>
      </c>
      <c r="O2862" t="s">
        <v>35</v>
      </c>
      <c r="P2862">
        <v>4</v>
      </c>
      <c r="Q2862" s="2">
        <f>Ventas[[#This Row],[precio_base]]*Ventas[[#This Row],[cantidad]]</f>
        <v>359.96</v>
      </c>
      <c r="R2862" s="2">
        <f>Ventas[[#This Row],[Total bruto (antes de descuento)]]-Ventas[[#This Row],[total_venta]]</f>
        <v>72</v>
      </c>
    </row>
    <row r="2863" spans="1:18" x14ac:dyDescent="0.25">
      <c r="A2863" t="s">
        <v>2956</v>
      </c>
      <c r="B2863" s="1">
        <v>45478</v>
      </c>
      <c r="C2863" t="s">
        <v>56</v>
      </c>
      <c r="D2863" t="s">
        <v>18</v>
      </c>
      <c r="E2863">
        <v>3</v>
      </c>
      <c r="F2863" s="2">
        <v>89.99</v>
      </c>
      <c r="G2863">
        <v>0</v>
      </c>
      <c r="H2863" s="2">
        <v>89.99</v>
      </c>
      <c r="I2863" s="2">
        <v>269.97000000000003</v>
      </c>
      <c r="J2863" t="s">
        <v>19</v>
      </c>
      <c r="K2863" t="s">
        <v>52</v>
      </c>
      <c r="L2863" t="s">
        <v>28</v>
      </c>
      <c r="M2863" t="s">
        <v>53</v>
      </c>
      <c r="N2863" t="s">
        <v>54</v>
      </c>
      <c r="O2863" t="s">
        <v>35</v>
      </c>
      <c r="P2863">
        <v>5</v>
      </c>
      <c r="Q2863" s="2">
        <f>Ventas[[#This Row],[precio_base]]*Ventas[[#This Row],[cantidad]]</f>
        <v>269.96999999999997</v>
      </c>
      <c r="R2863" s="2">
        <f>Ventas[[#This Row],[Total bruto (antes de descuento)]]-Ventas[[#This Row],[total_venta]]</f>
        <v>0</v>
      </c>
    </row>
    <row r="2864" spans="1:18" x14ac:dyDescent="0.25">
      <c r="A2864" t="s">
        <v>2957</v>
      </c>
      <c r="B2864" s="1">
        <v>45599</v>
      </c>
      <c r="C2864" t="s">
        <v>122</v>
      </c>
      <c r="D2864" t="s">
        <v>43</v>
      </c>
      <c r="E2864">
        <v>5</v>
      </c>
      <c r="F2864" s="2">
        <v>44.99</v>
      </c>
      <c r="G2864">
        <v>15</v>
      </c>
      <c r="H2864" s="2">
        <v>38.24</v>
      </c>
      <c r="I2864" s="2">
        <v>191.2</v>
      </c>
      <c r="J2864" t="s">
        <v>62</v>
      </c>
      <c r="K2864" t="s">
        <v>20</v>
      </c>
      <c r="L2864" t="s">
        <v>45</v>
      </c>
      <c r="M2864" t="s">
        <v>67</v>
      </c>
      <c r="N2864" t="s">
        <v>68</v>
      </c>
      <c r="O2864" t="s">
        <v>35</v>
      </c>
      <c r="Q2864" s="2">
        <f>Ventas[[#This Row],[precio_base]]*Ventas[[#This Row],[cantidad]]</f>
        <v>224.95000000000002</v>
      </c>
      <c r="R2864" s="2">
        <f>Ventas[[#This Row],[Total bruto (antes de descuento)]]-Ventas[[#This Row],[total_venta]]</f>
        <v>33.750000000000028</v>
      </c>
    </row>
    <row r="2865" spans="1:18" x14ac:dyDescent="0.25">
      <c r="A2865" t="s">
        <v>2958</v>
      </c>
      <c r="B2865" s="1">
        <v>44975</v>
      </c>
      <c r="C2865" t="s">
        <v>89</v>
      </c>
      <c r="D2865" t="s">
        <v>38</v>
      </c>
      <c r="E2865">
        <v>3</v>
      </c>
      <c r="F2865" s="2">
        <v>69.989999999999995</v>
      </c>
      <c r="G2865">
        <v>0</v>
      </c>
      <c r="H2865" s="2">
        <v>69.989999999999995</v>
      </c>
      <c r="I2865" s="2">
        <v>209.97</v>
      </c>
      <c r="J2865" t="s">
        <v>19</v>
      </c>
      <c r="K2865" t="s">
        <v>52</v>
      </c>
      <c r="L2865" t="s">
        <v>45</v>
      </c>
      <c r="M2865" t="s">
        <v>120</v>
      </c>
      <c r="N2865" t="s">
        <v>23</v>
      </c>
      <c r="O2865" t="s">
        <v>24</v>
      </c>
      <c r="P2865">
        <v>2</v>
      </c>
      <c r="Q2865" s="2">
        <f>Ventas[[#This Row],[precio_base]]*Ventas[[#This Row],[cantidad]]</f>
        <v>209.96999999999997</v>
      </c>
      <c r="R2865" s="2">
        <f>Ventas[[#This Row],[Total bruto (antes de descuento)]]-Ventas[[#This Row],[total_venta]]</f>
        <v>0</v>
      </c>
    </row>
    <row r="2866" spans="1:18" x14ac:dyDescent="0.25">
      <c r="A2866" t="s">
        <v>2959</v>
      </c>
      <c r="B2866" s="1">
        <v>45309</v>
      </c>
      <c r="C2866" t="s">
        <v>56</v>
      </c>
      <c r="D2866" t="s">
        <v>18</v>
      </c>
      <c r="E2866">
        <v>3</v>
      </c>
      <c r="F2866" s="2">
        <v>89.99</v>
      </c>
      <c r="G2866">
        <v>15</v>
      </c>
      <c r="H2866" s="2">
        <v>76.489999999999995</v>
      </c>
      <c r="I2866" s="2">
        <v>229.47</v>
      </c>
      <c r="J2866" t="s">
        <v>19</v>
      </c>
      <c r="K2866" t="s">
        <v>20</v>
      </c>
      <c r="L2866" t="s">
        <v>28</v>
      </c>
      <c r="M2866" t="s">
        <v>39</v>
      </c>
      <c r="N2866" t="s">
        <v>40</v>
      </c>
      <c r="O2866" t="s">
        <v>35</v>
      </c>
      <c r="P2866">
        <v>1</v>
      </c>
      <c r="Q2866" s="2">
        <f>Ventas[[#This Row],[precio_base]]*Ventas[[#This Row],[cantidad]]</f>
        <v>269.96999999999997</v>
      </c>
      <c r="R2866" s="2">
        <f>Ventas[[#This Row],[Total bruto (antes de descuento)]]-Ventas[[#This Row],[total_venta]]</f>
        <v>40.499999999999972</v>
      </c>
    </row>
    <row r="2867" spans="1:18" x14ac:dyDescent="0.25">
      <c r="A2867" t="s">
        <v>2960</v>
      </c>
      <c r="B2867" s="1">
        <v>45611</v>
      </c>
      <c r="C2867" t="s">
        <v>141</v>
      </c>
      <c r="D2867" t="s">
        <v>38</v>
      </c>
      <c r="E2867">
        <v>2</v>
      </c>
      <c r="F2867" s="2">
        <v>89.99</v>
      </c>
      <c r="G2867">
        <v>0</v>
      </c>
      <c r="H2867" s="2">
        <v>89.99</v>
      </c>
      <c r="I2867" s="2">
        <v>179.98</v>
      </c>
      <c r="J2867" t="s">
        <v>51</v>
      </c>
      <c r="K2867" t="s">
        <v>44</v>
      </c>
      <c r="L2867" t="s">
        <v>21</v>
      </c>
      <c r="M2867" t="s">
        <v>46</v>
      </c>
      <c r="N2867" t="s">
        <v>47</v>
      </c>
      <c r="O2867" t="s">
        <v>48</v>
      </c>
      <c r="Q2867" s="2">
        <f>Ventas[[#This Row],[precio_base]]*Ventas[[#This Row],[cantidad]]</f>
        <v>179.98</v>
      </c>
      <c r="R2867" s="2">
        <f>Ventas[[#This Row],[Total bruto (antes de descuento)]]-Ventas[[#This Row],[total_venta]]</f>
        <v>0</v>
      </c>
    </row>
    <row r="2868" spans="1:18" x14ac:dyDescent="0.25">
      <c r="A2868" t="s">
        <v>2961</v>
      </c>
      <c r="B2868" s="1">
        <v>45516</v>
      </c>
      <c r="C2868" t="s">
        <v>163</v>
      </c>
      <c r="D2868" t="s">
        <v>18</v>
      </c>
      <c r="E2868">
        <v>5</v>
      </c>
      <c r="F2868" s="2">
        <v>499.99</v>
      </c>
      <c r="G2868">
        <v>0</v>
      </c>
      <c r="H2868" s="2">
        <v>499.99</v>
      </c>
      <c r="I2868" s="2">
        <v>2499.9499999999998</v>
      </c>
      <c r="J2868" t="s">
        <v>19</v>
      </c>
      <c r="K2868" t="s">
        <v>44</v>
      </c>
      <c r="L2868" t="s">
        <v>32</v>
      </c>
      <c r="M2868" t="s">
        <v>67</v>
      </c>
      <c r="N2868" t="s">
        <v>68</v>
      </c>
      <c r="O2868" t="s">
        <v>35</v>
      </c>
      <c r="P2868">
        <v>4</v>
      </c>
      <c r="Q2868" s="2">
        <f>Ventas[[#This Row],[precio_base]]*Ventas[[#This Row],[cantidad]]</f>
        <v>2499.9499999999998</v>
      </c>
      <c r="R2868" s="2">
        <f>Ventas[[#This Row],[Total bruto (antes de descuento)]]-Ventas[[#This Row],[total_venta]]</f>
        <v>0</v>
      </c>
    </row>
    <row r="2869" spans="1:18" x14ac:dyDescent="0.25">
      <c r="A2869" t="s">
        <v>2962</v>
      </c>
      <c r="B2869" s="1">
        <v>45241</v>
      </c>
      <c r="C2869" t="s">
        <v>78</v>
      </c>
      <c r="D2869" t="s">
        <v>18</v>
      </c>
      <c r="E2869">
        <v>3</v>
      </c>
      <c r="F2869" s="2">
        <v>349.99</v>
      </c>
      <c r="G2869">
        <v>0</v>
      </c>
      <c r="H2869" s="2">
        <v>349.99</v>
      </c>
      <c r="I2869" s="2">
        <v>1049.97</v>
      </c>
      <c r="J2869" t="s">
        <v>19</v>
      </c>
      <c r="K2869" t="s">
        <v>20</v>
      </c>
      <c r="L2869" t="s">
        <v>45</v>
      </c>
      <c r="M2869" t="s">
        <v>84</v>
      </c>
      <c r="N2869" t="s">
        <v>85</v>
      </c>
      <c r="O2869" t="s">
        <v>35</v>
      </c>
      <c r="P2869">
        <v>5</v>
      </c>
      <c r="Q2869" s="2">
        <f>Ventas[[#This Row],[precio_base]]*Ventas[[#This Row],[cantidad]]</f>
        <v>1049.97</v>
      </c>
      <c r="R2869" s="2">
        <f>Ventas[[#This Row],[Total bruto (antes de descuento)]]-Ventas[[#This Row],[total_venta]]</f>
        <v>0</v>
      </c>
    </row>
    <row r="2870" spans="1:18" x14ac:dyDescent="0.25">
      <c r="A2870" t="s">
        <v>2963</v>
      </c>
      <c r="B2870" s="1">
        <v>45262</v>
      </c>
      <c r="C2870" t="s">
        <v>143</v>
      </c>
      <c r="D2870" t="s">
        <v>43</v>
      </c>
      <c r="E2870">
        <v>5</v>
      </c>
      <c r="F2870" s="2">
        <v>34.99</v>
      </c>
      <c r="G2870">
        <v>20</v>
      </c>
      <c r="H2870" s="2">
        <v>27.99</v>
      </c>
      <c r="I2870" s="2">
        <v>139.94999999999999</v>
      </c>
      <c r="J2870" t="s">
        <v>19</v>
      </c>
      <c r="K2870" t="s">
        <v>44</v>
      </c>
      <c r="L2870" t="s">
        <v>21</v>
      </c>
      <c r="M2870" t="s">
        <v>65</v>
      </c>
      <c r="N2870" t="s">
        <v>54</v>
      </c>
      <c r="O2870" t="s">
        <v>35</v>
      </c>
      <c r="P2870">
        <v>3</v>
      </c>
      <c r="Q2870" s="2">
        <f>Ventas[[#This Row],[precio_base]]*Ventas[[#This Row],[cantidad]]</f>
        <v>174.95000000000002</v>
      </c>
      <c r="R2870" s="2">
        <f>Ventas[[#This Row],[Total bruto (antes de descuento)]]-Ventas[[#This Row],[total_venta]]</f>
        <v>35.000000000000028</v>
      </c>
    </row>
    <row r="2871" spans="1:18" x14ac:dyDescent="0.25">
      <c r="A2871" t="s">
        <v>2964</v>
      </c>
      <c r="B2871" s="1">
        <v>44989</v>
      </c>
      <c r="C2871" t="s">
        <v>130</v>
      </c>
      <c r="D2871" t="s">
        <v>43</v>
      </c>
      <c r="E2871">
        <v>2</v>
      </c>
      <c r="F2871" s="2">
        <v>24.99</v>
      </c>
      <c r="G2871">
        <v>0</v>
      </c>
      <c r="H2871" s="2">
        <v>24.99</v>
      </c>
      <c r="I2871" s="2">
        <v>49.98</v>
      </c>
      <c r="J2871" t="s">
        <v>19</v>
      </c>
      <c r="K2871" t="s">
        <v>20</v>
      </c>
      <c r="L2871" t="s">
        <v>21</v>
      </c>
      <c r="M2871" t="s">
        <v>101</v>
      </c>
      <c r="N2871" t="s">
        <v>102</v>
      </c>
      <c r="O2871" t="s">
        <v>35</v>
      </c>
      <c r="P2871">
        <v>3</v>
      </c>
      <c r="Q2871" s="2">
        <f>Ventas[[#This Row],[precio_base]]*Ventas[[#This Row],[cantidad]]</f>
        <v>49.98</v>
      </c>
      <c r="R2871" s="2">
        <f>Ventas[[#This Row],[Total bruto (antes de descuento)]]-Ventas[[#This Row],[total_venta]]</f>
        <v>0</v>
      </c>
    </row>
    <row r="2872" spans="1:18" x14ac:dyDescent="0.25">
      <c r="A2872" t="s">
        <v>2965</v>
      </c>
      <c r="B2872" s="1">
        <v>45640</v>
      </c>
      <c r="C2872" t="s">
        <v>70</v>
      </c>
      <c r="D2872" t="s">
        <v>31</v>
      </c>
      <c r="E2872">
        <v>5</v>
      </c>
      <c r="F2872" s="2">
        <v>59.99</v>
      </c>
      <c r="G2872">
        <v>5</v>
      </c>
      <c r="H2872" s="2">
        <v>56.99</v>
      </c>
      <c r="I2872" s="2">
        <v>284.95</v>
      </c>
      <c r="J2872" t="s">
        <v>19</v>
      </c>
      <c r="K2872" t="s">
        <v>20</v>
      </c>
      <c r="L2872" t="s">
        <v>152</v>
      </c>
      <c r="M2872" t="s">
        <v>39</v>
      </c>
      <c r="N2872" t="s">
        <v>40</v>
      </c>
      <c r="O2872" t="s">
        <v>35</v>
      </c>
      <c r="P2872">
        <v>1</v>
      </c>
      <c r="Q2872" s="2">
        <f>Ventas[[#This Row],[precio_base]]*Ventas[[#This Row],[cantidad]]</f>
        <v>299.95</v>
      </c>
      <c r="R2872" s="2">
        <f>Ventas[[#This Row],[Total bruto (antes de descuento)]]-Ventas[[#This Row],[total_venta]]</f>
        <v>15</v>
      </c>
    </row>
    <row r="2873" spans="1:18" x14ac:dyDescent="0.25">
      <c r="A2873" t="s">
        <v>2966</v>
      </c>
      <c r="B2873" s="1">
        <v>45149</v>
      </c>
      <c r="C2873" t="s">
        <v>30</v>
      </c>
      <c r="D2873" t="s">
        <v>31</v>
      </c>
      <c r="E2873">
        <v>3</v>
      </c>
      <c r="F2873" s="2">
        <v>299.99</v>
      </c>
      <c r="G2873">
        <v>10</v>
      </c>
      <c r="H2873" s="2">
        <v>269.99</v>
      </c>
      <c r="I2873" s="2">
        <v>809.97</v>
      </c>
      <c r="J2873" t="s">
        <v>51</v>
      </c>
      <c r="K2873" t="s">
        <v>44</v>
      </c>
      <c r="L2873" t="s">
        <v>21</v>
      </c>
      <c r="M2873" t="s">
        <v>120</v>
      </c>
      <c r="N2873" t="s">
        <v>23</v>
      </c>
      <c r="O2873" t="s">
        <v>24</v>
      </c>
      <c r="Q2873" s="2">
        <f>Ventas[[#This Row],[precio_base]]*Ventas[[#This Row],[cantidad]]</f>
        <v>899.97</v>
      </c>
      <c r="R2873" s="2">
        <f>Ventas[[#This Row],[Total bruto (antes de descuento)]]-Ventas[[#This Row],[total_venta]]</f>
        <v>90</v>
      </c>
    </row>
    <row r="2874" spans="1:18" x14ac:dyDescent="0.25">
      <c r="A2874" t="s">
        <v>2967</v>
      </c>
      <c r="B2874" s="1">
        <v>45174</v>
      </c>
      <c r="C2874" t="s">
        <v>70</v>
      </c>
      <c r="D2874" t="s">
        <v>31</v>
      </c>
      <c r="E2874">
        <v>5</v>
      </c>
      <c r="F2874" s="2">
        <v>59.99</v>
      </c>
      <c r="G2874">
        <v>0</v>
      </c>
      <c r="H2874" s="2">
        <v>59.99</v>
      </c>
      <c r="I2874" s="2">
        <v>299.95</v>
      </c>
      <c r="J2874" t="s">
        <v>51</v>
      </c>
      <c r="K2874" t="s">
        <v>20</v>
      </c>
      <c r="L2874" t="s">
        <v>21</v>
      </c>
      <c r="M2874" t="s">
        <v>73</v>
      </c>
      <c r="N2874" t="s">
        <v>74</v>
      </c>
      <c r="O2874" t="s">
        <v>35</v>
      </c>
      <c r="Q2874" s="2">
        <f>Ventas[[#This Row],[precio_base]]*Ventas[[#This Row],[cantidad]]</f>
        <v>299.95</v>
      </c>
      <c r="R2874" s="2">
        <f>Ventas[[#This Row],[Total bruto (antes de descuento)]]-Ventas[[#This Row],[total_venta]]</f>
        <v>0</v>
      </c>
    </row>
    <row r="2875" spans="1:18" x14ac:dyDescent="0.25">
      <c r="A2875" t="s">
        <v>2968</v>
      </c>
      <c r="B2875" s="1">
        <v>45367</v>
      </c>
      <c r="C2875" t="s">
        <v>56</v>
      </c>
      <c r="D2875" t="s">
        <v>18</v>
      </c>
      <c r="E2875">
        <v>3</v>
      </c>
      <c r="F2875" s="2">
        <v>89.99</v>
      </c>
      <c r="G2875">
        <v>15</v>
      </c>
      <c r="H2875" s="2">
        <v>76.489999999999995</v>
      </c>
      <c r="I2875" s="2">
        <v>229.47</v>
      </c>
      <c r="J2875" t="s">
        <v>90</v>
      </c>
      <c r="K2875" t="s">
        <v>44</v>
      </c>
      <c r="L2875" t="s">
        <v>21</v>
      </c>
      <c r="M2875" t="s">
        <v>101</v>
      </c>
      <c r="N2875" t="s">
        <v>102</v>
      </c>
      <c r="O2875" t="s">
        <v>35</v>
      </c>
      <c r="Q2875" s="2">
        <f>Ventas[[#This Row],[precio_base]]*Ventas[[#This Row],[cantidad]]</f>
        <v>269.96999999999997</v>
      </c>
      <c r="R2875" s="2">
        <f>Ventas[[#This Row],[Total bruto (antes de descuento)]]-Ventas[[#This Row],[total_venta]]</f>
        <v>40.499999999999972</v>
      </c>
    </row>
    <row r="2876" spans="1:18" x14ac:dyDescent="0.25">
      <c r="A2876" t="s">
        <v>2969</v>
      </c>
      <c r="B2876" s="1">
        <v>45269</v>
      </c>
      <c r="C2876" t="s">
        <v>42</v>
      </c>
      <c r="D2876" t="s">
        <v>43</v>
      </c>
      <c r="E2876">
        <v>4</v>
      </c>
      <c r="F2876" s="2">
        <v>349.99</v>
      </c>
      <c r="G2876">
        <v>20</v>
      </c>
      <c r="H2876" s="2">
        <v>279.99</v>
      </c>
      <c r="I2876" s="2">
        <v>1119.96</v>
      </c>
      <c r="J2876" t="s">
        <v>19</v>
      </c>
      <c r="K2876" t="s">
        <v>44</v>
      </c>
      <c r="L2876" t="s">
        <v>21</v>
      </c>
      <c r="M2876" t="s">
        <v>33</v>
      </c>
      <c r="N2876" t="s">
        <v>34</v>
      </c>
      <c r="O2876" t="s">
        <v>35</v>
      </c>
      <c r="P2876">
        <v>3</v>
      </c>
      <c r="Q2876" s="2">
        <f>Ventas[[#This Row],[precio_base]]*Ventas[[#This Row],[cantidad]]</f>
        <v>1399.96</v>
      </c>
      <c r="R2876" s="2">
        <f>Ventas[[#This Row],[Total bruto (antes de descuento)]]-Ventas[[#This Row],[total_venta]]</f>
        <v>280</v>
      </c>
    </row>
    <row r="2877" spans="1:18" x14ac:dyDescent="0.25">
      <c r="A2877" t="s">
        <v>2970</v>
      </c>
      <c r="B2877" s="1">
        <v>45045</v>
      </c>
      <c r="C2877" t="s">
        <v>17</v>
      </c>
      <c r="D2877" t="s">
        <v>18</v>
      </c>
      <c r="E2877">
        <v>4</v>
      </c>
      <c r="F2877" s="2">
        <v>45.99</v>
      </c>
      <c r="G2877">
        <v>0</v>
      </c>
      <c r="H2877" s="2">
        <v>45.99</v>
      </c>
      <c r="I2877" s="2">
        <v>183.96</v>
      </c>
      <c r="J2877" t="s">
        <v>19</v>
      </c>
      <c r="K2877" t="s">
        <v>44</v>
      </c>
      <c r="L2877" t="s">
        <v>28</v>
      </c>
      <c r="M2877" t="s">
        <v>73</v>
      </c>
      <c r="N2877" t="s">
        <v>74</v>
      </c>
      <c r="O2877" t="s">
        <v>35</v>
      </c>
      <c r="P2877">
        <v>5</v>
      </c>
      <c r="Q2877" s="2">
        <f>Ventas[[#This Row],[precio_base]]*Ventas[[#This Row],[cantidad]]</f>
        <v>183.96</v>
      </c>
      <c r="R2877" s="2">
        <f>Ventas[[#This Row],[Total bruto (antes de descuento)]]-Ventas[[#This Row],[total_venta]]</f>
        <v>0</v>
      </c>
    </row>
    <row r="2878" spans="1:18" x14ac:dyDescent="0.25">
      <c r="A2878" t="s">
        <v>2971</v>
      </c>
      <c r="B2878" s="1">
        <v>45172</v>
      </c>
      <c r="C2878" t="s">
        <v>92</v>
      </c>
      <c r="D2878" t="s">
        <v>27</v>
      </c>
      <c r="E2878">
        <v>4</v>
      </c>
      <c r="F2878" s="2">
        <v>79.989999999999995</v>
      </c>
      <c r="G2878">
        <v>0</v>
      </c>
      <c r="H2878" s="2">
        <v>79.989999999999995</v>
      </c>
      <c r="I2878" s="2">
        <v>319.95999999999998</v>
      </c>
      <c r="J2878" t="s">
        <v>19</v>
      </c>
      <c r="K2878" t="s">
        <v>20</v>
      </c>
      <c r="L2878" t="s">
        <v>45</v>
      </c>
      <c r="M2878" t="s">
        <v>67</v>
      </c>
      <c r="N2878" t="s">
        <v>68</v>
      </c>
      <c r="O2878" t="s">
        <v>35</v>
      </c>
      <c r="P2878">
        <v>4</v>
      </c>
      <c r="Q2878" s="2">
        <f>Ventas[[#This Row],[precio_base]]*Ventas[[#This Row],[cantidad]]</f>
        <v>319.95999999999998</v>
      </c>
      <c r="R2878" s="2">
        <f>Ventas[[#This Row],[Total bruto (antes de descuento)]]-Ventas[[#This Row],[total_venta]]</f>
        <v>0</v>
      </c>
    </row>
    <row r="2879" spans="1:18" x14ac:dyDescent="0.25">
      <c r="A2879" t="s">
        <v>2972</v>
      </c>
      <c r="B2879" s="1">
        <v>45346</v>
      </c>
      <c r="C2879" t="s">
        <v>104</v>
      </c>
      <c r="D2879" t="s">
        <v>18</v>
      </c>
      <c r="E2879">
        <v>3</v>
      </c>
      <c r="F2879" s="2">
        <v>1199.99</v>
      </c>
      <c r="G2879">
        <v>0</v>
      </c>
      <c r="H2879" s="2">
        <v>1199.99</v>
      </c>
      <c r="I2879" s="2">
        <v>3599.97</v>
      </c>
      <c r="J2879" t="s">
        <v>19</v>
      </c>
      <c r="K2879" t="s">
        <v>20</v>
      </c>
      <c r="L2879" t="s">
        <v>32</v>
      </c>
      <c r="M2879" t="s">
        <v>65</v>
      </c>
      <c r="N2879" t="s">
        <v>54</v>
      </c>
      <c r="O2879" t="s">
        <v>35</v>
      </c>
      <c r="P2879">
        <v>3</v>
      </c>
      <c r="Q2879" s="2">
        <f>Ventas[[#This Row],[precio_base]]*Ventas[[#This Row],[cantidad]]</f>
        <v>3599.9700000000003</v>
      </c>
      <c r="R2879" s="2">
        <f>Ventas[[#This Row],[Total bruto (antes de descuento)]]-Ventas[[#This Row],[total_venta]]</f>
        <v>0</v>
      </c>
    </row>
    <row r="2880" spans="1:18" x14ac:dyDescent="0.25">
      <c r="A2880" t="s">
        <v>2973</v>
      </c>
      <c r="B2880" s="1">
        <v>44997</v>
      </c>
      <c r="C2880" t="s">
        <v>143</v>
      </c>
      <c r="D2880" t="s">
        <v>43</v>
      </c>
      <c r="E2880">
        <v>4</v>
      </c>
      <c r="F2880" s="2">
        <v>34.99</v>
      </c>
      <c r="G2880">
        <v>0</v>
      </c>
      <c r="H2880" s="2">
        <v>34.99</v>
      </c>
      <c r="I2880" s="2">
        <v>139.96</v>
      </c>
      <c r="J2880" t="s">
        <v>19</v>
      </c>
      <c r="K2880" t="s">
        <v>44</v>
      </c>
      <c r="L2880" t="s">
        <v>28</v>
      </c>
      <c r="M2880" t="s">
        <v>95</v>
      </c>
      <c r="N2880" t="s">
        <v>96</v>
      </c>
      <c r="O2880" t="s">
        <v>48</v>
      </c>
      <c r="P2880">
        <v>3</v>
      </c>
      <c r="Q2880" s="2">
        <f>Ventas[[#This Row],[precio_base]]*Ventas[[#This Row],[cantidad]]</f>
        <v>139.96</v>
      </c>
      <c r="R2880" s="2">
        <f>Ventas[[#This Row],[Total bruto (antes de descuento)]]-Ventas[[#This Row],[total_venta]]</f>
        <v>0</v>
      </c>
    </row>
    <row r="2881" spans="1:18" x14ac:dyDescent="0.25">
      <c r="A2881" t="s">
        <v>2974</v>
      </c>
      <c r="B2881" s="1">
        <v>45576</v>
      </c>
      <c r="C2881" t="s">
        <v>130</v>
      </c>
      <c r="D2881" t="s">
        <v>43</v>
      </c>
      <c r="E2881">
        <v>2</v>
      </c>
      <c r="F2881" s="2">
        <v>24.99</v>
      </c>
      <c r="G2881">
        <v>0</v>
      </c>
      <c r="H2881" s="2">
        <v>24.99</v>
      </c>
      <c r="I2881" s="2">
        <v>49.98</v>
      </c>
      <c r="J2881" t="s">
        <v>19</v>
      </c>
      <c r="K2881" t="s">
        <v>44</v>
      </c>
      <c r="L2881" t="s">
        <v>21</v>
      </c>
      <c r="M2881" t="s">
        <v>67</v>
      </c>
      <c r="N2881" t="s">
        <v>68</v>
      </c>
      <c r="O2881" t="s">
        <v>35</v>
      </c>
      <c r="P2881">
        <v>3</v>
      </c>
      <c r="Q2881" s="2">
        <f>Ventas[[#This Row],[precio_base]]*Ventas[[#This Row],[cantidad]]</f>
        <v>49.98</v>
      </c>
      <c r="R2881" s="2">
        <f>Ventas[[#This Row],[Total bruto (antes de descuento)]]-Ventas[[#This Row],[total_venta]]</f>
        <v>0</v>
      </c>
    </row>
    <row r="2882" spans="1:18" x14ac:dyDescent="0.25">
      <c r="A2882" t="s">
        <v>2975</v>
      </c>
      <c r="B2882" s="1">
        <v>44970</v>
      </c>
      <c r="C2882" t="s">
        <v>89</v>
      </c>
      <c r="D2882" t="s">
        <v>38</v>
      </c>
      <c r="E2882">
        <v>1</v>
      </c>
      <c r="F2882" s="2">
        <v>69.989999999999995</v>
      </c>
      <c r="G2882">
        <v>0</v>
      </c>
      <c r="H2882" s="2">
        <v>69.989999999999995</v>
      </c>
      <c r="I2882" s="2">
        <v>69.989999999999995</v>
      </c>
      <c r="J2882" t="s">
        <v>19</v>
      </c>
      <c r="K2882" t="s">
        <v>44</v>
      </c>
      <c r="L2882" t="s">
        <v>21</v>
      </c>
      <c r="M2882" t="s">
        <v>65</v>
      </c>
      <c r="N2882" t="s">
        <v>54</v>
      </c>
      <c r="O2882" t="s">
        <v>35</v>
      </c>
      <c r="P2882">
        <v>2</v>
      </c>
      <c r="Q2882" s="2">
        <f>Ventas[[#This Row],[precio_base]]*Ventas[[#This Row],[cantidad]]</f>
        <v>69.989999999999995</v>
      </c>
      <c r="R2882" s="2">
        <f>Ventas[[#This Row],[Total bruto (antes de descuento)]]-Ventas[[#This Row],[total_venta]]</f>
        <v>0</v>
      </c>
    </row>
    <row r="2883" spans="1:18" x14ac:dyDescent="0.25">
      <c r="A2883" t="s">
        <v>2976</v>
      </c>
      <c r="B2883" s="1">
        <v>44935</v>
      </c>
      <c r="C2883" t="s">
        <v>61</v>
      </c>
      <c r="D2883" t="s">
        <v>38</v>
      </c>
      <c r="E2883">
        <v>2</v>
      </c>
      <c r="F2883" s="2">
        <v>19.989999999999998</v>
      </c>
      <c r="G2883">
        <v>5</v>
      </c>
      <c r="H2883" s="2">
        <v>18.989999999999998</v>
      </c>
      <c r="I2883" s="2">
        <v>37.979999999999997</v>
      </c>
      <c r="J2883" t="s">
        <v>19</v>
      </c>
      <c r="K2883" t="s">
        <v>20</v>
      </c>
      <c r="L2883" t="s">
        <v>32</v>
      </c>
      <c r="M2883" t="s">
        <v>120</v>
      </c>
      <c r="N2883" t="s">
        <v>23</v>
      </c>
      <c r="O2883" t="s">
        <v>24</v>
      </c>
      <c r="P2883">
        <v>1</v>
      </c>
      <c r="Q2883" s="2">
        <f>Ventas[[#This Row],[precio_base]]*Ventas[[#This Row],[cantidad]]</f>
        <v>39.979999999999997</v>
      </c>
      <c r="R2883" s="2">
        <f>Ventas[[#This Row],[Total bruto (antes de descuento)]]-Ventas[[#This Row],[total_venta]]</f>
        <v>2</v>
      </c>
    </row>
    <row r="2884" spans="1:18" x14ac:dyDescent="0.25">
      <c r="A2884" t="s">
        <v>2977</v>
      </c>
      <c r="B2884" s="1">
        <v>45196</v>
      </c>
      <c r="C2884" t="s">
        <v>72</v>
      </c>
      <c r="D2884" t="s">
        <v>31</v>
      </c>
      <c r="E2884">
        <v>3</v>
      </c>
      <c r="F2884" s="2">
        <v>29.99</v>
      </c>
      <c r="G2884">
        <v>15</v>
      </c>
      <c r="H2884" s="2">
        <v>25.49</v>
      </c>
      <c r="I2884" s="2">
        <v>76.47</v>
      </c>
      <c r="J2884" t="s">
        <v>19</v>
      </c>
      <c r="K2884" t="s">
        <v>44</v>
      </c>
      <c r="L2884" t="s">
        <v>45</v>
      </c>
      <c r="M2884" t="s">
        <v>95</v>
      </c>
      <c r="N2884" t="s">
        <v>96</v>
      </c>
      <c r="O2884" t="s">
        <v>48</v>
      </c>
      <c r="P2884">
        <v>5</v>
      </c>
      <c r="Q2884" s="2">
        <f>Ventas[[#This Row],[precio_base]]*Ventas[[#This Row],[cantidad]]</f>
        <v>89.97</v>
      </c>
      <c r="R2884" s="2">
        <f>Ventas[[#This Row],[Total bruto (antes de descuento)]]-Ventas[[#This Row],[total_venta]]</f>
        <v>13.5</v>
      </c>
    </row>
    <row r="2885" spans="1:18" x14ac:dyDescent="0.25">
      <c r="A2885" t="s">
        <v>2978</v>
      </c>
      <c r="B2885" s="1">
        <v>45251</v>
      </c>
      <c r="C2885" t="s">
        <v>70</v>
      </c>
      <c r="D2885" t="s">
        <v>31</v>
      </c>
      <c r="E2885">
        <v>2</v>
      </c>
      <c r="F2885" s="2">
        <v>59.99</v>
      </c>
      <c r="G2885">
        <v>0</v>
      </c>
      <c r="H2885" s="2">
        <v>59.99</v>
      </c>
      <c r="I2885" s="2">
        <v>119.98</v>
      </c>
      <c r="J2885" t="s">
        <v>19</v>
      </c>
      <c r="K2885" t="s">
        <v>52</v>
      </c>
      <c r="L2885" t="s">
        <v>45</v>
      </c>
      <c r="M2885" t="s">
        <v>33</v>
      </c>
      <c r="N2885" t="s">
        <v>34</v>
      </c>
      <c r="O2885" t="s">
        <v>35</v>
      </c>
      <c r="P2885">
        <v>4</v>
      </c>
      <c r="Q2885" s="2">
        <f>Ventas[[#This Row],[precio_base]]*Ventas[[#This Row],[cantidad]]</f>
        <v>119.98</v>
      </c>
      <c r="R2885" s="2">
        <f>Ventas[[#This Row],[Total bruto (antes de descuento)]]-Ventas[[#This Row],[total_venta]]</f>
        <v>0</v>
      </c>
    </row>
    <row r="2886" spans="1:18" x14ac:dyDescent="0.25">
      <c r="A2886" t="s">
        <v>2979</v>
      </c>
      <c r="B2886" s="1">
        <v>45193</v>
      </c>
      <c r="C2886" t="s">
        <v>30</v>
      </c>
      <c r="D2886" t="s">
        <v>31</v>
      </c>
      <c r="E2886">
        <v>5</v>
      </c>
      <c r="F2886" s="2">
        <v>299.99</v>
      </c>
      <c r="G2886">
        <v>15</v>
      </c>
      <c r="H2886" s="2">
        <v>254.99</v>
      </c>
      <c r="I2886" s="2">
        <v>1274.95</v>
      </c>
      <c r="J2886" t="s">
        <v>116</v>
      </c>
      <c r="K2886" t="s">
        <v>20</v>
      </c>
      <c r="L2886" t="s">
        <v>21</v>
      </c>
      <c r="M2886" t="s">
        <v>53</v>
      </c>
      <c r="N2886" t="s">
        <v>54</v>
      </c>
      <c r="O2886" t="s">
        <v>35</v>
      </c>
      <c r="Q2886" s="2">
        <f>Ventas[[#This Row],[precio_base]]*Ventas[[#This Row],[cantidad]]</f>
        <v>1499.95</v>
      </c>
      <c r="R2886" s="2">
        <f>Ventas[[#This Row],[Total bruto (antes de descuento)]]-Ventas[[#This Row],[total_venta]]</f>
        <v>225</v>
      </c>
    </row>
    <row r="2887" spans="1:18" x14ac:dyDescent="0.25">
      <c r="A2887" t="s">
        <v>2980</v>
      </c>
      <c r="B2887" s="1">
        <v>45444</v>
      </c>
      <c r="C2887" t="s">
        <v>50</v>
      </c>
      <c r="D2887" t="s">
        <v>27</v>
      </c>
      <c r="E2887">
        <v>3</v>
      </c>
      <c r="F2887" s="2">
        <v>149.99</v>
      </c>
      <c r="G2887">
        <v>10</v>
      </c>
      <c r="H2887" s="2">
        <v>134.99</v>
      </c>
      <c r="I2887" s="2">
        <v>404.97</v>
      </c>
      <c r="J2887" t="s">
        <v>19</v>
      </c>
      <c r="K2887" t="s">
        <v>20</v>
      </c>
      <c r="L2887" t="s">
        <v>21</v>
      </c>
      <c r="M2887" t="s">
        <v>39</v>
      </c>
      <c r="N2887" t="s">
        <v>40</v>
      </c>
      <c r="O2887" t="s">
        <v>35</v>
      </c>
      <c r="P2887">
        <v>3</v>
      </c>
      <c r="Q2887" s="2">
        <f>Ventas[[#This Row],[precio_base]]*Ventas[[#This Row],[cantidad]]</f>
        <v>449.97</v>
      </c>
      <c r="R2887" s="2">
        <f>Ventas[[#This Row],[Total bruto (antes de descuento)]]-Ventas[[#This Row],[total_venta]]</f>
        <v>45</v>
      </c>
    </row>
    <row r="2888" spans="1:18" x14ac:dyDescent="0.25">
      <c r="A2888" t="s">
        <v>2981</v>
      </c>
      <c r="B2888" s="1">
        <v>45041</v>
      </c>
      <c r="C2888" t="s">
        <v>42</v>
      </c>
      <c r="D2888" t="s">
        <v>43</v>
      </c>
      <c r="E2888">
        <v>2</v>
      </c>
      <c r="F2888" s="2">
        <v>349.99</v>
      </c>
      <c r="G2888">
        <v>20</v>
      </c>
      <c r="H2888" s="2">
        <v>279.99</v>
      </c>
      <c r="I2888" s="2">
        <v>559.98</v>
      </c>
      <c r="J2888" t="s">
        <v>62</v>
      </c>
      <c r="K2888" t="s">
        <v>44</v>
      </c>
      <c r="L2888" t="s">
        <v>32</v>
      </c>
      <c r="M2888" t="s">
        <v>123</v>
      </c>
      <c r="N2888" t="s">
        <v>124</v>
      </c>
      <c r="O2888" t="s">
        <v>24</v>
      </c>
      <c r="Q2888" s="2">
        <f>Ventas[[#This Row],[precio_base]]*Ventas[[#This Row],[cantidad]]</f>
        <v>699.98</v>
      </c>
      <c r="R2888" s="2">
        <f>Ventas[[#This Row],[Total bruto (antes de descuento)]]-Ventas[[#This Row],[total_venta]]</f>
        <v>140</v>
      </c>
    </row>
    <row r="2889" spans="1:18" x14ac:dyDescent="0.25">
      <c r="A2889" t="s">
        <v>2982</v>
      </c>
      <c r="B2889" s="1">
        <v>45066</v>
      </c>
      <c r="C2889" t="s">
        <v>42</v>
      </c>
      <c r="D2889" t="s">
        <v>43</v>
      </c>
      <c r="E2889">
        <v>4</v>
      </c>
      <c r="F2889" s="2">
        <v>349.99</v>
      </c>
      <c r="G2889">
        <v>0</v>
      </c>
      <c r="H2889" s="2">
        <v>349.99</v>
      </c>
      <c r="I2889" s="2">
        <v>1399.96</v>
      </c>
      <c r="J2889" t="s">
        <v>19</v>
      </c>
      <c r="K2889" t="s">
        <v>20</v>
      </c>
      <c r="L2889" t="s">
        <v>28</v>
      </c>
      <c r="M2889" t="s">
        <v>53</v>
      </c>
      <c r="N2889" t="s">
        <v>54</v>
      </c>
      <c r="O2889" t="s">
        <v>35</v>
      </c>
      <c r="P2889">
        <v>4</v>
      </c>
      <c r="Q2889" s="2">
        <f>Ventas[[#This Row],[precio_base]]*Ventas[[#This Row],[cantidad]]</f>
        <v>1399.96</v>
      </c>
      <c r="R2889" s="2">
        <f>Ventas[[#This Row],[Total bruto (antes de descuento)]]-Ventas[[#This Row],[total_venta]]</f>
        <v>0</v>
      </c>
    </row>
    <row r="2890" spans="1:18" x14ac:dyDescent="0.25">
      <c r="A2890" t="s">
        <v>2983</v>
      </c>
      <c r="B2890" s="1">
        <v>45493</v>
      </c>
      <c r="C2890" t="s">
        <v>50</v>
      </c>
      <c r="D2890" t="s">
        <v>27</v>
      </c>
      <c r="E2890">
        <v>1</v>
      </c>
      <c r="F2890" s="2">
        <v>149.99</v>
      </c>
      <c r="G2890">
        <v>20</v>
      </c>
      <c r="H2890" s="2">
        <v>119.99</v>
      </c>
      <c r="I2890" s="2">
        <v>119.99</v>
      </c>
      <c r="J2890" t="s">
        <v>19</v>
      </c>
      <c r="K2890" t="s">
        <v>52</v>
      </c>
      <c r="L2890" t="s">
        <v>32</v>
      </c>
      <c r="M2890" t="s">
        <v>120</v>
      </c>
      <c r="N2890" t="s">
        <v>23</v>
      </c>
      <c r="O2890" t="s">
        <v>24</v>
      </c>
      <c r="P2890">
        <v>1</v>
      </c>
      <c r="Q2890" s="2">
        <f>Ventas[[#This Row],[precio_base]]*Ventas[[#This Row],[cantidad]]</f>
        <v>149.99</v>
      </c>
      <c r="R2890" s="2">
        <f>Ventas[[#This Row],[Total bruto (antes de descuento)]]-Ventas[[#This Row],[total_venta]]</f>
        <v>30.000000000000014</v>
      </c>
    </row>
    <row r="2891" spans="1:18" x14ac:dyDescent="0.25">
      <c r="A2891" t="s">
        <v>2984</v>
      </c>
      <c r="B2891" s="1">
        <v>45134</v>
      </c>
      <c r="C2891" t="s">
        <v>83</v>
      </c>
      <c r="D2891" t="s">
        <v>38</v>
      </c>
      <c r="E2891">
        <v>2</v>
      </c>
      <c r="F2891" s="2">
        <v>49.99</v>
      </c>
      <c r="G2891">
        <v>10</v>
      </c>
      <c r="H2891" s="2">
        <v>44.99</v>
      </c>
      <c r="I2891" s="2">
        <v>89.98</v>
      </c>
      <c r="J2891" t="s">
        <v>19</v>
      </c>
      <c r="K2891" t="s">
        <v>52</v>
      </c>
      <c r="L2891" t="s">
        <v>45</v>
      </c>
      <c r="M2891" t="s">
        <v>65</v>
      </c>
      <c r="N2891" t="s">
        <v>54</v>
      </c>
      <c r="O2891" t="s">
        <v>35</v>
      </c>
      <c r="P2891">
        <v>2</v>
      </c>
      <c r="Q2891" s="2">
        <f>Ventas[[#This Row],[precio_base]]*Ventas[[#This Row],[cantidad]]</f>
        <v>99.98</v>
      </c>
      <c r="R2891" s="2">
        <f>Ventas[[#This Row],[Total bruto (antes de descuento)]]-Ventas[[#This Row],[total_venta]]</f>
        <v>10</v>
      </c>
    </row>
    <row r="2892" spans="1:18" x14ac:dyDescent="0.25">
      <c r="A2892" t="s">
        <v>2985</v>
      </c>
      <c r="B2892" s="1">
        <v>45488</v>
      </c>
      <c r="C2892" t="s">
        <v>92</v>
      </c>
      <c r="D2892" t="s">
        <v>27</v>
      </c>
      <c r="E2892">
        <v>4</v>
      </c>
      <c r="F2892" s="2">
        <v>79.989999999999995</v>
      </c>
      <c r="G2892">
        <v>15</v>
      </c>
      <c r="H2892" s="2">
        <v>67.989999999999995</v>
      </c>
      <c r="I2892" s="2">
        <v>271.95999999999998</v>
      </c>
      <c r="J2892" t="s">
        <v>51</v>
      </c>
      <c r="K2892" t="s">
        <v>20</v>
      </c>
      <c r="L2892" t="s">
        <v>21</v>
      </c>
      <c r="M2892" t="s">
        <v>65</v>
      </c>
      <c r="N2892" t="s">
        <v>54</v>
      </c>
      <c r="O2892" t="s">
        <v>35</v>
      </c>
      <c r="Q2892" s="2">
        <f>Ventas[[#This Row],[precio_base]]*Ventas[[#This Row],[cantidad]]</f>
        <v>319.95999999999998</v>
      </c>
      <c r="R2892" s="2">
        <f>Ventas[[#This Row],[Total bruto (antes de descuento)]]-Ventas[[#This Row],[total_venta]]</f>
        <v>48</v>
      </c>
    </row>
    <row r="2893" spans="1:18" x14ac:dyDescent="0.25">
      <c r="A2893" t="s">
        <v>2986</v>
      </c>
      <c r="B2893" s="1">
        <v>45341</v>
      </c>
      <c r="C2893" t="s">
        <v>83</v>
      </c>
      <c r="D2893" t="s">
        <v>38</v>
      </c>
      <c r="E2893">
        <v>4</v>
      </c>
      <c r="F2893" s="2">
        <v>49.99</v>
      </c>
      <c r="G2893">
        <v>5</v>
      </c>
      <c r="H2893" s="2">
        <v>47.49</v>
      </c>
      <c r="I2893" s="2">
        <v>189.96</v>
      </c>
      <c r="J2893" t="s">
        <v>19</v>
      </c>
      <c r="K2893" t="s">
        <v>20</v>
      </c>
      <c r="L2893" t="s">
        <v>28</v>
      </c>
      <c r="M2893" t="s">
        <v>58</v>
      </c>
      <c r="N2893" t="s">
        <v>59</v>
      </c>
      <c r="O2893" t="s">
        <v>24</v>
      </c>
      <c r="P2893">
        <v>5</v>
      </c>
      <c r="Q2893" s="2">
        <f>Ventas[[#This Row],[precio_base]]*Ventas[[#This Row],[cantidad]]</f>
        <v>199.96</v>
      </c>
      <c r="R2893" s="2">
        <f>Ventas[[#This Row],[Total bruto (antes de descuento)]]-Ventas[[#This Row],[total_venta]]</f>
        <v>10</v>
      </c>
    </row>
    <row r="2894" spans="1:18" x14ac:dyDescent="0.25">
      <c r="A2894" t="s">
        <v>2987</v>
      </c>
      <c r="B2894" s="1">
        <v>44939</v>
      </c>
      <c r="C2894" t="s">
        <v>156</v>
      </c>
      <c r="D2894" t="s">
        <v>27</v>
      </c>
      <c r="E2894">
        <v>1</v>
      </c>
      <c r="F2894" s="2">
        <v>49.99</v>
      </c>
      <c r="G2894">
        <v>0</v>
      </c>
      <c r="H2894" s="2">
        <v>49.99</v>
      </c>
      <c r="I2894" s="2">
        <v>49.99</v>
      </c>
      <c r="J2894" t="s">
        <v>19</v>
      </c>
      <c r="K2894" t="s">
        <v>44</v>
      </c>
      <c r="L2894" t="s">
        <v>45</v>
      </c>
      <c r="M2894" t="s">
        <v>67</v>
      </c>
      <c r="N2894" t="s">
        <v>68</v>
      </c>
      <c r="O2894" t="s">
        <v>35</v>
      </c>
      <c r="P2894">
        <v>1</v>
      </c>
      <c r="Q2894" s="2">
        <f>Ventas[[#This Row],[precio_base]]*Ventas[[#This Row],[cantidad]]</f>
        <v>49.99</v>
      </c>
      <c r="R2894" s="2">
        <f>Ventas[[#This Row],[Total bruto (antes de descuento)]]-Ventas[[#This Row],[total_venta]]</f>
        <v>0</v>
      </c>
    </row>
    <row r="2895" spans="1:18" x14ac:dyDescent="0.25">
      <c r="A2895" t="s">
        <v>2988</v>
      </c>
      <c r="B2895" s="1">
        <v>45117</v>
      </c>
      <c r="C2895" t="s">
        <v>50</v>
      </c>
      <c r="D2895" t="s">
        <v>27</v>
      </c>
      <c r="E2895">
        <v>2</v>
      </c>
      <c r="F2895" s="2">
        <v>149.99</v>
      </c>
      <c r="G2895">
        <v>5</v>
      </c>
      <c r="H2895" s="2">
        <v>142.49</v>
      </c>
      <c r="I2895" s="2">
        <v>284.98</v>
      </c>
      <c r="J2895" t="s">
        <v>19</v>
      </c>
      <c r="K2895" t="s">
        <v>52</v>
      </c>
      <c r="L2895" t="s">
        <v>152</v>
      </c>
      <c r="M2895" t="s">
        <v>58</v>
      </c>
      <c r="N2895" t="s">
        <v>59</v>
      </c>
      <c r="O2895" t="s">
        <v>24</v>
      </c>
      <c r="P2895">
        <v>3</v>
      </c>
      <c r="Q2895" s="2">
        <f>Ventas[[#This Row],[precio_base]]*Ventas[[#This Row],[cantidad]]</f>
        <v>299.98</v>
      </c>
      <c r="R2895" s="2">
        <f>Ventas[[#This Row],[Total bruto (antes de descuento)]]-Ventas[[#This Row],[total_venta]]</f>
        <v>15</v>
      </c>
    </row>
    <row r="2896" spans="1:18" x14ac:dyDescent="0.25">
      <c r="A2896" t="s">
        <v>2989</v>
      </c>
      <c r="B2896" s="1">
        <v>44996</v>
      </c>
      <c r="C2896" t="s">
        <v>72</v>
      </c>
      <c r="D2896" t="s">
        <v>31</v>
      </c>
      <c r="E2896">
        <v>2</v>
      </c>
      <c r="F2896" s="2">
        <v>29.99</v>
      </c>
      <c r="G2896">
        <v>20</v>
      </c>
      <c r="H2896" s="2">
        <v>23.99</v>
      </c>
      <c r="I2896" s="2">
        <v>47.98</v>
      </c>
      <c r="J2896" t="s">
        <v>62</v>
      </c>
      <c r="K2896" t="s">
        <v>20</v>
      </c>
      <c r="L2896" t="s">
        <v>21</v>
      </c>
      <c r="M2896" t="s">
        <v>53</v>
      </c>
      <c r="N2896" t="s">
        <v>54</v>
      </c>
      <c r="O2896" t="s">
        <v>35</v>
      </c>
      <c r="Q2896" s="2">
        <f>Ventas[[#This Row],[precio_base]]*Ventas[[#This Row],[cantidad]]</f>
        <v>59.98</v>
      </c>
      <c r="R2896" s="2">
        <f>Ventas[[#This Row],[Total bruto (antes de descuento)]]-Ventas[[#This Row],[total_venta]]</f>
        <v>12</v>
      </c>
    </row>
    <row r="2897" spans="1:18" x14ac:dyDescent="0.25">
      <c r="A2897" t="s">
        <v>2990</v>
      </c>
      <c r="B2897" s="1">
        <v>45595</v>
      </c>
      <c r="C2897" t="s">
        <v>89</v>
      </c>
      <c r="D2897" t="s">
        <v>38</v>
      </c>
      <c r="E2897">
        <v>4</v>
      </c>
      <c r="F2897" s="2">
        <v>69.989999999999995</v>
      </c>
      <c r="G2897">
        <v>5</v>
      </c>
      <c r="H2897" s="2">
        <v>66.489999999999995</v>
      </c>
      <c r="I2897" s="2">
        <v>265.95999999999998</v>
      </c>
      <c r="J2897" t="s">
        <v>19</v>
      </c>
      <c r="K2897" t="s">
        <v>52</v>
      </c>
      <c r="L2897" t="s">
        <v>21</v>
      </c>
      <c r="M2897" t="s">
        <v>58</v>
      </c>
      <c r="N2897" t="s">
        <v>59</v>
      </c>
      <c r="O2897" t="s">
        <v>24</v>
      </c>
      <c r="P2897">
        <v>1</v>
      </c>
      <c r="Q2897" s="2">
        <f>Ventas[[#This Row],[precio_base]]*Ventas[[#This Row],[cantidad]]</f>
        <v>279.95999999999998</v>
      </c>
      <c r="R2897" s="2">
        <f>Ventas[[#This Row],[Total bruto (antes de descuento)]]-Ventas[[#This Row],[total_venta]]</f>
        <v>14</v>
      </c>
    </row>
    <row r="2898" spans="1:18" x14ac:dyDescent="0.25">
      <c r="A2898" t="s">
        <v>2991</v>
      </c>
      <c r="B2898" s="1">
        <v>45651</v>
      </c>
      <c r="C2898" t="s">
        <v>30</v>
      </c>
      <c r="D2898" t="s">
        <v>31</v>
      </c>
      <c r="E2898">
        <v>4</v>
      </c>
      <c r="F2898" s="2">
        <v>299.99</v>
      </c>
      <c r="G2898">
        <v>15</v>
      </c>
      <c r="H2898" s="2">
        <v>254.99</v>
      </c>
      <c r="I2898" s="2">
        <v>1019.96</v>
      </c>
      <c r="J2898" t="s">
        <v>19</v>
      </c>
      <c r="K2898" t="s">
        <v>20</v>
      </c>
      <c r="L2898" t="s">
        <v>45</v>
      </c>
      <c r="M2898" t="s">
        <v>84</v>
      </c>
      <c r="N2898" t="s">
        <v>85</v>
      </c>
      <c r="O2898" t="s">
        <v>35</v>
      </c>
      <c r="P2898">
        <v>2</v>
      </c>
      <c r="Q2898" s="2">
        <f>Ventas[[#This Row],[precio_base]]*Ventas[[#This Row],[cantidad]]</f>
        <v>1199.96</v>
      </c>
      <c r="R2898" s="2">
        <f>Ventas[[#This Row],[Total bruto (antes de descuento)]]-Ventas[[#This Row],[total_venta]]</f>
        <v>180</v>
      </c>
    </row>
    <row r="2899" spans="1:18" x14ac:dyDescent="0.25">
      <c r="A2899" t="s">
        <v>2992</v>
      </c>
      <c r="B2899" s="1">
        <v>45204</v>
      </c>
      <c r="C2899" t="s">
        <v>89</v>
      </c>
      <c r="D2899" t="s">
        <v>38</v>
      </c>
      <c r="E2899">
        <v>2</v>
      </c>
      <c r="F2899" s="2">
        <v>69.989999999999995</v>
      </c>
      <c r="G2899">
        <v>20</v>
      </c>
      <c r="H2899" s="2">
        <v>55.99</v>
      </c>
      <c r="I2899" s="2">
        <v>111.98</v>
      </c>
      <c r="J2899" t="s">
        <v>19</v>
      </c>
      <c r="K2899" t="s">
        <v>20</v>
      </c>
      <c r="L2899" t="s">
        <v>45</v>
      </c>
      <c r="M2899" t="s">
        <v>95</v>
      </c>
      <c r="N2899" t="s">
        <v>96</v>
      </c>
      <c r="O2899" t="s">
        <v>48</v>
      </c>
      <c r="P2899">
        <v>5</v>
      </c>
      <c r="Q2899" s="2">
        <f>Ventas[[#This Row],[precio_base]]*Ventas[[#This Row],[cantidad]]</f>
        <v>139.97999999999999</v>
      </c>
      <c r="R2899" s="2">
        <f>Ventas[[#This Row],[Total bruto (antes de descuento)]]-Ventas[[#This Row],[total_venta]]</f>
        <v>27.999999999999986</v>
      </c>
    </row>
    <row r="2900" spans="1:18" x14ac:dyDescent="0.25">
      <c r="A2900" t="s">
        <v>2993</v>
      </c>
      <c r="B2900" s="1">
        <v>45243</v>
      </c>
      <c r="C2900" t="s">
        <v>17</v>
      </c>
      <c r="D2900" t="s">
        <v>18</v>
      </c>
      <c r="E2900">
        <v>2</v>
      </c>
      <c r="F2900" s="2">
        <v>45.99</v>
      </c>
      <c r="G2900">
        <v>0</v>
      </c>
      <c r="H2900" s="2">
        <v>45.99</v>
      </c>
      <c r="I2900" s="2">
        <v>91.98</v>
      </c>
      <c r="J2900" t="s">
        <v>51</v>
      </c>
      <c r="K2900" t="s">
        <v>57</v>
      </c>
      <c r="L2900" t="s">
        <v>21</v>
      </c>
      <c r="M2900" t="s">
        <v>65</v>
      </c>
      <c r="N2900" t="s">
        <v>54</v>
      </c>
      <c r="O2900" t="s">
        <v>35</v>
      </c>
      <c r="Q2900" s="2">
        <f>Ventas[[#This Row],[precio_base]]*Ventas[[#This Row],[cantidad]]</f>
        <v>91.98</v>
      </c>
      <c r="R2900" s="2">
        <f>Ventas[[#This Row],[Total bruto (antes de descuento)]]-Ventas[[#This Row],[total_venta]]</f>
        <v>0</v>
      </c>
    </row>
    <row r="2901" spans="1:18" x14ac:dyDescent="0.25">
      <c r="A2901" t="s">
        <v>2994</v>
      </c>
      <c r="B2901" s="1">
        <v>45498</v>
      </c>
      <c r="C2901" t="s">
        <v>92</v>
      </c>
      <c r="D2901" t="s">
        <v>27</v>
      </c>
      <c r="E2901">
        <v>2</v>
      </c>
      <c r="F2901" s="2">
        <v>79.989999999999995</v>
      </c>
      <c r="G2901">
        <v>15</v>
      </c>
      <c r="H2901" s="2">
        <v>67.989999999999995</v>
      </c>
      <c r="I2901" s="2">
        <v>135.97999999999999</v>
      </c>
      <c r="J2901" t="s">
        <v>19</v>
      </c>
      <c r="K2901" t="s">
        <v>52</v>
      </c>
      <c r="L2901" t="s">
        <v>45</v>
      </c>
      <c r="M2901" t="s">
        <v>58</v>
      </c>
      <c r="N2901" t="s">
        <v>59</v>
      </c>
      <c r="O2901" t="s">
        <v>24</v>
      </c>
      <c r="P2901">
        <v>2</v>
      </c>
      <c r="Q2901" s="2">
        <f>Ventas[[#This Row],[precio_base]]*Ventas[[#This Row],[cantidad]]</f>
        <v>159.97999999999999</v>
      </c>
      <c r="R2901" s="2">
        <f>Ventas[[#This Row],[Total bruto (antes de descuento)]]-Ventas[[#This Row],[total_venta]]</f>
        <v>24</v>
      </c>
    </row>
    <row r="2902" spans="1:18" x14ac:dyDescent="0.25">
      <c r="A2902" t="s">
        <v>2995</v>
      </c>
      <c r="B2902" s="1">
        <v>45114</v>
      </c>
      <c r="C2902" t="s">
        <v>205</v>
      </c>
      <c r="D2902" t="s">
        <v>18</v>
      </c>
      <c r="E2902">
        <v>3</v>
      </c>
      <c r="F2902" s="2">
        <v>129.99</v>
      </c>
      <c r="G2902">
        <v>0</v>
      </c>
      <c r="H2902" s="2">
        <v>129.99</v>
      </c>
      <c r="I2902" s="2">
        <v>389.97</v>
      </c>
      <c r="J2902" t="s">
        <v>116</v>
      </c>
      <c r="K2902" t="s">
        <v>20</v>
      </c>
      <c r="L2902" t="s">
        <v>21</v>
      </c>
      <c r="M2902" t="s">
        <v>67</v>
      </c>
      <c r="N2902" t="s">
        <v>68</v>
      </c>
      <c r="O2902" t="s">
        <v>35</v>
      </c>
      <c r="Q2902" s="2">
        <f>Ventas[[#This Row],[precio_base]]*Ventas[[#This Row],[cantidad]]</f>
        <v>389.97</v>
      </c>
      <c r="R2902" s="2">
        <f>Ventas[[#This Row],[Total bruto (antes de descuento)]]-Ventas[[#This Row],[total_venta]]</f>
        <v>0</v>
      </c>
    </row>
    <row r="2903" spans="1:18" x14ac:dyDescent="0.25">
      <c r="A2903" t="s">
        <v>2996</v>
      </c>
      <c r="B2903" s="1">
        <v>45223</v>
      </c>
      <c r="C2903" t="s">
        <v>104</v>
      </c>
      <c r="D2903" t="s">
        <v>18</v>
      </c>
      <c r="E2903">
        <v>3</v>
      </c>
      <c r="F2903" s="2">
        <v>1199.99</v>
      </c>
      <c r="G2903">
        <v>20</v>
      </c>
      <c r="H2903" s="2">
        <v>959.99</v>
      </c>
      <c r="I2903" s="2">
        <v>2879.97</v>
      </c>
      <c r="J2903" t="s">
        <v>62</v>
      </c>
      <c r="K2903" t="s">
        <v>44</v>
      </c>
      <c r="L2903" t="s">
        <v>21</v>
      </c>
      <c r="M2903" t="s">
        <v>73</v>
      </c>
      <c r="N2903" t="s">
        <v>74</v>
      </c>
      <c r="O2903" t="s">
        <v>35</v>
      </c>
      <c r="Q2903" s="2">
        <f>Ventas[[#This Row],[precio_base]]*Ventas[[#This Row],[cantidad]]</f>
        <v>3599.9700000000003</v>
      </c>
      <c r="R2903" s="2">
        <f>Ventas[[#This Row],[Total bruto (antes de descuento)]]-Ventas[[#This Row],[total_venta]]</f>
        <v>720.00000000000045</v>
      </c>
    </row>
    <row r="2904" spans="1:18" x14ac:dyDescent="0.25">
      <c r="A2904" t="s">
        <v>2997</v>
      </c>
      <c r="B2904" s="1">
        <v>45029</v>
      </c>
      <c r="C2904" t="s">
        <v>17</v>
      </c>
      <c r="D2904" t="s">
        <v>18</v>
      </c>
      <c r="E2904">
        <v>5</v>
      </c>
      <c r="F2904" s="2">
        <v>45.99</v>
      </c>
      <c r="G2904">
        <v>20</v>
      </c>
      <c r="H2904" s="2">
        <v>36.79</v>
      </c>
      <c r="I2904" s="2">
        <v>183.95</v>
      </c>
      <c r="J2904" t="s">
        <v>51</v>
      </c>
      <c r="K2904" t="s">
        <v>20</v>
      </c>
      <c r="L2904" t="s">
        <v>45</v>
      </c>
      <c r="M2904" t="s">
        <v>46</v>
      </c>
      <c r="N2904" t="s">
        <v>47</v>
      </c>
      <c r="O2904" t="s">
        <v>48</v>
      </c>
      <c r="Q2904" s="2">
        <f>Ventas[[#This Row],[precio_base]]*Ventas[[#This Row],[cantidad]]</f>
        <v>229.95000000000002</v>
      </c>
      <c r="R2904" s="2">
        <f>Ventas[[#This Row],[Total bruto (antes de descuento)]]-Ventas[[#This Row],[total_venta]]</f>
        <v>46.000000000000028</v>
      </c>
    </row>
    <row r="2905" spans="1:18" x14ac:dyDescent="0.25">
      <c r="A2905" t="s">
        <v>2998</v>
      </c>
      <c r="B2905" s="1">
        <v>45368</v>
      </c>
      <c r="C2905" t="s">
        <v>17</v>
      </c>
      <c r="D2905" t="s">
        <v>18</v>
      </c>
      <c r="E2905">
        <v>4</v>
      </c>
      <c r="F2905" s="2">
        <v>45.99</v>
      </c>
      <c r="G2905">
        <v>0</v>
      </c>
      <c r="H2905" s="2">
        <v>45.99</v>
      </c>
      <c r="I2905" s="2">
        <v>183.96</v>
      </c>
      <c r="J2905" t="s">
        <v>19</v>
      </c>
      <c r="K2905" t="s">
        <v>20</v>
      </c>
      <c r="L2905" t="s">
        <v>45</v>
      </c>
      <c r="M2905" t="s">
        <v>46</v>
      </c>
      <c r="N2905" t="s">
        <v>47</v>
      </c>
      <c r="O2905" t="s">
        <v>48</v>
      </c>
      <c r="P2905">
        <v>2</v>
      </c>
      <c r="Q2905" s="2">
        <f>Ventas[[#This Row],[precio_base]]*Ventas[[#This Row],[cantidad]]</f>
        <v>183.96</v>
      </c>
      <c r="R2905" s="2">
        <f>Ventas[[#This Row],[Total bruto (antes de descuento)]]-Ventas[[#This Row],[total_venta]]</f>
        <v>0</v>
      </c>
    </row>
    <row r="2906" spans="1:18" x14ac:dyDescent="0.25">
      <c r="A2906" t="s">
        <v>2999</v>
      </c>
      <c r="B2906" s="1">
        <v>44984</v>
      </c>
      <c r="C2906" t="s">
        <v>122</v>
      </c>
      <c r="D2906" t="s">
        <v>43</v>
      </c>
      <c r="E2906">
        <v>2</v>
      </c>
      <c r="F2906" s="2">
        <v>44.99</v>
      </c>
      <c r="G2906">
        <v>20</v>
      </c>
      <c r="H2906" s="2">
        <v>35.99</v>
      </c>
      <c r="I2906" s="2">
        <v>71.98</v>
      </c>
      <c r="J2906" t="s">
        <v>19</v>
      </c>
      <c r="K2906" t="s">
        <v>20</v>
      </c>
      <c r="L2906" t="s">
        <v>28</v>
      </c>
      <c r="M2906" t="s">
        <v>33</v>
      </c>
      <c r="N2906" t="s">
        <v>34</v>
      </c>
      <c r="O2906" t="s">
        <v>35</v>
      </c>
      <c r="P2906">
        <v>4</v>
      </c>
      <c r="Q2906" s="2">
        <f>Ventas[[#This Row],[precio_base]]*Ventas[[#This Row],[cantidad]]</f>
        <v>89.98</v>
      </c>
      <c r="R2906" s="2">
        <f>Ventas[[#This Row],[Total bruto (antes de descuento)]]-Ventas[[#This Row],[total_venta]]</f>
        <v>18</v>
      </c>
    </row>
    <row r="2907" spans="1:18" x14ac:dyDescent="0.25">
      <c r="A2907" t="s">
        <v>3000</v>
      </c>
      <c r="B2907" s="1">
        <v>45351</v>
      </c>
      <c r="C2907" t="s">
        <v>76</v>
      </c>
      <c r="D2907" t="s">
        <v>31</v>
      </c>
      <c r="E2907">
        <v>2</v>
      </c>
      <c r="F2907" s="2">
        <v>69.989999999999995</v>
      </c>
      <c r="G2907">
        <v>0</v>
      </c>
      <c r="H2907" s="2">
        <v>69.989999999999995</v>
      </c>
      <c r="I2907" s="2">
        <v>139.97999999999999</v>
      </c>
      <c r="J2907" t="s">
        <v>19</v>
      </c>
      <c r="K2907" t="s">
        <v>20</v>
      </c>
      <c r="L2907" t="s">
        <v>45</v>
      </c>
      <c r="M2907" t="s">
        <v>22</v>
      </c>
      <c r="N2907" t="s">
        <v>23</v>
      </c>
      <c r="O2907" t="s">
        <v>24</v>
      </c>
      <c r="P2907">
        <v>1</v>
      </c>
      <c r="Q2907" s="2">
        <f>Ventas[[#This Row],[precio_base]]*Ventas[[#This Row],[cantidad]]</f>
        <v>139.97999999999999</v>
      </c>
      <c r="R2907" s="2">
        <f>Ventas[[#This Row],[Total bruto (antes de descuento)]]-Ventas[[#This Row],[total_venta]]</f>
        <v>0</v>
      </c>
    </row>
    <row r="2908" spans="1:18" x14ac:dyDescent="0.25">
      <c r="A2908" t="s">
        <v>3001</v>
      </c>
      <c r="B2908" s="1">
        <v>44937</v>
      </c>
      <c r="C2908" t="s">
        <v>141</v>
      </c>
      <c r="D2908" t="s">
        <v>38</v>
      </c>
      <c r="E2908">
        <v>4</v>
      </c>
      <c r="F2908" s="2">
        <v>89.99</v>
      </c>
      <c r="G2908">
        <v>5</v>
      </c>
      <c r="H2908" s="2">
        <v>85.49</v>
      </c>
      <c r="I2908" s="2">
        <v>341.96</v>
      </c>
      <c r="J2908" t="s">
        <v>51</v>
      </c>
      <c r="K2908" t="s">
        <v>20</v>
      </c>
      <c r="L2908" t="s">
        <v>45</v>
      </c>
      <c r="M2908" t="s">
        <v>46</v>
      </c>
      <c r="N2908" t="s">
        <v>47</v>
      </c>
      <c r="O2908" t="s">
        <v>48</v>
      </c>
      <c r="Q2908" s="2">
        <f>Ventas[[#This Row],[precio_base]]*Ventas[[#This Row],[cantidad]]</f>
        <v>359.96</v>
      </c>
      <c r="R2908" s="2">
        <f>Ventas[[#This Row],[Total bruto (antes de descuento)]]-Ventas[[#This Row],[total_venta]]</f>
        <v>18</v>
      </c>
    </row>
    <row r="2909" spans="1:18" x14ac:dyDescent="0.25">
      <c r="A2909" t="s">
        <v>3002</v>
      </c>
      <c r="B2909" s="1">
        <v>45066</v>
      </c>
      <c r="C2909" t="s">
        <v>141</v>
      </c>
      <c r="D2909" t="s">
        <v>38</v>
      </c>
      <c r="E2909">
        <v>5</v>
      </c>
      <c r="F2909" s="2">
        <v>89.99</v>
      </c>
      <c r="G2909">
        <v>0</v>
      </c>
      <c r="H2909" s="2">
        <v>89.99</v>
      </c>
      <c r="I2909" s="2">
        <v>449.95</v>
      </c>
      <c r="J2909" t="s">
        <v>19</v>
      </c>
      <c r="K2909" t="s">
        <v>20</v>
      </c>
      <c r="L2909" t="s">
        <v>45</v>
      </c>
      <c r="M2909" t="s">
        <v>101</v>
      </c>
      <c r="N2909" t="s">
        <v>102</v>
      </c>
      <c r="O2909" t="s">
        <v>35</v>
      </c>
      <c r="P2909">
        <v>2</v>
      </c>
      <c r="Q2909" s="2">
        <f>Ventas[[#This Row],[precio_base]]*Ventas[[#This Row],[cantidad]]</f>
        <v>449.95</v>
      </c>
      <c r="R2909" s="2">
        <f>Ventas[[#This Row],[Total bruto (antes de descuento)]]-Ventas[[#This Row],[total_venta]]</f>
        <v>0</v>
      </c>
    </row>
    <row r="2910" spans="1:18" x14ac:dyDescent="0.25">
      <c r="A2910" t="s">
        <v>3003</v>
      </c>
      <c r="B2910" s="1">
        <v>44962</v>
      </c>
      <c r="C2910" t="s">
        <v>72</v>
      </c>
      <c r="D2910" t="s">
        <v>31</v>
      </c>
      <c r="E2910">
        <v>4</v>
      </c>
      <c r="F2910" s="2">
        <v>29.99</v>
      </c>
      <c r="G2910">
        <v>0</v>
      </c>
      <c r="H2910" s="2">
        <v>29.99</v>
      </c>
      <c r="I2910" s="2">
        <v>119.96</v>
      </c>
      <c r="J2910" t="s">
        <v>19</v>
      </c>
      <c r="K2910" t="s">
        <v>20</v>
      </c>
      <c r="L2910" t="s">
        <v>32</v>
      </c>
      <c r="M2910" t="s">
        <v>95</v>
      </c>
      <c r="N2910" t="s">
        <v>96</v>
      </c>
      <c r="O2910" t="s">
        <v>48</v>
      </c>
      <c r="P2910">
        <v>5</v>
      </c>
      <c r="Q2910" s="2">
        <f>Ventas[[#This Row],[precio_base]]*Ventas[[#This Row],[cantidad]]</f>
        <v>119.96</v>
      </c>
      <c r="R2910" s="2">
        <f>Ventas[[#This Row],[Total bruto (antes de descuento)]]-Ventas[[#This Row],[total_venta]]</f>
        <v>0</v>
      </c>
    </row>
    <row r="2911" spans="1:18" x14ac:dyDescent="0.25">
      <c r="A2911" t="s">
        <v>3004</v>
      </c>
      <c r="B2911" s="1">
        <v>44969</v>
      </c>
      <c r="C2911" t="s">
        <v>76</v>
      </c>
      <c r="D2911" t="s">
        <v>31</v>
      </c>
      <c r="E2911">
        <v>5</v>
      </c>
      <c r="F2911" s="2">
        <v>69.989999999999995</v>
      </c>
      <c r="G2911">
        <v>5</v>
      </c>
      <c r="H2911" s="2">
        <v>66.489999999999995</v>
      </c>
      <c r="I2911" s="2">
        <v>332.45</v>
      </c>
      <c r="J2911" t="s">
        <v>62</v>
      </c>
      <c r="K2911" t="s">
        <v>20</v>
      </c>
      <c r="L2911" t="s">
        <v>21</v>
      </c>
      <c r="M2911" t="s">
        <v>73</v>
      </c>
      <c r="N2911" t="s">
        <v>74</v>
      </c>
      <c r="O2911" t="s">
        <v>35</v>
      </c>
      <c r="Q2911" s="2">
        <f>Ventas[[#This Row],[precio_base]]*Ventas[[#This Row],[cantidad]]</f>
        <v>349.95</v>
      </c>
      <c r="R2911" s="2">
        <f>Ventas[[#This Row],[Total bruto (antes de descuento)]]-Ventas[[#This Row],[total_venta]]</f>
        <v>17.5</v>
      </c>
    </row>
    <row r="2912" spans="1:18" x14ac:dyDescent="0.25">
      <c r="A2912" t="s">
        <v>3005</v>
      </c>
      <c r="B2912" s="1">
        <v>45049</v>
      </c>
      <c r="C2912" t="s">
        <v>104</v>
      </c>
      <c r="D2912" t="s">
        <v>18</v>
      </c>
      <c r="E2912">
        <v>3</v>
      </c>
      <c r="F2912" s="2">
        <v>1199.99</v>
      </c>
      <c r="G2912">
        <v>0</v>
      </c>
      <c r="H2912" s="2">
        <v>1199.99</v>
      </c>
      <c r="I2912" s="2">
        <v>3599.97</v>
      </c>
      <c r="J2912" t="s">
        <v>62</v>
      </c>
      <c r="K2912" t="s">
        <v>52</v>
      </c>
      <c r="L2912" t="s">
        <v>28</v>
      </c>
      <c r="M2912" t="s">
        <v>84</v>
      </c>
      <c r="N2912" t="s">
        <v>85</v>
      </c>
      <c r="O2912" t="s">
        <v>35</v>
      </c>
      <c r="Q2912" s="2">
        <f>Ventas[[#This Row],[precio_base]]*Ventas[[#This Row],[cantidad]]</f>
        <v>3599.9700000000003</v>
      </c>
      <c r="R2912" s="2">
        <f>Ventas[[#This Row],[Total bruto (antes de descuento)]]-Ventas[[#This Row],[total_venta]]</f>
        <v>0</v>
      </c>
    </row>
    <row r="2913" spans="1:18" x14ac:dyDescent="0.25">
      <c r="A2913" t="s">
        <v>3006</v>
      </c>
      <c r="B2913" s="1">
        <v>45041</v>
      </c>
      <c r="C2913" t="s">
        <v>92</v>
      </c>
      <c r="D2913" t="s">
        <v>27</v>
      </c>
      <c r="E2913">
        <v>1</v>
      </c>
      <c r="F2913" s="2">
        <v>79.989999999999995</v>
      </c>
      <c r="G2913">
        <v>10</v>
      </c>
      <c r="H2913" s="2">
        <v>71.989999999999995</v>
      </c>
      <c r="I2913" s="2">
        <v>71.989999999999995</v>
      </c>
      <c r="J2913" t="s">
        <v>19</v>
      </c>
      <c r="K2913" t="s">
        <v>57</v>
      </c>
      <c r="L2913" t="s">
        <v>21</v>
      </c>
      <c r="M2913" t="s">
        <v>39</v>
      </c>
      <c r="N2913" t="s">
        <v>40</v>
      </c>
      <c r="O2913" t="s">
        <v>35</v>
      </c>
      <c r="P2913">
        <v>1</v>
      </c>
      <c r="Q2913" s="2">
        <f>Ventas[[#This Row],[precio_base]]*Ventas[[#This Row],[cantidad]]</f>
        <v>79.989999999999995</v>
      </c>
      <c r="R2913" s="2">
        <f>Ventas[[#This Row],[Total bruto (antes de descuento)]]-Ventas[[#This Row],[total_venta]]</f>
        <v>8</v>
      </c>
    </row>
    <row r="2914" spans="1:18" x14ac:dyDescent="0.25">
      <c r="A2914" t="s">
        <v>3007</v>
      </c>
      <c r="B2914" s="1">
        <v>45392</v>
      </c>
      <c r="C2914" t="s">
        <v>61</v>
      </c>
      <c r="D2914" t="s">
        <v>38</v>
      </c>
      <c r="E2914">
        <v>3</v>
      </c>
      <c r="F2914" s="2">
        <v>19.989999999999998</v>
      </c>
      <c r="G2914">
        <v>0</v>
      </c>
      <c r="H2914" s="2">
        <v>19.989999999999998</v>
      </c>
      <c r="I2914" s="2">
        <v>59.97</v>
      </c>
      <c r="J2914" t="s">
        <v>19</v>
      </c>
      <c r="K2914" t="s">
        <v>52</v>
      </c>
      <c r="L2914" t="s">
        <v>28</v>
      </c>
      <c r="M2914" t="s">
        <v>63</v>
      </c>
      <c r="N2914" t="s">
        <v>34</v>
      </c>
      <c r="O2914" t="s">
        <v>24</v>
      </c>
      <c r="P2914">
        <v>3</v>
      </c>
      <c r="Q2914" s="2">
        <f>Ventas[[#This Row],[precio_base]]*Ventas[[#This Row],[cantidad]]</f>
        <v>59.97</v>
      </c>
      <c r="R2914" s="2">
        <f>Ventas[[#This Row],[Total bruto (antes de descuento)]]-Ventas[[#This Row],[total_venta]]</f>
        <v>0</v>
      </c>
    </row>
    <row r="2915" spans="1:18" x14ac:dyDescent="0.25">
      <c r="A2915" t="s">
        <v>3008</v>
      </c>
      <c r="B2915" s="1">
        <v>45061</v>
      </c>
      <c r="C2915" t="s">
        <v>205</v>
      </c>
      <c r="D2915" t="s">
        <v>18</v>
      </c>
      <c r="E2915">
        <v>3</v>
      </c>
      <c r="F2915" s="2">
        <v>129.99</v>
      </c>
      <c r="G2915">
        <v>0</v>
      </c>
      <c r="H2915" s="2">
        <v>129.99</v>
      </c>
      <c r="I2915" s="2">
        <v>389.97</v>
      </c>
      <c r="J2915" t="s">
        <v>19</v>
      </c>
      <c r="K2915" t="s">
        <v>20</v>
      </c>
      <c r="L2915" t="s">
        <v>21</v>
      </c>
      <c r="M2915" t="s">
        <v>120</v>
      </c>
      <c r="N2915" t="s">
        <v>23</v>
      </c>
      <c r="O2915" t="s">
        <v>24</v>
      </c>
      <c r="P2915">
        <v>2</v>
      </c>
      <c r="Q2915" s="2">
        <f>Ventas[[#This Row],[precio_base]]*Ventas[[#This Row],[cantidad]]</f>
        <v>389.97</v>
      </c>
      <c r="R2915" s="2">
        <f>Ventas[[#This Row],[Total bruto (antes de descuento)]]-Ventas[[#This Row],[total_venta]]</f>
        <v>0</v>
      </c>
    </row>
    <row r="2916" spans="1:18" x14ac:dyDescent="0.25">
      <c r="A2916" t="s">
        <v>3009</v>
      </c>
      <c r="B2916" s="1">
        <v>45528</v>
      </c>
      <c r="C2916" t="s">
        <v>61</v>
      </c>
      <c r="D2916" t="s">
        <v>38</v>
      </c>
      <c r="E2916">
        <v>1</v>
      </c>
      <c r="F2916" s="2">
        <v>19.989999999999998</v>
      </c>
      <c r="G2916">
        <v>0</v>
      </c>
      <c r="H2916" s="2">
        <v>19.989999999999998</v>
      </c>
      <c r="I2916" s="2">
        <v>19.989999999999998</v>
      </c>
      <c r="J2916" t="s">
        <v>90</v>
      </c>
      <c r="K2916" t="s">
        <v>52</v>
      </c>
      <c r="L2916" t="s">
        <v>28</v>
      </c>
      <c r="M2916" t="s">
        <v>53</v>
      </c>
      <c r="N2916" t="s">
        <v>54</v>
      </c>
      <c r="O2916" t="s">
        <v>35</v>
      </c>
      <c r="Q2916" s="2">
        <f>Ventas[[#This Row],[precio_base]]*Ventas[[#This Row],[cantidad]]</f>
        <v>19.989999999999998</v>
      </c>
      <c r="R2916" s="2">
        <f>Ventas[[#This Row],[Total bruto (antes de descuento)]]-Ventas[[#This Row],[total_venta]]</f>
        <v>0</v>
      </c>
    </row>
    <row r="2917" spans="1:18" x14ac:dyDescent="0.25">
      <c r="A2917" t="s">
        <v>3010</v>
      </c>
      <c r="B2917" s="1">
        <v>45524</v>
      </c>
      <c r="C2917" t="s">
        <v>61</v>
      </c>
      <c r="D2917" t="s">
        <v>38</v>
      </c>
      <c r="E2917">
        <v>3</v>
      </c>
      <c r="F2917" s="2">
        <v>19.989999999999998</v>
      </c>
      <c r="G2917">
        <v>15</v>
      </c>
      <c r="H2917" s="2">
        <v>16.989999999999998</v>
      </c>
      <c r="I2917" s="2">
        <v>50.97</v>
      </c>
      <c r="J2917" t="s">
        <v>62</v>
      </c>
      <c r="K2917" t="s">
        <v>52</v>
      </c>
      <c r="L2917" t="s">
        <v>32</v>
      </c>
      <c r="M2917" t="s">
        <v>39</v>
      </c>
      <c r="N2917" t="s">
        <v>40</v>
      </c>
      <c r="O2917" t="s">
        <v>35</v>
      </c>
      <c r="Q2917" s="2">
        <f>Ventas[[#This Row],[precio_base]]*Ventas[[#This Row],[cantidad]]</f>
        <v>59.97</v>
      </c>
      <c r="R2917" s="2">
        <f>Ventas[[#This Row],[Total bruto (antes de descuento)]]-Ventas[[#This Row],[total_venta]]</f>
        <v>9</v>
      </c>
    </row>
    <row r="2918" spans="1:18" x14ac:dyDescent="0.25">
      <c r="A2918" t="s">
        <v>3011</v>
      </c>
      <c r="B2918" s="1">
        <v>45311</v>
      </c>
      <c r="C2918" t="s">
        <v>156</v>
      </c>
      <c r="D2918" t="s">
        <v>27</v>
      </c>
      <c r="E2918">
        <v>1</v>
      </c>
      <c r="F2918" s="2">
        <v>49.99</v>
      </c>
      <c r="G2918">
        <v>0</v>
      </c>
      <c r="H2918" s="2">
        <v>49.99</v>
      </c>
      <c r="I2918" s="2">
        <v>49.99</v>
      </c>
      <c r="J2918" t="s">
        <v>51</v>
      </c>
      <c r="K2918" t="s">
        <v>44</v>
      </c>
      <c r="L2918" t="s">
        <v>45</v>
      </c>
      <c r="M2918" t="s">
        <v>120</v>
      </c>
      <c r="N2918" t="s">
        <v>23</v>
      </c>
      <c r="O2918" t="s">
        <v>24</v>
      </c>
      <c r="Q2918" s="2">
        <f>Ventas[[#This Row],[precio_base]]*Ventas[[#This Row],[cantidad]]</f>
        <v>49.99</v>
      </c>
      <c r="R2918" s="2">
        <f>Ventas[[#This Row],[Total bruto (antes de descuento)]]-Ventas[[#This Row],[total_venta]]</f>
        <v>0</v>
      </c>
    </row>
    <row r="2919" spans="1:18" x14ac:dyDescent="0.25">
      <c r="A2919" t="s">
        <v>3012</v>
      </c>
      <c r="B2919" s="1">
        <v>45023</v>
      </c>
      <c r="C2919" t="s">
        <v>163</v>
      </c>
      <c r="D2919" t="s">
        <v>18</v>
      </c>
      <c r="E2919">
        <v>2</v>
      </c>
      <c r="F2919" s="2">
        <v>499.99</v>
      </c>
      <c r="G2919">
        <v>5</v>
      </c>
      <c r="H2919" s="2">
        <v>474.99</v>
      </c>
      <c r="I2919" s="2">
        <v>949.98</v>
      </c>
      <c r="J2919" t="s">
        <v>19</v>
      </c>
      <c r="K2919" t="s">
        <v>44</v>
      </c>
      <c r="L2919" t="s">
        <v>32</v>
      </c>
      <c r="M2919" t="s">
        <v>73</v>
      </c>
      <c r="N2919" t="s">
        <v>74</v>
      </c>
      <c r="O2919" t="s">
        <v>35</v>
      </c>
      <c r="P2919">
        <v>5</v>
      </c>
      <c r="Q2919" s="2">
        <f>Ventas[[#This Row],[precio_base]]*Ventas[[#This Row],[cantidad]]</f>
        <v>999.98</v>
      </c>
      <c r="R2919" s="2">
        <f>Ventas[[#This Row],[Total bruto (antes de descuento)]]-Ventas[[#This Row],[total_venta]]</f>
        <v>50</v>
      </c>
    </row>
    <row r="2920" spans="1:18" x14ac:dyDescent="0.25">
      <c r="A2920" t="s">
        <v>3013</v>
      </c>
      <c r="B2920" s="1">
        <v>44951</v>
      </c>
      <c r="C2920" t="s">
        <v>81</v>
      </c>
      <c r="D2920" t="s">
        <v>31</v>
      </c>
      <c r="E2920">
        <v>2</v>
      </c>
      <c r="F2920" s="2">
        <v>189.99</v>
      </c>
      <c r="G2920">
        <v>0</v>
      </c>
      <c r="H2920" s="2">
        <v>189.99</v>
      </c>
      <c r="I2920" s="2">
        <v>379.98</v>
      </c>
      <c r="J2920" t="s">
        <v>90</v>
      </c>
      <c r="K2920" t="s">
        <v>44</v>
      </c>
      <c r="L2920" t="s">
        <v>45</v>
      </c>
      <c r="M2920" t="s">
        <v>67</v>
      </c>
      <c r="N2920" t="s">
        <v>68</v>
      </c>
      <c r="O2920" t="s">
        <v>35</v>
      </c>
      <c r="Q2920" s="2">
        <f>Ventas[[#This Row],[precio_base]]*Ventas[[#This Row],[cantidad]]</f>
        <v>379.98</v>
      </c>
      <c r="R2920" s="2">
        <f>Ventas[[#This Row],[Total bruto (antes de descuento)]]-Ventas[[#This Row],[total_venta]]</f>
        <v>0</v>
      </c>
    </row>
    <row r="2921" spans="1:18" x14ac:dyDescent="0.25">
      <c r="A2921" t="s">
        <v>3014</v>
      </c>
      <c r="B2921" s="1">
        <v>45286</v>
      </c>
      <c r="C2921" t="s">
        <v>17</v>
      </c>
      <c r="D2921" t="s">
        <v>18</v>
      </c>
      <c r="E2921">
        <v>4</v>
      </c>
      <c r="F2921" s="2">
        <v>45.99</v>
      </c>
      <c r="G2921">
        <v>0</v>
      </c>
      <c r="H2921" s="2">
        <v>45.99</v>
      </c>
      <c r="I2921" s="2">
        <v>183.96</v>
      </c>
      <c r="J2921" t="s">
        <v>19</v>
      </c>
      <c r="K2921" t="s">
        <v>44</v>
      </c>
      <c r="L2921" t="s">
        <v>21</v>
      </c>
      <c r="M2921" t="s">
        <v>95</v>
      </c>
      <c r="N2921" t="s">
        <v>96</v>
      </c>
      <c r="O2921" t="s">
        <v>48</v>
      </c>
      <c r="P2921">
        <v>5</v>
      </c>
      <c r="Q2921" s="2">
        <f>Ventas[[#This Row],[precio_base]]*Ventas[[#This Row],[cantidad]]</f>
        <v>183.96</v>
      </c>
      <c r="R2921" s="2">
        <f>Ventas[[#This Row],[Total bruto (antes de descuento)]]-Ventas[[#This Row],[total_venta]]</f>
        <v>0</v>
      </c>
    </row>
    <row r="2922" spans="1:18" x14ac:dyDescent="0.25">
      <c r="A2922" t="s">
        <v>3015</v>
      </c>
      <c r="B2922" s="1">
        <v>45522</v>
      </c>
      <c r="C2922" t="s">
        <v>122</v>
      </c>
      <c r="D2922" t="s">
        <v>43</v>
      </c>
      <c r="E2922">
        <v>1</v>
      </c>
      <c r="F2922" s="2">
        <v>44.99</v>
      </c>
      <c r="G2922">
        <v>0</v>
      </c>
      <c r="H2922" s="2">
        <v>44.99</v>
      </c>
      <c r="I2922" s="2">
        <v>44.99</v>
      </c>
      <c r="J2922" t="s">
        <v>62</v>
      </c>
      <c r="K2922" t="s">
        <v>52</v>
      </c>
      <c r="L2922" t="s">
        <v>152</v>
      </c>
      <c r="M2922" t="s">
        <v>65</v>
      </c>
      <c r="N2922" t="s">
        <v>54</v>
      </c>
      <c r="O2922" t="s">
        <v>35</v>
      </c>
      <c r="Q2922" s="2">
        <f>Ventas[[#This Row],[precio_base]]*Ventas[[#This Row],[cantidad]]</f>
        <v>44.99</v>
      </c>
      <c r="R2922" s="2">
        <f>Ventas[[#This Row],[Total bruto (antes de descuento)]]-Ventas[[#This Row],[total_venta]]</f>
        <v>0</v>
      </c>
    </row>
    <row r="2923" spans="1:18" x14ac:dyDescent="0.25">
      <c r="A2923" t="s">
        <v>3016</v>
      </c>
      <c r="B2923" s="1">
        <v>45646</v>
      </c>
      <c r="C2923" t="s">
        <v>83</v>
      </c>
      <c r="D2923" t="s">
        <v>38</v>
      </c>
      <c r="E2923">
        <v>5</v>
      </c>
      <c r="F2923" s="2">
        <v>49.99</v>
      </c>
      <c r="G2923">
        <v>20</v>
      </c>
      <c r="H2923" s="2">
        <v>39.99</v>
      </c>
      <c r="I2923" s="2">
        <v>199.95</v>
      </c>
      <c r="J2923" t="s">
        <v>19</v>
      </c>
      <c r="K2923" t="s">
        <v>20</v>
      </c>
      <c r="L2923" t="s">
        <v>45</v>
      </c>
      <c r="M2923" t="s">
        <v>120</v>
      </c>
      <c r="N2923" t="s">
        <v>23</v>
      </c>
      <c r="O2923" t="s">
        <v>24</v>
      </c>
      <c r="P2923">
        <v>5</v>
      </c>
      <c r="Q2923" s="2">
        <f>Ventas[[#This Row],[precio_base]]*Ventas[[#This Row],[cantidad]]</f>
        <v>249.95000000000002</v>
      </c>
      <c r="R2923" s="2">
        <f>Ventas[[#This Row],[Total bruto (antes de descuento)]]-Ventas[[#This Row],[total_venta]]</f>
        <v>50.000000000000028</v>
      </c>
    </row>
    <row r="2924" spans="1:18" x14ac:dyDescent="0.25">
      <c r="A2924" t="s">
        <v>3017</v>
      </c>
      <c r="B2924" s="1">
        <v>45617</v>
      </c>
      <c r="C2924" t="s">
        <v>37</v>
      </c>
      <c r="D2924" t="s">
        <v>38</v>
      </c>
      <c r="E2924">
        <v>2</v>
      </c>
      <c r="F2924" s="2">
        <v>34.99</v>
      </c>
      <c r="G2924">
        <v>0</v>
      </c>
      <c r="H2924" s="2">
        <v>34.99</v>
      </c>
      <c r="I2924" s="2">
        <v>69.98</v>
      </c>
      <c r="J2924" t="s">
        <v>19</v>
      </c>
      <c r="K2924" t="s">
        <v>52</v>
      </c>
      <c r="L2924" t="s">
        <v>45</v>
      </c>
      <c r="M2924" t="s">
        <v>46</v>
      </c>
      <c r="N2924" t="s">
        <v>47</v>
      </c>
      <c r="O2924" t="s">
        <v>48</v>
      </c>
      <c r="P2924">
        <v>3</v>
      </c>
      <c r="Q2924" s="2">
        <f>Ventas[[#This Row],[precio_base]]*Ventas[[#This Row],[cantidad]]</f>
        <v>69.98</v>
      </c>
      <c r="R2924" s="2">
        <f>Ventas[[#This Row],[Total bruto (antes de descuento)]]-Ventas[[#This Row],[total_venta]]</f>
        <v>0</v>
      </c>
    </row>
    <row r="2925" spans="1:18" x14ac:dyDescent="0.25">
      <c r="A2925" t="s">
        <v>3018</v>
      </c>
      <c r="B2925" s="1">
        <v>45246</v>
      </c>
      <c r="C2925" t="s">
        <v>151</v>
      </c>
      <c r="D2925" t="s">
        <v>27</v>
      </c>
      <c r="E2925">
        <v>3</v>
      </c>
      <c r="F2925" s="2">
        <v>599.99</v>
      </c>
      <c r="G2925">
        <v>0</v>
      </c>
      <c r="H2925" s="2">
        <v>599.99</v>
      </c>
      <c r="I2925" s="2">
        <v>1799.97</v>
      </c>
      <c r="J2925" t="s">
        <v>19</v>
      </c>
      <c r="K2925" t="s">
        <v>20</v>
      </c>
      <c r="L2925" t="s">
        <v>28</v>
      </c>
      <c r="M2925" t="s">
        <v>22</v>
      </c>
      <c r="N2925" t="s">
        <v>23</v>
      </c>
      <c r="O2925" t="s">
        <v>24</v>
      </c>
      <c r="P2925">
        <v>1</v>
      </c>
      <c r="Q2925" s="2">
        <f>Ventas[[#This Row],[precio_base]]*Ventas[[#This Row],[cantidad]]</f>
        <v>1799.97</v>
      </c>
      <c r="R2925" s="2">
        <f>Ventas[[#This Row],[Total bruto (antes de descuento)]]-Ventas[[#This Row],[total_venta]]</f>
        <v>0</v>
      </c>
    </row>
    <row r="2926" spans="1:18" x14ac:dyDescent="0.25">
      <c r="A2926" t="s">
        <v>3019</v>
      </c>
      <c r="B2926" s="1">
        <v>45505</v>
      </c>
      <c r="C2926" t="s">
        <v>17</v>
      </c>
      <c r="D2926" t="s">
        <v>18</v>
      </c>
      <c r="E2926">
        <v>5</v>
      </c>
      <c r="F2926" s="2">
        <v>45.99</v>
      </c>
      <c r="G2926">
        <v>0</v>
      </c>
      <c r="H2926" s="2">
        <v>45.99</v>
      </c>
      <c r="I2926" s="2">
        <v>229.95</v>
      </c>
      <c r="J2926" t="s">
        <v>19</v>
      </c>
      <c r="K2926" t="s">
        <v>52</v>
      </c>
      <c r="L2926" t="s">
        <v>21</v>
      </c>
      <c r="M2926" t="s">
        <v>33</v>
      </c>
      <c r="N2926" t="s">
        <v>34</v>
      </c>
      <c r="O2926" t="s">
        <v>35</v>
      </c>
      <c r="P2926">
        <v>4</v>
      </c>
      <c r="Q2926" s="2">
        <f>Ventas[[#This Row],[precio_base]]*Ventas[[#This Row],[cantidad]]</f>
        <v>229.95000000000002</v>
      </c>
      <c r="R2926" s="2">
        <f>Ventas[[#This Row],[Total bruto (antes de descuento)]]-Ventas[[#This Row],[total_venta]]</f>
        <v>0</v>
      </c>
    </row>
    <row r="2927" spans="1:18" x14ac:dyDescent="0.25">
      <c r="A2927" t="s">
        <v>3020</v>
      </c>
      <c r="B2927" s="1">
        <v>45234</v>
      </c>
      <c r="C2927" t="s">
        <v>94</v>
      </c>
      <c r="D2927" t="s">
        <v>18</v>
      </c>
      <c r="E2927">
        <v>1</v>
      </c>
      <c r="F2927" s="2">
        <v>899.99</v>
      </c>
      <c r="G2927">
        <v>5</v>
      </c>
      <c r="H2927" s="2">
        <v>854.99</v>
      </c>
      <c r="I2927" s="2">
        <v>854.99</v>
      </c>
      <c r="J2927" t="s">
        <v>19</v>
      </c>
      <c r="K2927" t="s">
        <v>52</v>
      </c>
      <c r="L2927" t="s">
        <v>152</v>
      </c>
      <c r="M2927" t="s">
        <v>84</v>
      </c>
      <c r="N2927" t="s">
        <v>85</v>
      </c>
      <c r="O2927" t="s">
        <v>35</v>
      </c>
      <c r="P2927">
        <v>2</v>
      </c>
      <c r="Q2927" s="2">
        <f>Ventas[[#This Row],[precio_base]]*Ventas[[#This Row],[cantidad]]</f>
        <v>899.99</v>
      </c>
      <c r="R2927" s="2">
        <f>Ventas[[#This Row],[Total bruto (antes de descuento)]]-Ventas[[#This Row],[total_venta]]</f>
        <v>45</v>
      </c>
    </row>
    <row r="2928" spans="1:18" x14ac:dyDescent="0.25">
      <c r="A2928" t="s">
        <v>3021</v>
      </c>
      <c r="B2928" s="1">
        <v>45329</v>
      </c>
      <c r="C2928" t="s">
        <v>156</v>
      </c>
      <c r="D2928" t="s">
        <v>27</v>
      </c>
      <c r="E2928">
        <v>2</v>
      </c>
      <c r="F2928" s="2">
        <v>49.99</v>
      </c>
      <c r="G2928">
        <v>20</v>
      </c>
      <c r="H2928" s="2">
        <v>39.99</v>
      </c>
      <c r="I2928" s="2">
        <v>79.98</v>
      </c>
      <c r="J2928" t="s">
        <v>19</v>
      </c>
      <c r="K2928" t="s">
        <v>57</v>
      </c>
      <c r="L2928" t="s">
        <v>21</v>
      </c>
      <c r="M2928" t="s">
        <v>123</v>
      </c>
      <c r="N2928" t="s">
        <v>124</v>
      </c>
      <c r="O2928" t="s">
        <v>24</v>
      </c>
      <c r="P2928">
        <v>3</v>
      </c>
      <c r="Q2928" s="2">
        <f>Ventas[[#This Row],[precio_base]]*Ventas[[#This Row],[cantidad]]</f>
        <v>99.98</v>
      </c>
      <c r="R2928" s="2">
        <f>Ventas[[#This Row],[Total bruto (antes de descuento)]]-Ventas[[#This Row],[total_venta]]</f>
        <v>20</v>
      </c>
    </row>
    <row r="2929" spans="1:18" x14ac:dyDescent="0.25">
      <c r="A2929" t="s">
        <v>3022</v>
      </c>
      <c r="B2929" s="1">
        <v>45449</v>
      </c>
      <c r="C2929" t="s">
        <v>37</v>
      </c>
      <c r="D2929" t="s">
        <v>38</v>
      </c>
      <c r="E2929">
        <v>3</v>
      </c>
      <c r="F2929" s="2">
        <v>34.99</v>
      </c>
      <c r="G2929">
        <v>5</v>
      </c>
      <c r="H2929" s="2">
        <v>33.24</v>
      </c>
      <c r="I2929" s="2">
        <v>99.72</v>
      </c>
      <c r="J2929" t="s">
        <v>90</v>
      </c>
      <c r="K2929" t="s">
        <v>44</v>
      </c>
      <c r="L2929" t="s">
        <v>21</v>
      </c>
      <c r="M2929" t="s">
        <v>46</v>
      </c>
      <c r="N2929" t="s">
        <v>47</v>
      </c>
      <c r="O2929" t="s">
        <v>48</v>
      </c>
      <c r="Q2929" s="2">
        <f>Ventas[[#This Row],[precio_base]]*Ventas[[#This Row],[cantidad]]</f>
        <v>104.97</v>
      </c>
      <c r="R2929" s="2">
        <f>Ventas[[#This Row],[Total bruto (antes de descuento)]]-Ventas[[#This Row],[total_venta]]</f>
        <v>5.25</v>
      </c>
    </row>
    <row r="2930" spans="1:18" x14ac:dyDescent="0.25">
      <c r="A2930" t="s">
        <v>3023</v>
      </c>
      <c r="B2930" s="1">
        <v>45514</v>
      </c>
      <c r="C2930" t="s">
        <v>87</v>
      </c>
      <c r="D2930" t="s">
        <v>27</v>
      </c>
      <c r="E2930">
        <v>4</v>
      </c>
      <c r="F2930" s="2">
        <v>249.99</v>
      </c>
      <c r="G2930">
        <v>0</v>
      </c>
      <c r="H2930" s="2">
        <v>249.99</v>
      </c>
      <c r="I2930" s="2">
        <v>999.96</v>
      </c>
      <c r="J2930" t="s">
        <v>19</v>
      </c>
      <c r="K2930" t="s">
        <v>20</v>
      </c>
      <c r="L2930" t="s">
        <v>32</v>
      </c>
      <c r="M2930" t="s">
        <v>63</v>
      </c>
      <c r="N2930" t="s">
        <v>34</v>
      </c>
      <c r="O2930" t="s">
        <v>24</v>
      </c>
      <c r="P2930">
        <v>2</v>
      </c>
      <c r="Q2930" s="2">
        <f>Ventas[[#This Row],[precio_base]]*Ventas[[#This Row],[cantidad]]</f>
        <v>999.96</v>
      </c>
      <c r="R2930" s="2">
        <f>Ventas[[#This Row],[Total bruto (antes de descuento)]]-Ventas[[#This Row],[total_venta]]</f>
        <v>0</v>
      </c>
    </row>
    <row r="2931" spans="1:18" x14ac:dyDescent="0.25">
      <c r="A2931" t="s">
        <v>3024</v>
      </c>
      <c r="B2931" s="1">
        <v>44994</v>
      </c>
      <c r="C2931" t="s">
        <v>205</v>
      </c>
      <c r="D2931" t="s">
        <v>18</v>
      </c>
      <c r="E2931">
        <v>2</v>
      </c>
      <c r="F2931" s="2">
        <v>129.99</v>
      </c>
      <c r="G2931">
        <v>15</v>
      </c>
      <c r="H2931" s="2">
        <v>110.49</v>
      </c>
      <c r="I2931" s="2">
        <v>220.98</v>
      </c>
      <c r="J2931" t="s">
        <v>51</v>
      </c>
      <c r="K2931" t="s">
        <v>52</v>
      </c>
      <c r="L2931" t="s">
        <v>21</v>
      </c>
      <c r="M2931" t="s">
        <v>73</v>
      </c>
      <c r="N2931" t="s">
        <v>74</v>
      </c>
      <c r="O2931" t="s">
        <v>35</v>
      </c>
      <c r="Q2931" s="2">
        <f>Ventas[[#This Row],[precio_base]]*Ventas[[#This Row],[cantidad]]</f>
        <v>259.98</v>
      </c>
      <c r="R2931" s="2">
        <f>Ventas[[#This Row],[Total bruto (antes de descuento)]]-Ventas[[#This Row],[total_venta]]</f>
        <v>39.000000000000028</v>
      </c>
    </row>
    <row r="2932" spans="1:18" x14ac:dyDescent="0.25">
      <c r="A2932" t="s">
        <v>3025</v>
      </c>
      <c r="B2932" s="1">
        <v>44941</v>
      </c>
      <c r="C2932" t="s">
        <v>89</v>
      </c>
      <c r="D2932" t="s">
        <v>38</v>
      </c>
      <c r="E2932">
        <v>3</v>
      </c>
      <c r="F2932" s="2">
        <v>69.989999999999995</v>
      </c>
      <c r="G2932">
        <v>0</v>
      </c>
      <c r="H2932" s="2">
        <v>69.989999999999995</v>
      </c>
      <c r="I2932" s="2">
        <v>209.97</v>
      </c>
      <c r="J2932" t="s">
        <v>62</v>
      </c>
      <c r="K2932" t="s">
        <v>20</v>
      </c>
      <c r="L2932" t="s">
        <v>21</v>
      </c>
      <c r="M2932" t="s">
        <v>39</v>
      </c>
      <c r="N2932" t="s">
        <v>40</v>
      </c>
      <c r="O2932" t="s">
        <v>35</v>
      </c>
      <c r="Q2932" s="2">
        <f>Ventas[[#This Row],[precio_base]]*Ventas[[#This Row],[cantidad]]</f>
        <v>209.96999999999997</v>
      </c>
      <c r="R2932" s="2">
        <f>Ventas[[#This Row],[Total bruto (antes de descuento)]]-Ventas[[#This Row],[total_venta]]</f>
        <v>0</v>
      </c>
    </row>
    <row r="2933" spans="1:18" x14ac:dyDescent="0.25">
      <c r="A2933" t="s">
        <v>3026</v>
      </c>
      <c r="B2933" s="1">
        <v>44945</v>
      </c>
      <c r="C2933" t="s">
        <v>50</v>
      </c>
      <c r="D2933" t="s">
        <v>27</v>
      </c>
      <c r="E2933">
        <v>5</v>
      </c>
      <c r="F2933" s="2">
        <v>149.99</v>
      </c>
      <c r="G2933">
        <v>5</v>
      </c>
      <c r="H2933" s="2">
        <v>142.49</v>
      </c>
      <c r="I2933" s="2">
        <v>712.45</v>
      </c>
      <c r="J2933" t="s">
        <v>19</v>
      </c>
      <c r="K2933" t="s">
        <v>44</v>
      </c>
      <c r="L2933" t="s">
        <v>152</v>
      </c>
      <c r="M2933" t="s">
        <v>58</v>
      </c>
      <c r="N2933" t="s">
        <v>59</v>
      </c>
      <c r="O2933" t="s">
        <v>24</v>
      </c>
      <c r="P2933">
        <v>4</v>
      </c>
      <c r="Q2933" s="2">
        <f>Ventas[[#This Row],[precio_base]]*Ventas[[#This Row],[cantidad]]</f>
        <v>749.95</v>
      </c>
      <c r="R2933" s="2">
        <f>Ventas[[#This Row],[Total bruto (antes de descuento)]]-Ventas[[#This Row],[total_venta]]</f>
        <v>37.5</v>
      </c>
    </row>
    <row r="2934" spans="1:18" x14ac:dyDescent="0.25">
      <c r="A2934" t="s">
        <v>3027</v>
      </c>
      <c r="B2934" s="1">
        <v>45172</v>
      </c>
      <c r="C2934" t="s">
        <v>26</v>
      </c>
      <c r="D2934" t="s">
        <v>27</v>
      </c>
      <c r="E2934">
        <v>1</v>
      </c>
      <c r="F2934" s="2">
        <v>399.99</v>
      </c>
      <c r="G2934">
        <v>10</v>
      </c>
      <c r="H2934" s="2">
        <v>359.99</v>
      </c>
      <c r="I2934" s="2">
        <v>359.99</v>
      </c>
      <c r="J2934" t="s">
        <v>19</v>
      </c>
      <c r="K2934" t="s">
        <v>44</v>
      </c>
      <c r="L2934" t="s">
        <v>28</v>
      </c>
      <c r="M2934" t="s">
        <v>65</v>
      </c>
      <c r="N2934" t="s">
        <v>54</v>
      </c>
      <c r="O2934" t="s">
        <v>35</v>
      </c>
      <c r="P2934">
        <v>5</v>
      </c>
      <c r="Q2934" s="2">
        <f>Ventas[[#This Row],[precio_base]]*Ventas[[#This Row],[cantidad]]</f>
        <v>399.99</v>
      </c>
      <c r="R2934" s="2">
        <f>Ventas[[#This Row],[Total bruto (antes de descuento)]]-Ventas[[#This Row],[total_venta]]</f>
        <v>40</v>
      </c>
    </row>
    <row r="2935" spans="1:18" x14ac:dyDescent="0.25">
      <c r="A2935" t="s">
        <v>3028</v>
      </c>
      <c r="B2935" s="1">
        <v>45019</v>
      </c>
      <c r="C2935" t="s">
        <v>17</v>
      </c>
      <c r="D2935" t="s">
        <v>18</v>
      </c>
      <c r="E2935">
        <v>3</v>
      </c>
      <c r="F2935" s="2">
        <v>45.99</v>
      </c>
      <c r="G2935">
        <v>0</v>
      </c>
      <c r="H2935" s="2">
        <v>45.99</v>
      </c>
      <c r="I2935" s="2">
        <v>137.97</v>
      </c>
      <c r="J2935" t="s">
        <v>19</v>
      </c>
      <c r="K2935" t="s">
        <v>20</v>
      </c>
      <c r="L2935" t="s">
        <v>152</v>
      </c>
      <c r="M2935" t="s">
        <v>46</v>
      </c>
      <c r="N2935" t="s">
        <v>47</v>
      </c>
      <c r="O2935" t="s">
        <v>48</v>
      </c>
      <c r="P2935">
        <v>1</v>
      </c>
      <c r="Q2935" s="2">
        <f>Ventas[[#This Row],[precio_base]]*Ventas[[#This Row],[cantidad]]</f>
        <v>137.97</v>
      </c>
      <c r="R2935" s="2">
        <f>Ventas[[#This Row],[Total bruto (antes de descuento)]]-Ventas[[#This Row],[total_venta]]</f>
        <v>0</v>
      </c>
    </row>
    <row r="2936" spans="1:18" x14ac:dyDescent="0.25">
      <c r="A2936" t="s">
        <v>3029</v>
      </c>
      <c r="B2936" s="1">
        <v>45320</v>
      </c>
      <c r="C2936" t="s">
        <v>26</v>
      </c>
      <c r="D2936" t="s">
        <v>27</v>
      </c>
      <c r="E2936">
        <v>2</v>
      </c>
      <c r="F2936" s="2">
        <v>399.99</v>
      </c>
      <c r="G2936">
        <v>20</v>
      </c>
      <c r="H2936" s="2">
        <v>319.99</v>
      </c>
      <c r="I2936" s="2">
        <v>639.98</v>
      </c>
      <c r="J2936" t="s">
        <v>19</v>
      </c>
      <c r="K2936" t="s">
        <v>44</v>
      </c>
      <c r="L2936" t="s">
        <v>152</v>
      </c>
      <c r="M2936" t="s">
        <v>73</v>
      </c>
      <c r="N2936" t="s">
        <v>74</v>
      </c>
      <c r="O2936" t="s">
        <v>35</v>
      </c>
      <c r="P2936">
        <v>5</v>
      </c>
      <c r="Q2936" s="2">
        <f>Ventas[[#This Row],[precio_base]]*Ventas[[#This Row],[cantidad]]</f>
        <v>799.98</v>
      </c>
      <c r="R2936" s="2">
        <f>Ventas[[#This Row],[Total bruto (antes de descuento)]]-Ventas[[#This Row],[total_venta]]</f>
        <v>160</v>
      </c>
    </row>
    <row r="2937" spans="1:18" x14ac:dyDescent="0.25">
      <c r="A2937" t="s">
        <v>3030</v>
      </c>
      <c r="B2937" s="1">
        <v>45616</v>
      </c>
      <c r="C2937" t="s">
        <v>50</v>
      </c>
      <c r="D2937" t="s">
        <v>27</v>
      </c>
      <c r="E2937">
        <v>5</v>
      </c>
      <c r="F2937" s="2">
        <v>149.99</v>
      </c>
      <c r="G2937">
        <v>15</v>
      </c>
      <c r="H2937" s="2">
        <v>127.49</v>
      </c>
      <c r="I2937" s="2">
        <v>637.45000000000005</v>
      </c>
      <c r="J2937" t="s">
        <v>19</v>
      </c>
      <c r="K2937" t="s">
        <v>44</v>
      </c>
      <c r="L2937" t="s">
        <v>45</v>
      </c>
      <c r="M2937" t="s">
        <v>84</v>
      </c>
      <c r="N2937" t="s">
        <v>85</v>
      </c>
      <c r="O2937" t="s">
        <v>35</v>
      </c>
      <c r="P2937">
        <v>5</v>
      </c>
      <c r="Q2937" s="2">
        <f>Ventas[[#This Row],[precio_base]]*Ventas[[#This Row],[cantidad]]</f>
        <v>749.95</v>
      </c>
      <c r="R2937" s="2">
        <f>Ventas[[#This Row],[Total bruto (antes de descuento)]]-Ventas[[#This Row],[total_venta]]</f>
        <v>112.5</v>
      </c>
    </row>
    <row r="2938" spans="1:18" x14ac:dyDescent="0.25">
      <c r="A2938" t="s">
        <v>3031</v>
      </c>
      <c r="B2938" s="1">
        <v>45271</v>
      </c>
      <c r="C2938" t="s">
        <v>83</v>
      </c>
      <c r="D2938" t="s">
        <v>38</v>
      </c>
      <c r="E2938">
        <v>5</v>
      </c>
      <c r="F2938" s="2">
        <v>49.99</v>
      </c>
      <c r="G2938">
        <v>20</v>
      </c>
      <c r="H2938" s="2">
        <v>39.99</v>
      </c>
      <c r="I2938" s="2">
        <v>199.95</v>
      </c>
      <c r="J2938" t="s">
        <v>90</v>
      </c>
      <c r="K2938" t="s">
        <v>52</v>
      </c>
      <c r="L2938" t="s">
        <v>45</v>
      </c>
      <c r="M2938" t="s">
        <v>67</v>
      </c>
      <c r="N2938" t="s">
        <v>68</v>
      </c>
      <c r="O2938" t="s">
        <v>35</v>
      </c>
      <c r="Q2938" s="2">
        <f>Ventas[[#This Row],[precio_base]]*Ventas[[#This Row],[cantidad]]</f>
        <v>249.95000000000002</v>
      </c>
      <c r="R2938" s="2">
        <f>Ventas[[#This Row],[Total bruto (antes de descuento)]]-Ventas[[#This Row],[total_venta]]</f>
        <v>50.000000000000028</v>
      </c>
    </row>
    <row r="2939" spans="1:18" x14ac:dyDescent="0.25">
      <c r="A2939" t="s">
        <v>3032</v>
      </c>
      <c r="B2939" s="1">
        <v>45418</v>
      </c>
      <c r="C2939" t="s">
        <v>61</v>
      </c>
      <c r="D2939" t="s">
        <v>38</v>
      </c>
      <c r="E2939">
        <v>4</v>
      </c>
      <c r="F2939" s="2">
        <v>19.989999999999998</v>
      </c>
      <c r="G2939">
        <v>0</v>
      </c>
      <c r="H2939" s="2">
        <v>19.989999999999998</v>
      </c>
      <c r="I2939" s="2">
        <v>79.959999999999994</v>
      </c>
      <c r="J2939" t="s">
        <v>19</v>
      </c>
      <c r="K2939" t="s">
        <v>52</v>
      </c>
      <c r="L2939" t="s">
        <v>32</v>
      </c>
      <c r="M2939" t="s">
        <v>46</v>
      </c>
      <c r="N2939" t="s">
        <v>47</v>
      </c>
      <c r="O2939" t="s">
        <v>48</v>
      </c>
      <c r="P2939">
        <v>5</v>
      </c>
      <c r="Q2939" s="2">
        <f>Ventas[[#This Row],[precio_base]]*Ventas[[#This Row],[cantidad]]</f>
        <v>79.959999999999994</v>
      </c>
      <c r="R2939" s="2">
        <f>Ventas[[#This Row],[Total bruto (antes de descuento)]]-Ventas[[#This Row],[total_venta]]</f>
        <v>0</v>
      </c>
    </row>
    <row r="2940" spans="1:18" x14ac:dyDescent="0.25">
      <c r="A2940" t="s">
        <v>3033</v>
      </c>
      <c r="B2940" s="1">
        <v>45454</v>
      </c>
      <c r="C2940" t="s">
        <v>61</v>
      </c>
      <c r="D2940" t="s">
        <v>38</v>
      </c>
      <c r="E2940">
        <v>2</v>
      </c>
      <c r="F2940" s="2">
        <v>19.989999999999998</v>
      </c>
      <c r="G2940">
        <v>0</v>
      </c>
      <c r="H2940" s="2">
        <v>19.989999999999998</v>
      </c>
      <c r="I2940" s="2">
        <v>39.979999999999997</v>
      </c>
      <c r="J2940" t="s">
        <v>19</v>
      </c>
      <c r="K2940" t="s">
        <v>20</v>
      </c>
      <c r="L2940" t="s">
        <v>32</v>
      </c>
      <c r="M2940" t="s">
        <v>53</v>
      </c>
      <c r="N2940" t="s">
        <v>54</v>
      </c>
      <c r="O2940" t="s">
        <v>35</v>
      </c>
      <c r="P2940">
        <v>4</v>
      </c>
      <c r="Q2940" s="2">
        <f>Ventas[[#This Row],[precio_base]]*Ventas[[#This Row],[cantidad]]</f>
        <v>39.979999999999997</v>
      </c>
      <c r="R2940" s="2">
        <f>Ventas[[#This Row],[Total bruto (antes de descuento)]]-Ventas[[#This Row],[total_venta]]</f>
        <v>0</v>
      </c>
    </row>
    <row r="2941" spans="1:18" x14ac:dyDescent="0.25">
      <c r="A2941" t="s">
        <v>3034</v>
      </c>
      <c r="B2941" s="1">
        <v>45011</v>
      </c>
      <c r="C2941" t="s">
        <v>122</v>
      </c>
      <c r="D2941" t="s">
        <v>43</v>
      </c>
      <c r="E2941">
        <v>1</v>
      </c>
      <c r="F2941" s="2">
        <v>44.99</v>
      </c>
      <c r="G2941">
        <v>10</v>
      </c>
      <c r="H2941" s="2">
        <v>40.49</v>
      </c>
      <c r="I2941" s="2">
        <v>40.49</v>
      </c>
      <c r="J2941" t="s">
        <v>62</v>
      </c>
      <c r="K2941" t="s">
        <v>20</v>
      </c>
      <c r="L2941" t="s">
        <v>28</v>
      </c>
      <c r="M2941" t="s">
        <v>123</v>
      </c>
      <c r="N2941" t="s">
        <v>124</v>
      </c>
      <c r="O2941" t="s">
        <v>24</v>
      </c>
      <c r="Q2941" s="2">
        <f>Ventas[[#This Row],[precio_base]]*Ventas[[#This Row],[cantidad]]</f>
        <v>44.99</v>
      </c>
      <c r="R2941" s="2">
        <f>Ventas[[#This Row],[Total bruto (antes de descuento)]]-Ventas[[#This Row],[total_venta]]</f>
        <v>4.5</v>
      </c>
    </row>
    <row r="2942" spans="1:18" x14ac:dyDescent="0.25">
      <c r="A2942" t="s">
        <v>3035</v>
      </c>
      <c r="B2942" s="1">
        <v>45588</v>
      </c>
      <c r="C2942" t="s">
        <v>89</v>
      </c>
      <c r="D2942" t="s">
        <v>38</v>
      </c>
      <c r="E2942">
        <v>3</v>
      </c>
      <c r="F2942" s="2">
        <v>69.989999999999995</v>
      </c>
      <c r="G2942">
        <v>0</v>
      </c>
      <c r="H2942" s="2">
        <v>69.989999999999995</v>
      </c>
      <c r="I2942" s="2">
        <v>209.97</v>
      </c>
      <c r="J2942" t="s">
        <v>19</v>
      </c>
      <c r="K2942" t="s">
        <v>44</v>
      </c>
      <c r="L2942" t="s">
        <v>32</v>
      </c>
      <c r="M2942" t="s">
        <v>39</v>
      </c>
      <c r="N2942" t="s">
        <v>40</v>
      </c>
      <c r="O2942" t="s">
        <v>35</v>
      </c>
      <c r="P2942">
        <v>2</v>
      </c>
      <c r="Q2942" s="2">
        <f>Ventas[[#This Row],[precio_base]]*Ventas[[#This Row],[cantidad]]</f>
        <v>209.96999999999997</v>
      </c>
      <c r="R2942" s="2">
        <f>Ventas[[#This Row],[Total bruto (antes de descuento)]]-Ventas[[#This Row],[total_venta]]</f>
        <v>0</v>
      </c>
    </row>
    <row r="2943" spans="1:18" x14ac:dyDescent="0.25">
      <c r="A2943" t="s">
        <v>3036</v>
      </c>
      <c r="B2943" s="1">
        <v>44945</v>
      </c>
      <c r="C2943" t="s">
        <v>115</v>
      </c>
      <c r="D2943" t="s">
        <v>18</v>
      </c>
      <c r="E2943">
        <v>3</v>
      </c>
      <c r="F2943" s="2">
        <v>799.99</v>
      </c>
      <c r="G2943">
        <v>20</v>
      </c>
      <c r="H2943" s="2">
        <v>639.99</v>
      </c>
      <c r="I2943" s="2">
        <v>1919.97</v>
      </c>
      <c r="J2943" t="s">
        <v>62</v>
      </c>
      <c r="K2943" t="s">
        <v>20</v>
      </c>
      <c r="L2943" t="s">
        <v>21</v>
      </c>
      <c r="M2943" t="s">
        <v>46</v>
      </c>
      <c r="N2943" t="s">
        <v>47</v>
      </c>
      <c r="O2943" t="s">
        <v>48</v>
      </c>
      <c r="Q2943" s="2">
        <f>Ventas[[#This Row],[precio_base]]*Ventas[[#This Row],[cantidad]]</f>
        <v>2399.9700000000003</v>
      </c>
      <c r="R2943" s="2">
        <f>Ventas[[#This Row],[Total bruto (antes de descuento)]]-Ventas[[#This Row],[total_venta]]</f>
        <v>480.00000000000023</v>
      </c>
    </row>
    <row r="2944" spans="1:18" x14ac:dyDescent="0.25">
      <c r="A2944" t="s">
        <v>3037</v>
      </c>
      <c r="B2944" s="1">
        <v>45171</v>
      </c>
      <c r="C2944" t="s">
        <v>61</v>
      </c>
      <c r="D2944" t="s">
        <v>38</v>
      </c>
      <c r="E2944">
        <v>4</v>
      </c>
      <c r="F2944" s="2">
        <v>19.989999999999998</v>
      </c>
      <c r="G2944">
        <v>5</v>
      </c>
      <c r="H2944" s="2">
        <v>18.989999999999998</v>
      </c>
      <c r="I2944" s="2">
        <v>75.959999999999994</v>
      </c>
      <c r="J2944" t="s">
        <v>19</v>
      </c>
      <c r="K2944" t="s">
        <v>20</v>
      </c>
      <c r="L2944" t="s">
        <v>45</v>
      </c>
      <c r="M2944" t="s">
        <v>123</v>
      </c>
      <c r="N2944" t="s">
        <v>124</v>
      </c>
      <c r="O2944" t="s">
        <v>24</v>
      </c>
      <c r="P2944">
        <v>5</v>
      </c>
      <c r="Q2944" s="2">
        <f>Ventas[[#This Row],[precio_base]]*Ventas[[#This Row],[cantidad]]</f>
        <v>79.959999999999994</v>
      </c>
      <c r="R2944" s="2">
        <f>Ventas[[#This Row],[Total bruto (antes de descuento)]]-Ventas[[#This Row],[total_venta]]</f>
        <v>4</v>
      </c>
    </row>
    <row r="2945" spans="1:18" x14ac:dyDescent="0.25">
      <c r="A2945" t="s">
        <v>3038</v>
      </c>
      <c r="B2945" s="1">
        <v>45183</v>
      </c>
      <c r="C2945" t="s">
        <v>83</v>
      </c>
      <c r="D2945" t="s">
        <v>38</v>
      </c>
      <c r="E2945">
        <v>5</v>
      </c>
      <c r="F2945" s="2">
        <v>49.99</v>
      </c>
      <c r="G2945">
        <v>15</v>
      </c>
      <c r="H2945" s="2">
        <v>42.49</v>
      </c>
      <c r="I2945" s="2">
        <v>212.45</v>
      </c>
      <c r="J2945" t="s">
        <v>19</v>
      </c>
      <c r="K2945" t="s">
        <v>20</v>
      </c>
      <c r="L2945" t="s">
        <v>21</v>
      </c>
      <c r="M2945" t="s">
        <v>120</v>
      </c>
      <c r="N2945" t="s">
        <v>23</v>
      </c>
      <c r="O2945" t="s">
        <v>24</v>
      </c>
      <c r="P2945">
        <v>1</v>
      </c>
      <c r="Q2945" s="2">
        <f>Ventas[[#This Row],[precio_base]]*Ventas[[#This Row],[cantidad]]</f>
        <v>249.95000000000002</v>
      </c>
      <c r="R2945" s="2">
        <f>Ventas[[#This Row],[Total bruto (antes de descuento)]]-Ventas[[#This Row],[total_venta]]</f>
        <v>37.500000000000028</v>
      </c>
    </row>
    <row r="2946" spans="1:18" x14ac:dyDescent="0.25">
      <c r="A2946" t="s">
        <v>3039</v>
      </c>
      <c r="B2946" s="1">
        <v>45024</v>
      </c>
      <c r="C2946" t="s">
        <v>94</v>
      </c>
      <c r="D2946" t="s">
        <v>18</v>
      </c>
      <c r="E2946">
        <v>5</v>
      </c>
      <c r="F2946" s="2">
        <v>899.99</v>
      </c>
      <c r="G2946">
        <v>0</v>
      </c>
      <c r="H2946" s="2">
        <v>899.99</v>
      </c>
      <c r="I2946" s="2">
        <v>4499.95</v>
      </c>
      <c r="J2946" t="s">
        <v>19</v>
      </c>
      <c r="K2946" t="s">
        <v>44</v>
      </c>
      <c r="L2946" t="s">
        <v>32</v>
      </c>
      <c r="M2946" t="s">
        <v>73</v>
      </c>
      <c r="N2946" t="s">
        <v>74</v>
      </c>
      <c r="O2946" t="s">
        <v>35</v>
      </c>
      <c r="P2946">
        <v>5</v>
      </c>
      <c r="Q2946" s="2">
        <f>Ventas[[#This Row],[precio_base]]*Ventas[[#This Row],[cantidad]]</f>
        <v>4499.95</v>
      </c>
      <c r="R2946" s="2">
        <f>Ventas[[#This Row],[Total bruto (antes de descuento)]]-Ventas[[#This Row],[total_venta]]</f>
        <v>0</v>
      </c>
    </row>
    <row r="2947" spans="1:18" x14ac:dyDescent="0.25">
      <c r="A2947" t="s">
        <v>3040</v>
      </c>
      <c r="B2947" s="1">
        <v>45020</v>
      </c>
      <c r="C2947" t="s">
        <v>30</v>
      </c>
      <c r="D2947" t="s">
        <v>31</v>
      </c>
      <c r="E2947">
        <v>5</v>
      </c>
      <c r="F2947" s="2">
        <v>299.99</v>
      </c>
      <c r="G2947">
        <v>0</v>
      </c>
      <c r="H2947" s="2">
        <v>299.99</v>
      </c>
      <c r="I2947" s="2">
        <v>1499.95</v>
      </c>
      <c r="J2947" t="s">
        <v>90</v>
      </c>
      <c r="K2947" t="s">
        <v>20</v>
      </c>
      <c r="L2947" t="s">
        <v>45</v>
      </c>
      <c r="M2947" t="s">
        <v>73</v>
      </c>
      <c r="N2947" t="s">
        <v>74</v>
      </c>
      <c r="O2947" t="s">
        <v>35</v>
      </c>
      <c r="Q2947" s="2">
        <f>Ventas[[#This Row],[precio_base]]*Ventas[[#This Row],[cantidad]]</f>
        <v>1499.95</v>
      </c>
      <c r="R2947" s="2">
        <f>Ventas[[#This Row],[Total bruto (antes de descuento)]]-Ventas[[#This Row],[total_venta]]</f>
        <v>0</v>
      </c>
    </row>
    <row r="2948" spans="1:18" x14ac:dyDescent="0.25">
      <c r="A2948" t="s">
        <v>3041</v>
      </c>
      <c r="B2948" s="1">
        <v>45222</v>
      </c>
      <c r="C2948" t="s">
        <v>104</v>
      </c>
      <c r="D2948" t="s">
        <v>18</v>
      </c>
      <c r="E2948">
        <v>2</v>
      </c>
      <c r="F2948" s="2">
        <v>1199.99</v>
      </c>
      <c r="G2948">
        <v>5</v>
      </c>
      <c r="H2948" s="2">
        <v>1139.99</v>
      </c>
      <c r="I2948" s="2">
        <v>2279.98</v>
      </c>
      <c r="J2948" t="s">
        <v>19</v>
      </c>
      <c r="K2948" t="s">
        <v>20</v>
      </c>
      <c r="L2948" t="s">
        <v>32</v>
      </c>
      <c r="M2948" t="s">
        <v>65</v>
      </c>
      <c r="N2948" t="s">
        <v>54</v>
      </c>
      <c r="O2948" t="s">
        <v>35</v>
      </c>
      <c r="P2948">
        <v>4</v>
      </c>
      <c r="Q2948" s="2">
        <f>Ventas[[#This Row],[precio_base]]*Ventas[[#This Row],[cantidad]]</f>
        <v>2399.98</v>
      </c>
      <c r="R2948" s="2">
        <f>Ventas[[#This Row],[Total bruto (antes de descuento)]]-Ventas[[#This Row],[total_venta]]</f>
        <v>120</v>
      </c>
    </row>
    <row r="2949" spans="1:18" x14ac:dyDescent="0.25">
      <c r="A2949" t="s">
        <v>3042</v>
      </c>
      <c r="B2949" s="1">
        <v>45195</v>
      </c>
      <c r="C2949" t="s">
        <v>30</v>
      </c>
      <c r="D2949" t="s">
        <v>31</v>
      </c>
      <c r="E2949">
        <v>3</v>
      </c>
      <c r="F2949" s="2">
        <v>299.99</v>
      </c>
      <c r="G2949">
        <v>0</v>
      </c>
      <c r="H2949" s="2">
        <v>299.99</v>
      </c>
      <c r="I2949" s="2">
        <v>899.97</v>
      </c>
      <c r="J2949" t="s">
        <v>19</v>
      </c>
      <c r="K2949" t="s">
        <v>52</v>
      </c>
      <c r="L2949" t="s">
        <v>28</v>
      </c>
      <c r="M2949" t="s">
        <v>39</v>
      </c>
      <c r="N2949" t="s">
        <v>40</v>
      </c>
      <c r="O2949" t="s">
        <v>35</v>
      </c>
      <c r="P2949">
        <v>2</v>
      </c>
      <c r="Q2949" s="2">
        <f>Ventas[[#This Row],[precio_base]]*Ventas[[#This Row],[cantidad]]</f>
        <v>899.97</v>
      </c>
      <c r="R2949" s="2">
        <f>Ventas[[#This Row],[Total bruto (antes de descuento)]]-Ventas[[#This Row],[total_venta]]</f>
        <v>0</v>
      </c>
    </row>
    <row r="2950" spans="1:18" x14ac:dyDescent="0.25">
      <c r="A2950" t="s">
        <v>3043</v>
      </c>
      <c r="B2950" s="1">
        <v>45348</v>
      </c>
      <c r="C2950" t="s">
        <v>83</v>
      </c>
      <c r="D2950" t="s">
        <v>38</v>
      </c>
      <c r="E2950">
        <v>2</v>
      </c>
      <c r="F2950" s="2">
        <v>49.99</v>
      </c>
      <c r="G2950">
        <v>0</v>
      </c>
      <c r="H2950" s="2">
        <v>49.99</v>
      </c>
      <c r="I2950" s="2">
        <v>99.98</v>
      </c>
      <c r="J2950" t="s">
        <v>19</v>
      </c>
      <c r="K2950" t="s">
        <v>20</v>
      </c>
      <c r="L2950" t="s">
        <v>21</v>
      </c>
      <c r="M2950" t="s">
        <v>101</v>
      </c>
      <c r="N2950" t="s">
        <v>102</v>
      </c>
      <c r="O2950" t="s">
        <v>35</v>
      </c>
      <c r="P2950">
        <v>2</v>
      </c>
      <c r="Q2950" s="2">
        <f>Ventas[[#This Row],[precio_base]]*Ventas[[#This Row],[cantidad]]</f>
        <v>99.98</v>
      </c>
      <c r="R2950" s="2">
        <f>Ventas[[#This Row],[Total bruto (antes de descuento)]]-Ventas[[#This Row],[total_venta]]</f>
        <v>0</v>
      </c>
    </row>
    <row r="2951" spans="1:18" x14ac:dyDescent="0.25">
      <c r="A2951" t="s">
        <v>3044</v>
      </c>
      <c r="B2951" s="1">
        <v>45561</v>
      </c>
      <c r="C2951" t="s">
        <v>17</v>
      </c>
      <c r="D2951" t="s">
        <v>18</v>
      </c>
      <c r="E2951">
        <v>5</v>
      </c>
      <c r="F2951" s="2">
        <v>45.99</v>
      </c>
      <c r="G2951">
        <v>0</v>
      </c>
      <c r="H2951" s="2">
        <v>45.99</v>
      </c>
      <c r="I2951" s="2">
        <v>229.95</v>
      </c>
      <c r="J2951" t="s">
        <v>19</v>
      </c>
      <c r="K2951" t="s">
        <v>20</v>
      </c>
      <c r="L2951" t="s">
        <v>21</v>
      </c>
      <c r="M2951" t="s">
        <v>123</v>
      </c>
      <c r="N2951" t="s">
        <v>124</v>
      </c>
      <c r="O2951" t="s">
        <v>24</v>
      </c>
      <c r="P2951">
        <v>4</v>
      </c>
      <c r="Q2951" s="2">
        <f>Ventas[[#This Row],[precio_base]]*Ventas[[#This Row],[cantidad]]</f>
        <v>229.95000000000002</v>
      </c>
      <c r="R2951" s="2">
        <f>Ventas[[#This Row],[Total bruto (antes de descuento)]]-Ventas[[#This Row],[total_venta]]</f>
        <v>0</v>
      </c>
    </row>
    <row r="2952" spans="1:18" x14ac:dyDescent="0.25">
      <c r="A2952" t="s">
        <v>3045</v>
      </c>
      <c r="B2952" s="1">
        <v>44998</v>
      </c>
      <c r="C2952" t="s">
        <v>72</v>
      </c>
      <c r="D2952" t="s">
        <v>31</v>
      </c>
      <c r="E2952">
        <v>2</v>
      </c>
      <c r="F2952" s="2">
        <v>29.99</v>
      </c>
      <c r="G2952">
        <v>20</v>
      </c>
      <c r="H2952" s="2">
        <v>23.99</v>
      </c>
      <c r="I2952" s="2">
        <v>47.98</v>
      </c>
      <c r="J2952" t="s">
        <v>51</v>
      </c>
      <c r="K2952" t="s">
        <v>20</v>
      </c>
      <c r="L2952" t="s">
        <v>21</v>
      </c>
      <c r="M2952" t="s">
        <v>123</v>
      </c>
      <c r="N2952" t="s">
        <v>124</v>
      </c>
      <c r="O2952" t="s">
        <v>24</v>
      </c>
      <c r="Q2952" s="2">
        <f>Ventas[[#This Row],[precio_base]]*Ventas[[#This Row],[cantidad]]</f>
        <v>59.98</v>
      </c>
      <c r="R2952" s="2">
        <f>Ventas[[#This Row],[Total bruto (antes de descuento)]]-Ventas[[#This Row],[total_venta]]</f>
        <v>12</v>
      </c>
    </row>
    <row r="2953" spans="1:18" x14ac:dyDescent="0.25">
      <c r="A2953" t="s">
        <v>3046</v>
      </c>
      <c r="B2953" s="1">
        <v>45608</v>
      </c>
      <c r="C2953" t="s">
        <v>42</v>
      </c>
      <c r="D2953" t="s">
        <v>43</v>
      </c>
      <c r="E2953">
        <v>4</v>
      </c>
      <c r="F2953" s="2">
        <v>349.99</v>
      </c>
      <c r="G2953">
        <v>0</v>
      </c>
      <c r="H2953" s="2">
        <v>349.99</v>
      </c>
      <c r="I2953" s="2">
        <v>1399.96</v>
      </c>
      <c r="J2953" t="s">
        <v>62</v>
      </c>
      <c r="K2953" t="s">
        <v>44</v>
      </c>
      <c r="L2953" t="s">
        <v>21</v>
      </c>
      <c r="M2953" t="s">
        <v>46</v>
      </c>
      <c r="N2953" t="s">
        <v>47</v>
      </c>
      <c r="O2953" t="s">
        <v>48</v>
      </c>
      <c r="Q2953" s="2">
        <f>Ventas[[#This Row],[precio_base]]*Ventas[[#This Row],[cantidad]]</f>
        <v>1399.96</v>
      </c>
      <c r="R2953" s="2">
        <f>Ventas[[#This Row],[Total bruto (antes de descuento)]]-Ventas[[#This Row],[total_venta]]</f>
        <v>0</v>
      </c>
    </row>
    <row r="2954" spans="1:18" x14ac:dyDescent="0.25">
      <c r="A2954" t="s">
        <v>3047</v>
      </c>
      <c r="B2954" s="1">
        <v>44983</v>
      </c>
      <c r="C2954" t="s">
        <v>61</v>
      </c>
      <c r="D2954" t="s">
        <v>38</v>
      </c>
      <c r="E2954">
        <v>4</v>
      </c>
      <c r="F2954" s="2">
        <v>19.989999999999998</v>
      </c>
      <c r="G2954">
        <v>5</v>
      </c>
      <c r="H2954" s="2">
        <v>18.989999999999998</v>
      </c>
      <c r="I2954" s="2">
        <v>75.959999999999994</v>
      </c>
      <c r="J2954" t="s">
        <v>19</v>
      </c>
      <c r="K2954" t="s">
        <v>20</v>
      </c>
      <c r="L2954" t="s">
        <v>21</v>
      </c>
      <c r="M2954" t="s">
        <v>95</v>
      </c>
      <c r="N2954" t="s">
        <v>96</v>
      </c>
      <c r="O2954" t="s">
        <v>48</v>
      </c>
      <c r="P2954">
        <v>2</v>
      </c>
      <c r="Q2954" s="2">
        <f>Ventas[[#This Row],[precio_base]]*Ventas[[#This Row],[cantidad]]</f>
        <v>79.959999999999994</v>
      </c>
      <c r="R2954" s="2">
        <f>Ventas[[#This Row],[Total bruto (antes de descuento)]]-Ventas[[#This Row],[total_venta]]</f>
        <v>4</v>
      </c>
    </row>
    <row r="2955" spans="1:18" x14ac:dyDescent="0.25">
      <c r="A2955" t="s">
        <v>3048</v>
      </c>
      <c r="B2955" s="1">
        <v>45396</v>
      </c>
      <c r="C2955" t="s">
        <v>56</v>
      </c>
      <c r="D2955" t="s">
        <v>18</v>
      </c>
      <c r="E2955">
        <v>1</v>
      </c>
      <c r="F2955" s="2">
        <v>89.99</v>
      </c>
      <c r="G2955">
        <v>0</v>
      </c>
      <c r="H2955" s="2">
        <v>89.99</v>
      </c>
      <c r="I2955" s="2">
        <v>89.99</v>
      </c>
      <c r="J2955" t="s">
        <v>51</v>
      </c>
      <c r="K2955" t="s">
        <v>52</v>
      </c>
      <c r="L2955" t="s">
        <v>21</v>
      </c>
      <c r="M2955" t="s">
        <v>84</v>
      </c>
      <c r="N2955" t="s">
        <v>85</v>
      </c>
      <c r="O2955" t="s">
        <v>35</v>
      </c>
      <c r="Q2955" s="2">
        <f>Ventas[[#This Row],[precio_base]]*Ventas[[#This Row],[cantidad]]</f>
        <v>89.99</v>
      </c>
      <c r="R2955" s="2">
        <f>Ventas[[#This Row],[Total bruto (antes de descuento)]]-Ventas[[#This Row],[total_venta]]</f>
        <v>0</v>
      </c>
    </row>
    <row r="2956" spans="1:18" x14ac:dyDescent="0.25">
      <c r="A2956" t="s">
        <v>3049</v>
      </c>
      <c r="B2956" s="1">
        <v>45057</v>
      </c>
      <c r="C2956" t="s">
        <v>26</v>
      </c>
      <c r="D2956" t="s">
        <v>27</v>
      </c>
      <c r="E2956">
        <v>4</v>
      </c>
      <c r="F2956" s="2">
        <v>399.99</v>
      </c>
      <c r="G2956">
        <v>0</v>
      </c>
      <c r="H2956" s="2">
        <v>399.99</v>
      </c>
      <c r="I2956" s="2">
        <v>1599.96</v>
      </c>
      <c r="J2956" t="s">
        <v>19</v>
      </c>
      <c r="K2956" t="s">
        <v>20</v>
      </c>
      <c r="L2956" t="s">
        <v>152</v>
      </c>
      <c r="M2956" t="s">
        <v>63</v>
      </c>
      <c r="N2956" t="s">
        <v>34</v>
      </c>
      <c r="O2956" t="s">
        <v>24</v>
      </c>
      <c r="P2956">
        <v>5</v>
      </c>
      <c r="Q2956" s="2">
        <f>Ventas[[#This Row],[precio_base]]*Ventas[[#This Row],[cantidad]]</f>
        <v>1599.96</v>
      </c>
      <c r="R2956" s="2">
        <f>Ventas[[#This Row],[Total bruto (antes de descuento)]]-Ventas[[#This Row],[total_venta]]</f>
        <v>0</v>
      </c>
    </row>
    <row r="2957" spans="1:18" x14ac:dyDescent="0.25">
      <c r="A2957" t="s">
        <v>3050</v>
      </c>
      <c r="B2957" s="1">
        <v>45310</v>
      </c>
      <c r="C2957" t="s">
        <v>104</v>
      </c>
      <c r="D2957" t="s">
        <v>18</v>
      </c>
      <c r="E2957">
        <v>4</v>
      </c>
      <c r="F2957" s="2">
        <v>1199.99</v>
      </c>
      <c r="G2957">
        <v>15</v>
      </c>
      <c r="H2957" s="2">
        <v>1019.99</v>
      </c>
      <c r="I2957" s="2">
        <v>4079.96</v>
      </c>
      <c r="J2957" t="s">
        <v>19</v>
      </c>
      <c r="K2957" t="s">
        <v>20</v>
      </c>
      <c r="L2957" t="s">
        <v>152</v>
      </c>
      <c r="M2957" t="s">
        <v>39</v>
      </c>
      <c r="N2957" t="s">
        <v>40</v>
      </c>
      <c r="O2957" t="s">
        <v>35</v>
      </c>
      <c r="P2957">
        <v>3</v>
      </c>
      <c r="Q2957" s="2">
        <f>Ventas[[#This Row],[precio_base]]*Ventas[[#This Row],[cantidad]]</f>
        <v>4799.96</v>
      </c>
      <c r="R2957" s="2">
        <f>Ventas[[#This Row],[Total bruto (antes de descuento)]]-Ventas[[#This Row],[total_venta]]</f>
        <v>720</v>
      </c>
    </row>
    <row r="2958" spans="1:18" x14ac:dyDescent="0.25">
      <c r="A2958" t="s">
        <v>3051</v>
      </c>
      <c r="B2958" s="1">
        <v>45246</v>
      </c>
      <c r="C2958" t="s">
        <v>109</v>
      </c>
      <c r="D2958" t="s">
        <v>38</v>
      </c>
      <c r="E2958">
        <v>1</v>
      </c>
      <c r="F2958" s="2">
        <v>39.99</v>
      </c>
      <c r="G2958">
        <v>0</v>
      </c>
      <c r="H2958" s="2">
        <v>39.99</v>
      </c>
      <c r="I2958" s="2">
        <v>39.99</v>
      </c>
      <c r="J2958" t="s">
        <v>51</v>
      </c>
      <c r="K2958" t="s">
        <v>20</v>
      </c>
      <c r="L2958" t="s">
        <v>45</v>
      </c>
      <c r="M2958" t="s">
        <v>53</v>
      </c>
      <c r="N2958" t="s">
        <v>54</v>
      </c>
      <c r="O2958" t="s">
        <v>35</v>
      </c>
      <c r="Q2958" s="2">
        <f>Ventas[[#This Row],[precio_base]]*Ventas[[#This Row],[cantidad]]</f>
        <v>39.99</v>
      </c>
      <c r="R2958" s="2">
        <f>Ventas[[#This Row],[Total bruto (antes de descuento)]]-Ventas[[#This Row],[total_venta]]</f>
        <v>0</v>
      </c>
    </row>
    <row r="2959" spans="1:18" x14ac:dyDescent="0.25">
      <c r="A2959" t="s">
        <v>3052</v>
      </c>
      <c r="B2959" s="1">
        <v>45151</v>
      </c>
      <c r="C2959" t="s">
        <v>42</v>
      </c>
      <c r="D2959" t="s">
        <v>43</v>
      </c>
      <c r="E2959">
        <v>3</v>
      </c>
      <c r="F2959" s="2">
        <v>349.99</v>
      </c>
      <c r="G2959">
        <v>5</v>
      </c>
      <c r="H2959" s="2">
        <v>332.49</v>
      </c>
      <c r="I2959" s="2">
        <v>997.47</v>
      </c>
      <c r="J2959" t="s">
        <v>62</v>
      </c>
      <c r="K2959" t="s">
        <v>20</v>
      </c>
      <c r="L2959" t="s">
        <v>21</v>
      </c>
      <c r="M2959" t="s">
        <v>46</v>
      </c>
      <c r="N2959" t="s">
        <v>47</v>
      </c>
      <c r="O2959" t="s">
        <v>48</v>
      </c>
      <c r="Q2959" s="2">
        <f>Ventas[[#This Row],[precio_base]]*Ventas[[#This Row],[cantidad]]</f>
        <v>1049.97</v>
      </c>
      <c r="R2959" s="2">
        <f>Ventas[[#This Row],[Total bruto (antes de descuento)]]-Ventas[[#This Row],[total_venta]]</f>
        <v>52.5</v>
      </c>
    </row>
    <row r="2960" spans="1:18" x14ac:dyDescent="0.25">
      <c r="A2960" t="s">
        <v>3053</v>
      </c>
      <c r="B2960" s="1">
        <v>45169</v>
      </c>
      <c r="C2960" t="s">
        <v>104</v>
      </c>
      <c r="D2960" t="s">
        <v>18</v>
      </c>
      <c r="E2960">
        <v>3</v>
      </c>
      <c r="F2960" s="2">
        <v>1199.99</v>
      </c>
      <c r="G2960">
        <v>5</v>
      </c>
      <c r="H2960" s="2">
        <v>1139.99</v>
      </c>
      <c r="I2960" s="2">
        <v>3419.97</v>
      </c>
      <c r="J2960" t="s">
        <v>51</v>
      </c>
      <c r="K2960" t="s">
        <v>44</v>
      </c>
      <c r="L2960" t="s">
        <v>21</v>
      </c>
      <c r="M2960" t="s">
        <v>39</v>
      </c>
      <c r="N2960" t="s">
        <v>40</v>
      </c>
      <c r="O2960" t="s">
        <v>35</v>
      </c>
      <c r="Q2960" s="2">
        <f>Ventas[[#This Row],[precio_base]]*Ventas[[#This Row],[cantidad]]</f>
        <v>3599.9700000000003</v>
      </c>
      <c r="R2960" s="2">
        <f>Ventas[[#This Row],[Total bruto (antes de descuento)]]-Ventas[[#This Row],[total_venta]]</f>
        <v>180.00000000000045</v>
      </c>
    </row>
    <row r="2961" spans="1:18" x14ac:dyDescent="0.25">
      <c r="A2961" t="s">
        <v>3054</v>
      </c>
      <c r="B2961" s="1">
        <v>45243</v>
      </c>
      <c r="C2961" t="s">
        <v>92</v>
      </c>
      <c r="D2961" t="s">
        <v>27</v>
      </c>
      <c r="E2961">
        <v>2</v>
      </c>
      <c r="F2961" s="2">
        <v>79.989999999999995</v>
      </c>
      <c r="G2961">
        <v>0</v>
      </c>
      <c r="H2961" s="2">
        <v>79.989999999999995</v>
      </c>
      <c r="I2961" s="2">
        <v>159.97999999999999</v>
      </c>
      <c r="J2961" t="s">
        <v>19</v>
      </c>
      <c r="K2961" t="s">
        <v>57</v>
      </c>
      <c r="L2961" t="s">
        <v>21</v>
      </c>
      <c r="M2961" t="s">
        <v>65</v>
      </c>
      <c r="N2961" t="s">
        <v>54</v>
      </c>
      <c r="O2961" t="s">
        <v>35</v>
      </c>
      <c r="P2961">
        <v>4</v>
      </c>
      <c r="Q2961" s="2">
        <f>Ventas[[#This Row],[precio_base]]*Ventas[[#This Row],[cantidad]]</f>
        <v>159.97999999999999</v>
      </c>
      <c r="R2961" s="2">
        <f>Ventas[[#This Row],[Total bruto (antes de descuento)]]-Ventas[[#This Row],[total_venta]]</f>
        <v>0</v>
      </c>
    </row>
    <row r="2962" spans="1:18" x14ac:dyDescent="0.25">
      <c r="A2962" t="s">
        <v>3055</v>
      </c>
      <c r="B2962" s="1">
        <v>45474</v>
      </c>
      <c r="C2962" t="s">
        <v>205</v>
      </c>
      <c r="D2962" t="s">
        <v>18</v>
      </c>
      <c r="E2962">
        <v>2</v>
      </c>
      <c r="F2962" s="2">
        <v>129.99</v>
      </c>
      <c r="G2962">
        <v>0</v>
      </c>
      <c r="H2962" s="2">
        <v>129.99</v>
      </c>
      <c r="I2962" s="2">
        <v>259.98</v>
      </c>
      <c r="J2962" t="s">
        <v>51</v>
      </c>
      <c r="K2962" t="s">
        <v>44</v>
      </c>
      <c r="L2962" t="s">
        <v>32</v>
      </c>
      <c r="M2962" t="s">
        <v>84</v>
      </c>
      <c r="N2962" t="s">
        <v>85</v>
      </c>
      <c r="O2962" t="s">
        <v>35</v>
      </c>
      <c r="Q2962" s="2">
        <f>Ventas[[#This Row],[precio_base]]*Ventas[[#This Row],[cantidad]]</f>
        <v>259.98</v>
      </c>
      <c r="R2962" s="2">
        <f>Ventas[[#This Row],[Total bruto (antes de descuento)]]-Ventas[[#This Row],[total_venta]]</f>
        <v>0</v>
      </c>
    </row>
    <row r="2963" spans="1:18" x14ac:dyDescent="0.25">
      <c r="A2963" t="s">
        <v>3056</v>
      </c>
      <c r="B2963" s="1">
        <v>45611</v>
      </c>
      <c r="C2963" t="s">
        <v>205</v>
      </c>
      <c r="D2963" t="s">
        <v>18</v>
      </c>
      <c r="E2963">
        <v>4</v>
      </c>
      <c r="F2963" s="2">
        <v>129.99</v>
      </c>
      <c r="G2963">
        <v>5</v>
      </c>
      <c r="H2963" s="2">
        <v>123.49</v>
      </c>
      <c r="I2963" s="2">
        <v>493.96</v>
      </c>
      <c r="J2963" t="s">
        <v>116</v>
      </c>
      <c r="K2963" t="s">
        <v>20</v>
      </c>
      <c r="L2963" t="s">
        <v>45</v>
      </c>
      <c r="M2963" t="s">
        <v>65</v>
      </c>
      <c r="N2963" t="s">
        <v>54</v>
      </c>
      <c r="O2963" t="s">
        <v>35</v>
      </c>
      <c r="Q2963" s="2">
        <f>Ventas[[#This Row],[precio_base]]*Ventas[[#This Row],[cantidad]]</f>
        <v>519.96</v>
      </c>
      <c r="R2963" s="2">
        <f>Ventas[[#This Row],[Total bruto (antes de descuento)]]-Ventas[[#This Row],[total_venta]]</f>
        <v>26.000000000000057</v>
      </c>
    </row>
    <row r="2964" spans="1:18" x14ac:dyDescent="0.25">
      <c r="A2964" t="s">
        <v>3057</v>
      </c>
      <c r="B2964" s="1">
        <v>45323</v>
      </c>
      <c r="C2964" t="s">
        <v>122</v>
      </c>
      <c r="D2964" t="s">
        <v>43</v>
      </c>
      <c r="E2964">
        <v>3</v>
      </c>
      <c r="F2964" s="2">
        <v>44.99</v>
      </c>
      <c r="G2964">
        <v>15</v>
      </c>
      <c r="H2964" s="2">
        <v>38.24</v>
      </c>
      <c r="I2964" s="2">
        <v>114.72</v>
      </c>
      <c r="J2964" t="s">
        <v>51</v>
      </c>
      <c r="K2964" t="s">
        <v>52</v>
      </c>
      <c r="L2964" t="s">
        <v>21</v>
      </c>
      <c r="M2964" t="s">
        <v>63</v>
      </c>
      <c r="N2964" t="s">
        <v>34</v>
      </c>
      <c r="O2964" t="s">
        <v>24</v>
      </c>
      <c r="Q2964" s="2">
        <f>Ventas[[#This Row],[precio_base]]*Ventas[[#This Row],[cantidad]]</f>
        <v>134.97</v>
      </c>
      <c r="R2964" s="2">
        <f>Ventas[[#This Row],[Total bruto (antes de descuento)]]-Ventas[[#This Row],[total_venta]]</f>
        <v>20.25</v>
      </c>
    </row>
    <row r="2965" spans="1:18" x14ac:dyDescent="0.25">
      <c r="A2965" t="s">
        <v>3058</v>
      </c>
      <c r="B2965" s="1">
        <v>45005</v>
      </c>
      <c r="C2965" t="s">
        <v>122</v>
      </c>
      <c r="D2965" t="s">
        <v>43</v>
      </c>
      <c r="E2965">
        <v>5</v>
      </c>
      <c r="F2965" s="2">
        <v>44.99</v>
      </c>
      <c r="G2965">
        <v>5</v>
      </c>
      <c r="H2965" s="2">
        <v>42.74</v>
      </c>
      <c r="I2965" s="2">
        <v>213.7</v>
      </c>
      <c r="J2965" t="s">
        <v>62</v>
      </c>
      <c r="K2965" t="s">
        <v>52</v>
      </c>
      <c r="L2965" t="s">
        <v>45</v>
      </c>
      <c r="M2965" t="s">
        <v>120</v>
      </c>
      <c r="N2965" t="s">
        <v>23</v>
      </c>
      <c r="O2965" t="s">
        <v>24</v>
      </c>
      <c r="Q2965" s="2">
        <f>Ventas[[#This Row],[precio_base]]*Ventas[[#This Row],[cantidad]]</f>
        <v>224.95000000000002</v>
      </c>
      <c r="R2965" s="2">
        <f>Ventas[[#This Row],[Total bruto (antes de descuento)]]-Ventas[[#This Row],[total_venta]]</f>
        <v>11.250000000000028</v>
      </c>
    </row>
    <row r="2966" spans="1:18" x14ac:dyDescent="0.25">
      <c r="A2966" t="s">
        <v>3059</v>
      </c>
      <c r="B2966" s="1">
        <v>45203</v>
      </c>
      <c r="C2966" t="s">
        <v>70</v>
      </c>
      <c r="D2966" t="s">
        <v>31</v>
      </c>
      <c r="E2966">
        <v>5</v>
      </c>
      <c r="F2966" s="2">
        <v>59.99</v>
      </c>
      <c r="G2966">
        <v>0</v>
      </c>
      <c r="H2966" s="2">
        <v>59.99</v>
      </c>
      <c r="I2966" s="2">
        <v>299.95</v>
      </c>
      <c r="J2966" t="s">
        <v>19</v>
      </c>
      <c r="K2966" t="s">
        <v>20</v>
      </c>
      <c r="L2966" t="s">
        <v>21</v>
      </c>
      <c r="M2966" t="s">
        <v>67</v>
      </c>
      <c r="N2966" t="s">
        <v>68</v>
      </c>
      <c r="O2966" t="s">
        <v>35</v>
      </c>
      <c r="P2966">
        <v>1</v>
      </c>
      <c r="Q2966" s="2">
        <f>Ventas[[#This Row],[precio_base]]*Ventas[[#This Row],[cantidad]]</f>
        <v>299.95</v>
      </c>
      <c r="R2966" s="2">
        <f>Ventas[[#This Row],[Total bruto (antes de descuento)]]-Ventas[[#This Row],[total_venta]]</f>
        <v>0</v>
      </c>
    </row>
    <row r="2967" spans="1:18" x14ac:dyDescent="0.25">
      <c r="A2967" t="s">
        <v>3060</v>
      </c>
      <c r="B2967" s="1">
        <v>45581</v>
      </c>
      <c r="C2967" t="s">
        <v>115</v>
      </c>
      <c r="D2967" t="s">
        <v>18</v>
      </c>
      <c r="E2967">
        <v>3</v>
      </c>
      <c r="F2967" s="2">
        <v>799.99</v>
      </c>
      <c r="G2967">
        <v>0</v>
      </c>
      <c r="H2967" s="2">
        <v>799.99</v>
      </c>
      <c r="I2967" s="2">
        <v>2399.9699999999998</v>
      </c>
      <c r="J2967" t="s">
        <v>19</v>
      </c>
      <c r="K2967" t="s">
        <v>20</v>
      </c>
      <c r="L2967" t="s">
        <v>45</v>
      </c>
      <c r="M2967" t="s">
        <v>53</v>
      </c>
      <c r="N2967" t="s">
        <v>54</v>
      </c>
      <c r="O2967" t="s">
        <v>35</v>
      </c>
      <c r="P2967">
        <v>5</v>
      </c>
      <c r="Q2967" s="2">
        <f>Ventas[[#This Row],[precio_base]]*Ventas[[#This Row],[cantidad]]</f>
        <v>2399.9700000000003</v>
      </c>
      <c r="R2967" s="2">
        <f>Ventas[[#This Row],[Total bruto (antes de descuento)]]-Ventas[[#This Row],[total_venta]]</f>
        <v>0</v>
      </c>
    </row>
    <row r="2968" spans="1:18" x14ac:dyDescent="0.25">
      <c r="A2968" t="s">
        <v>3061</v>
      </c>
      <c r="B2968" s="1">
        <v>45506</v>
      </c>
      <c r="C2968" t="s">
        <v>92</v>
      </c>
      <c r="D2968" t="s">
        <v>27</v>
      </c>
      <c r="E2968">
        <v>3</v>
      </c>
      <c r="F2968" s="2">
        <v>79.989999999999995</v>
      </c>
      <c r="G2968">
        <v>0</v>
      </c>
      <c r="H2968" s="2">
        <v>79.989999999999995</v>
      </c>
      <c r="I2968" s="2">
        <v>239.97</v>
      </c>
      <c r="J2968" t="s">
        <v>19</v>
      </c>
      <c r="K2968" t="s">
        <v>52</v>
      </c>
      <c r="L2968" t="s">
        <v>32</v>
      </c>
      <c r="M2968" t="s">
        <v>123</v>
      </c>
      <c r="N2968" t="s">
        <v>124</v>
      </c>
      <c r="O2968" t="s">
        <v>24</v>
      </c>
      <c r="P2968">
        <v>3</v>
      </c>
      <c r="Q2968" s="2">
        <f>Ventas[[#This Row],[precio_base]]*Ventas[[#This Row],[cantidad]]</f>
        <v>239.96999999999997</v>
      </c>
      <c r="R2968" s="2">
        <f>Ventas[[#This Row],[Total bruto (antes de descuento)]]-Ventas[[#This Row],[total_venta]]</f>
        <v>0</v>
      </c>
    </row>
    <row r="2969" spans="1:18" x14ac:dyDescent="0.25">
      <c r="A2969" t="s">
        <v>3062</v>
      </c>
      <c r="B2969" s="1">
        <v>44981</v>
      </c>
      <c r="C2969" t="s">
        <v>83</v>
      </c>
      <c r="D2969" t="s">
        <v>38</v>
      </c>
      <c r="E2969">
        <v>4</v>
      </c>
      <c r="F2969" s="2">
        <v>49.99</v>
      </c>
      <c r="G2969">
        <v>15</v>
      </c>
      <c r="H2969" s="2">
        <v>42.49</v>
      </c>
      <c r="I2969" s="2">
        <v>169.96</v>
      </c>
      <c r="J2969" t="s">
        <v>51</v>
      </c>
      <c r="K2969" t="s">
        <v>20</v>
      </c>
      <c r="L2969" t="s">
        <v>21</v>
      </c>
      <c r="M2969" t="s">
        <v>65</v>
      </c>
      <c r="N2969" t="s">
        <v>54</v>
      </c>
      <c r="O2969" t="s">
        <v>35</v>
      </c>
      <c r="Q2969" s="2">
        <f>Ventas[[#This Row],[precio_base]]*Ventas[[#This Row],[cantidad]]</f>
        <v>199.96</v>
      </c>
      <c r="R2969" s="2">
        <f>Ventas[[#This Row],[Total bruto (antes de descuento)]]-Ventas[[#This Row],[total_venta]]</f>
        <v>30</v>
      </c>
    </row>
    <row r="2970" spans="1:18" x14ac:dyDescent="0.25">
      <c r="A2970" t="s">
        <v>3063</v>
      </c>
      <c r="B2970" s="1">
        <v>45015</v>
      </c>
      <c r="C2970" t="s">
        <v>141</v>
      </c>
      <c r="D2970" t="s">
        <v>38</v>
      </c>
      <c r="E2970">
        <v>4</v>
      </c>
      <c r="F2970" s="2">
        <v>89.99</v>
      </c>
      <c r="G2970">
        <v>20</v>
      </c>
      <c r="H2970" s="2">
        <v>71.989999999999995</v>
      </c>
      <c r="I2970" s="2">
        <v>287.95999999999998</v>
      </c>
      <c r="J2970" t="s">
        <v>19</v>
      </c>
      <c r="K2970" t="s">
        <v>52</v>
      </c>
      <c r="L2970" t="s">
        <v>21</v>
      </c>
      <c r="M2970" t="s">
        <v>84</v>
      </c>
      <c r="N2970" t="s">
        <v>85</v>
      </c>
      <c r="O2970" t="s">
        <v>35</v>
      </c>
      <c r="P2970">
        <v>3</v>
      </c>
      <c r="Q2970" s="2">
        <f>Ventas[[#This Row],[precio_base]]*Ventas[[#This Row],[cantidad]]</f>
        <v>359.96</v>
      </c>
      <c r="R2970" s="2">
        <f>Ventas[[#This Row],[Total bruto (antes de descuento)]]-Ventas[[#This Row],[total_venta]]</f>
        <v>72</v>
      </c>
    </row>
    <row r="2971" spans="1:18" x14ac:dyDescent="0.25">
      <c r="A2971" t="s">
        <v>3064</v>
      </c>
      <c r="B2971" s="1">
        <v>45515</v>
      </c>
      <c r="C2971" t="s">
        <v>70</v>
      </c>
      <c r="D2971" t="s">
        <v>31</v>
      </c>
      <c r="E2971">
        <v>2</v>
      </c>
      <c r="F2971" s="2">
        <v>59.99</v>
      </c>
      <c r="G2971">
        <v>0</v>
      </c>
      <c r="H2971" s="2">
        <v>59.99</v>
      </c>
      <c r="I2971" s="2">
        <v>119.98</v>
      </c>
      <c r="J2971" t="s">
        <v>116</v>
      </c>
      <c r="K2971" t="s">
        <v>44</v>
      </c>
      <c r="L2971" t="s">
        <v>32</v>
      </c>
      <c r="M2971" t="s">
        <v>73</v>
      </c>
      <c r="N2971" t="s">
        <v>74</v>
      </c>
      <c r="O2971" t="s">
        <v>35</v>
      </c>
      <c r="Q2971" s="2">
        <f>Ventas[[#This Row],[precio_base]]*Ventas[[#This Row],[cantidad]]</f>
        <v>119.98</v>
      </c>
      <c r="R2971" s="2">
        <f>Ventas[[#This Row],[Total bruto (antes de descuento)]]-Ventas[[#This Row],[total_venta]]</f>
        <v>0</v>
      </c>
    </row>
    <row r="2972" spans="1:18" x14ac:dyDescent="0.25">
      <c r="A2972" t="s">
        <v>3065</v>
      </c>
      <c r="B2972" s="1">
        <v>45585</v>
      </c>
      <c r="C2972" t="s">
        <v>143</v>
      </c>
      <c r="D2972" t="s">
        <v>43</v>
      </c>
      <c r="E2972">
        <v>1</v>
      </c>
      <c r="F2972" s="2">
        <v>34.99</v>
      </c>
      <c r="G2972">
        <v>20</v>
      </c>
      <c r="H2972" s="2">
        <v>27.99</v>
      </c>
      <c r="I2972" s="2">
        <v>27.99</v>
      </c>
      <c r="J2972" t="s">
        <v>19</v>
      </c>
      <c r="K2972" t="s">
        <v>44</v>
      </c>
      <c r="L2972" t="s">
        <v>45</v>
      </c>
      <c r="M2972" t="s">
        <v>73</v>
      </c>
      <c r="N2972" t="s">
        <v>74</v>
      </c>
      <c r="O2972" t="s">
        <v>35</v>
      </c>
      <c r="P2972">
        <v>2</v>
      </c>
      <c r="Q2972" s="2">
        <f>Ventas[[#This Row],[precio_base]]*Ventas[[#This Row],[cantidad]]</f>
        <v>34.99</v>
      </c>
      <c r="R2972" s="2">
        <f>Ventas[[#This Row],[Total bruto (antes de descuento)]]-Ventas[[#This Row],[total_venta]]</f>
        <v>7.0000000000000036</v>
      </c>
    </row>
    <row r="2973" spans="1:18" x14ac:dyDescent="0.25">
      <c r="A2973" t="s">
        <v>3066</v>
      </c>
      <c r="B2973" s="1">
        <v>45486</v>
      </c>
      <c r="C2973" t="s">
        <v>50</v>
      </c>
      <c r="D2973" t="s">
        <v>27</v>
      </c>
      <c r="E2973">
        <v>1</v>
      </c>
      <c r="F2973" s="2">
        <v>149.99</v>
      </c>
      <c r="G2973">
        <v>10</v>
      </c>
      <c r="H2973" s="2">
        <v>134.99</v>
      </c>
      <c r="I2973" s="2">
        <v>134.99</v>
      </c>
      <c r="J2973" t="s">
        <v>19</v>
      </c>
      <c r="K2973" t="s">
        <v>20</v>
      </c>
      <c r="L2973" t="s">
        <v>28</v>
      </c>
      <c r="M2973" t="s">
        <v>22</v>
      </c>
      <c r="N2973" t="s">
        <v>23</v>
      </c>
      <c r="O2973" t="s">
        <v>24</v>
      </c>
      <c r="P2973">
        <v>2</v>
      </c>
      <c r="Q2973" s="2">
        <f>Ventas[[#This Row],[precio_base]]*Ventas[[#This Row],[cantidad]]</f>
        <v>149.99</v>
      </c>
      <c r="R2973" s="2">
        <f>Ventas[[#This Row],[Total bruto (antes de descuento)]]-Ventas[[#This Row],[total_venta]]</f>
        <v>15</v>
      </c>
    </row>
    <row r="2974" spans="1:18" x14ac:dyDescent="0.25">
      <c r="A2974" t="s">
        <v>3067</v>
      </c>
      <c r="B2974" s="1">
        <v>45241</v>
      </c>
      <c r="C2974" t="s">
        <v>163</v>
      </c>
      <c r="D2974" t="s">
        <v>18</v>
      </c>
      <c r="E2974">
        <v>3</v>
      </c>
      <c r="F2974" s="2">
        <v>499.99</v>
      </c>
      <c r="G2974">
        <v>15</v>
      </c>
      <c r="H2974" s="2">
        <v>424.99</v>
      </c>
      <c r="I2974" s="2">
        <v>1274.97</v>
      </c>
      <c r="J2974" t="s">
        <v>19</v>
      </c>
      <c r="K2974" t="s">
        <v>44</v>
      </c>
      <c r="L2974" t="s">
        <v>32</v>
      </c>
      <c r="M2974" t="s">
        <v>58</v>
      </c>
      <c r="N2974" t="s">
        <v>59</v>
      </c>
      <c r="O2974" t="s">
        <v>24</v>
      </c>
      <c r="P2974">
        <v>2</v>
      </c>
      <c r="Q2974" s="2">
        <f>Ventas[[#This Row],[precio_base]]*Ventas[[#This Row],[cantidad]]</f>
        <v>1499.97</v>
      </c>
      <c r="R2974" s="2">
        <f>Ventas[[#This Row],[Total bruto (antes de descuento)]]-Ventas[[#This Row],[total_venta]]</f>
        <v>225</v>
      </c>
    </row>
    <row r="2975" spans="1:18" x14ac:dyDescent="0.25">
      <c r="A2975" t="s">
        <v>3068</v>
      </c>
      <c r="B2975" s="1">
        <v>44993</v>
      </c>
      <c r="C2975" t="s">
        <v>87</v>
      </c>
      <c r="D2975" t="s">
        <v>27</v>
      </c>
      <c r="E2975">
        <v>5</v>
      </c>
      <c r="F2975" s="2">
        <v>249.99</v>
      </c>
      <c r="G2975">
        <v>0</v>
      </c>
      <c r="H2975" s="2">
        <v>249.99</v>
      </c>
      <c r="I2975" s="2">
        <v>1249.95</v>
      </c>
      <c r="J2975" t="s">
        <v>19</v>
      </c>
      <c r="K2975" t="s">
        <v>44</v>
      </c>
      <c r="L2975" t="s">
        <v>152</v>
      </c>
      <c r="M2975" t="s">
        <v>120</v>
      </c>
      <c r="N2975" t="s">
        <v>23</v>
      </c>
      <c r="O2975" t="s">
        <v>24</v>
      </c>
      <c r="P2975">
        <v>4</v>
      </c>
      <c r="Q2975" s="2">
        <f>Ventas[[#This Row],[precio_base]]*Ventas[[#This Row],[cantidad]]</f>
        <v>1249.95</v>
      </c>
      <c r="R2975" s="2">
        <f>Ventas[[#This Row],[Total bruto (antes de descuento)]]-Ventas[[#This Row],[total_venta]]</f>
        <v>0</v>
      </c>
    </row>
    <row r="2976" spans="1:18" x14ac:dyDescent="0.25">
      <c r="A2976" t="s">
        <v>3069</v>
      </c>
      <c r="B2976" s="1">
        <v>45192</v>
      </c>
      <c r="C2976" t="s">
        <v>42</v>
      </c>
      <c r="D2976" t="s">
        <v>43</v>
      </c>
      <c r="E2976">
        <v>1</v>
      </c>
      <c r="F2976" s="2">
        <v>349.99</v>
      </c>
      <c r="G2976">
        <v>0</v>
      </c>
      <c r="H2976" s="2">
        <v>349.99</v>
      </c>
      <c r="I2976" s="2">
        <v>349.99</v>
      </c>
      <c r="J2976" t="s">
        <v>62</v>
      </c>
      <c r="K2976" t="s">
        <v>20</v>
      </c>
      <c r="L2976" t="s">
        <v>21</v>
      </c>
      <c r="M2976" t="s">
        <v>67</v>
      </c>
      <c r="N2976" t="s">
        <v>68</v>
      </c>
      <c r="O2976" t="s">
        <v>35</v>
      </c>
      <c r="Q2976" s="2">
        <f>Ventas[[#This Row],[precio_base]]*Ventas[[#This Row],[cantidad]]</f>
        <v>349.99</v>
      </c>
      <c r="R2976" s="2">
        <f>Ventas[[#This Row],[Total bruto (antes de descuento)]]-Ventas[[#This Row],[total_venta]]</f>
        <v>0</v>
      </c>
    </row>
    <row r="2977" spans="1:18" x14ac:dyDescent="0.25">
      <c r="A2977" t="s">
        <v>3070</v>
      </c>
      <c r="B2977" s="1">
        <v>45020</v>
      </c>
      <c r="C2977" t="s">
        <v>205</v>
      </c>
      <c r="D2977" t="s">
        <v>18</v>
      </c>
      <c r="E2977">
        <v>3</v>
      </c>
      <c r="F2977" s="2">
        <v>129.99</v>
      </c>
      <c r="G2977">
        <v>0</v>
      </c>
      <c r="H2977" s="2">
        <v>129.99</v>
      </c>
      <c r="I2977" s="2">
        <v>389.97</v>
      </c>
      <c r="J2977" t="s">
        <v>19</v>
      </c>
      <c r="K2977" t="s">
        <v>20</v>
      </c>
      <c r="L2977" t="s">
        <v>32</v>
      </c>
      <c r="M2977" t="s">
        <v>84</v>
      </c>
      <c r="N2977" t="s">
        <v>85</v>
      </c>
      <c r="O2977" t="s">
        <v>35</v>
      </c>
      <c r="P2977">
        <v>2</v>
      </c>
      <c r="Q2977" s="2">
        <f>Ventas[[#This Row],[precio_base]]*Ventas[[#This Row],[cantidad]]</f>
        <v>389.97</v>
      </c>
      <c r="R2977" s="2">
        <f>Ventas[[#This Row],[Total bruto (antes de descuento)]]-Ventas[[#This Row],[total_venta]]</f>
        <v>0</v>
      </c>
    </row>
    <row r="2978" spans="1:18" x14ac:dyDescent="0.25">
      <c r="A2978" t="s">
        <v>3071</v>
      </c>
      <c r="B2978" s="1">
        <v>45180</v>
      </c>
      <c r="C2978" t="s">
        <v>42</v>
      </c>
      <c r="D2978" t="s">
        <v>43</v>
      </c>
      <c r="E2978">
        <v>1</v>
      </c>
      <c r="F2978" s="2">
        <v>349.99</v>
      </c>
      <c r="G2978">
        <v>0</v>
      </c>
      <c r="H2978" s="2">
        <v>349.99</v>
      </c>
      <c r="I2978" s="2">
        <v>349.99</v>
      </c>
      <c r="J2978" t="s">
        <v>51</v>
      </c>
      <c r="K2978" t="s">
        <v>20</v>
      </c>
      <c r="L2978" t="s">
        <v>28</v>
      </c>
      <c r="M2978" t="s">
        <v>46</v>
      </c>
      <c r="N2978" t="s">
        <v>47</v>
      </c>
      <c r="O2978" t="s">
        <v>48</v>
      </c>
      <c r="Q2978" s="2">
        <f>Ventas[[#This Row],[precio_base]]*Ventas[[#This Row],[cantidad]]</f>
        <v>349.99</v>
      </c>
      <c r="R2978" s="2">
        <f>Ventas[[#This Row],[Total bruto (antes de descuento)]]-Ventas[[#This Row],[total_venta]]</f>
        <v>0</v>
      </c>
    </row>
    <row r="2979" spans="1:18" x14ac:dyDescent="0.25">
      <c r="A2979" t="s">
        <v>3072</v>
      </c>
      <c r="B2979" s="1">
        <v>45467</v>
      </c>
      <c r="C2979" t="s">
        <v>37</v>
      </c>
      <c r="D2979" t="s">
        <v>38</v>
      </c>
      <c r="E2979">
        <v>1</v>
      </c>
      <c r="F2979" s="2">
        <v>34.99</v>
      </c>
      <c r="G2979">
        <v>20</v>
      </c>
      <c r="H2979" s="2">
        <v>27.99</v>
      </c>
      <c r="I2979" s="2">
        <v>27.99</v>
      </c>
      <c r="J2979" t="s">
        <v>90</v>
      </c>
      <c r="K2979" t="s">
        <v>20</v>
      </c>
      <c r="L2979" t="s">
        <v>28</v>
      </c>
      <c r="M2979" t="s">
        <v>101</v>
      </c>
      <c r="N2979" t="s">
        <v>102</v>
      </c>
      <c r="O2979" t="s">
        <v>35</v>
      </c>
      <c r="Q2979" s="2">
        <f>Ventas[[#This Row],[precio_base]]*Ventas[[#This Row],[cantidad]]</f>
        <v>34.99</v>
      </c>
      <c r="R2979" s="2">
        <f>Ventas[[#This Row],[Total bruto (antes de descuento)]]-Ventas[[#This Row],[total_venta]]</f>
        <v>7.0000000000000036</v>
      </c>
    </row>
    <row r="2980" spans="1:18" x14ac:dyDescent="0.25">
      <c r="A2980" t="s">
        <v>3073</v>
      </c>
      <c r="B2980" s="1">
        <v>45584</v>
      </c>
      <c r="C2980" t="s">
        <v>42</v>
      </c>
      <c r="D2980" t="s">
        <v>43</v>
      </c>
      <c r="E2980">
        <v>5</v>
      </c>
      <c r="F2980" s="2">
        <v>349.99</v>
      </c>
      <c r="G2980">
        <v>5</v>
      </c>
      <c r="H2980" s="2">
        <v>332.49</v>
      </c>
      <c r="I2980" s="2">
        <v>1662.45</v>
      </c>
      <c r="J2980" t="s">
        <v>19</v>
      </c>
      <c r="K2980" t="s">
        <v>20</v>
      </c>
      <c r="L2980" t="s">
        <v>21</v>
      </c>
      <c r="M2980" t="s">
        <v>46</v>
      </c>
      <c r="N2980" t="s">
        <v>47</v>
      </c>
      <c r="O2980" t="s">
        <v>48</v>
      </c>
      <c r="P2980">
        <v>2</v>
      </c>
      <c r="Q2980" s="2">
        <f>Ventas[[#This Row],[precio_base]]*Ventas[[#This Row],[cantidad]]</f>
        <v>1749.95</v>
      </c>
      <c r="R2980" s="2">
        <f>Ventas[[#This Row],[Total bruto (antes de descuento)]]-Ventas[[#This Row],[total_venta]]</f>
        <v>87.5</v>
      </c>
    </row>
    <row r="2981" spans="1:18" x14ac:dyDescent="0.25">
      <c r="A2981" t="s">
        <v>3074</v>
      </c>
      <c r="B2981" s="1">
        <v>45034</v>
      </c>
      <c r="C2981" t="s">
        <v>156</v>
      </c>
      <c r="D2981" t="s">
        <v>27</v>
      </c>
      <c r="E2981">
        <v>4</v>
      </c>
      <c r="F2981" s="2">
        <v>49.99</v>
      </c>
      <c r="G2981">
        <v>10</v>
      </c>
      <c r="H2981" s="2">
        <v>44.99</v>
      </c>
      <c r="I2981" s="2">
        <v>179.96</v>
      </c>
      <c r="J2981" t="s">
        <v>62</v>
      </c>
      <c r="K2981" t="s">
        <v>44</v>
      </c>
      <c r="L2981" t="s">
        <v>152</v>
      </c>
      <c r="M2981" t="s">
        <v>33</v>
      </c>
      <c r="N2981" t="s">
        <v>34</v>
      </c>
      <c r="O2981" t="s">
        <v>35</v>
      </c>
      <c r="Q2981" s="2">
        <f>Ventas[[#This Row],[precio_base]]*Ventas[[#This Row],[cantidad]]</f>
        <v>199.96</v>
      </c>
      <c r="R2981" s="2">
        <f>Ventas[[#This Row],[Total bruto (antes de descuento)]]-Ventas[[#This Row],[total_venta]]</f>
        <v>20</v>
      </c>
    </row>
    <row r="2982" spans="1:18" x14ac:dyDescent="0.25">
      <c r="A2982" t="s">
        <v>3075</v>
      </c>
      <c r="B2982" s="1">
        <v>45009</v>
      </c>
      <c r="C2982" t="s">
        <v>56</v>
      </c>
      <c r="D2982" t="s">
        <v>18</v>
      </c>
      <c r="E2982">
        <v>3</v>
      </c>
      <c r="F2982" s="2">
        <v>89.99</v>
      </c>
      <c r="G2982">
        <v>0</v>
      </c>
      <c r="H2982" s="2">
        <v>89.99</v>
      </c>
      <c r="I2982" s="2">
        <v>269.97000000000003</v>
      </c>
      <c r="J2982" t="s">
        <v>90</v>
      </c>
      <c r="K2982" t="s">
        <v>20</v>
      </c>
      <c r="L2982" t="s">
        <v>152</v>
      </c>
      <c r="M2982" t="s">
        <v>22</v>
      </c>
      <c r="N2982" t="s">
        <v>23</v>
      </c>
      <c r="O2982" t="s">
        <v>24</v>
      </c>
      <c r="Q2982" s="2">
        <f>Ventas[[#This Row],[precio_base]]*Ventas[[#This Row],[cantidad]]</f>
        <v>269.96999999999997</v>
      </c>
      <c r="R2982" s="2">
        <f>Ventas[[#This Row],[Total bruto (antes de descuento)]]-Ventas[[#This Row],[total_venta]]</f>
        <v>0</v>
      </c>
    </row>
    <row r="2983" spans="1:18" x14ac:dyDescent="0.25">
      <c r="A2983" t="s">
        <v>3076</v>
      </c>
      <c r="B2983" s="1">
        <v>45046</v>
      </c>
      <c r="C2983" t="s">
        <v>163</v>
      </c>
      <c r="D2983" t="s">
        <v>18</v>
      </c>
      <c r="E2983">
        <v>1</v>
      </c>
      <c r="F2983" s="2">
        <v>499.99</v>
      </c>
      <c r="G2983">
        <v>20</v>
      </c>
      <c r="H2983" s="2">
        <v>399.99</v>
      </c>
      <c r="I2983" s="2">
        <v>399.99</v>
      </c>
      <c r="J2983" t="s">
        <v>51</v>
      </c>
      <c r="K2983" t="s">
        <v>20</v>
      </c>
      <c r="L2983" t="s">
        <v>32</v>
      </c>
      <c r="M2983" t="s">
        <v>84</v>
      </c>
      <c r="N2983" t="s">
        <v>85</v>
      </c>
      <c r="O2983" t="s">
        <v>35</v>
      </c>
      <c r="Q2983" s="2">
        <f>Ventas[[#This Row],[precio_base]]*Ventas[[#This Row],[cantidad]]</f>
        <v>499.99</v>
      </c>
      <c r="R2983" s="2">
        <f>Ventas[[#This Row],[Total bruto (antes de descuento)]]-Ventas[[#This Row],[total_venta]]</f>
        <v>100</v>
      </c>
    </row>
    <row r="2984" spans="1:18" x14ac:dyDescent="0.25">
      <c r="A2984" t="s">
        <v>3077</v>
      </c>
      <c r="B2984" s="1">
        <v>45594</v>
      </c>
      <c r="C2984" t="s">
        <v>50</v>
      </c>
      <c r="D2984" t="s">
        <v>27</v>
      </c>
      <c r="E2984">
        <v>4</v>
      </c>
      <c r="F2984" s="2">
        <v>149.99</v>
      </c>
      <c r="G2984">
        <v>0</v>
      </c>
      <c r="H2984" s="2">
        <v>149.99</v>
      </c>
      <c r="I2984" s="2">
        <v>599.96</v>
      </c>
      <c r="J2984" t="s">
        <v>51</v>
      </c>
      <c r="K2984" t="s">
        <v>52</v>
      </c>
      <c r="L2984" t="s">
        <v>28</v>
      </c>
      <c r="M2984" t="s">
        <v>95</v>
      </c>
      <c r="N2984" t="s">
        <v>96</v>
      </c>
      <c r="O2984" t="s">
        <v>48</v>
      </c>
      <c r="Q2984" s="2">
        <f>Ventas[[#This Row],[precio_base]]*Ventas[[#This Row],[cantidad]]</f>
        <v>599.96</v>
      </c>
      <c r="R2984" s="2">
        <f>Ventas[[#This Row],[Total bruto (antes de descuento)]]-Ventas[[#This Row],[total_venta]]</f>
        <v>0</v>
      </c>
    </row>
    <row r="2985" spans="1:18" x14ac:dyDescent="0.25">
      <c r="A2985" t="s">
        <v>3078</v>
      </c>
      <c r="B2985" s="1">
        <v>45086</v>
      </c>
      <c r="C2985" t="s">
        <v>98</v>
      </c>
      <c r="D2985" t="s">
        <v>31</v>
      </c>
      <c r="E2985">
        <v>3</v>
      </c>
      <c r="F2985" s="2">
        <v>99.99</v>
      </c>
      <c r="G2985">
        <v>15</v>
      </c>
      <c r="H2985" s="2">
        <v>84.99</v>
      </c>
      <c r="I2985" s="2">
        <v>254.97</v>
      </c>
      <c r="J2985" t="s">
        <v>51</v>
      </c>
      <c r="K2985" t="s">
        <v>57</v>
      </c>
      <c r="L2985" t="s">
        <v>28</v>
      </c>
      <c r="M2985" t="s">
        <v>39</v>
      </c>
      <c r="N2985" t="s">
        <v>40</v>
      </c>
      <c r="O2985" t="s">
        <v>35</v>
      </c>
      <c r="Q2985" s="2">
        <f>Ventas[[#This Row],[precio_base]]*Ventas[[#This Row],[cantidad]]</f>
        <v>299.96999999999997</v>
      </c>
      <c r="R2985" s="2">
        <f>Ventas[[#This Row],[Total bruto (antes de descuento)]]-Ventas[[#This Row],[total_venta]]</f>
        <v>44.999999999999972</v>
      </c>
    </row>
    <row r="2986" spans="1:18" x14ac:dyDescent="0.25">
      <c r="A2986" t="s">
        <v>3079</v>
      </c>
      <c r="B2986" s="1">
        <v>45191</v>
      </c>
      <c r="C2986" t="s">
        <v>17</v>
      </c>
      <c r="D2986" t="s">
        <v>18</v>
      </c>
      <c r="E2986">
        <v>5</v>
      </c>
      <c r="F2986" s="2">
        <v>45.99</v>
      </c>
      <c r="G2986">
        <v>15</v>
      </c>
      <c r="H2986" s="2">
        <v>39.090000000000003</v>
      </c>
      <c r="I2986" s="2">
        <v>195.45</v>
      </c>
      <c r="J2986" t="s">
        <v>19</v>
      </c>
      <c r="K2986" t="s">
        <v>44</v>
      </c>
      <c r="L2986" t="s">
        <v>45</v>
      </c>
      <c r="M2986" t="s">
        <v>73</v>
      </c>
      <c r="N2986" t="s">
        <v>74</v>
      </c>
      <c r="O2986" t="s">
        <v>35</v>
      </c>
      <c r="P2986">
        <v>3</v>
      </c>
      <c r="Q2986" s="2">
        <f>Ventas[[#This Row],[precio_base]]*Ventas[[#This Row],[cantidad]]</f>
        <v>229.95000000000002</v>
      </c>
      <c r="R2986" s="2">
        <f>Ventas[[#This Row],[Total bruto (antes de descuento)]]-Ventas[[#This Row],[total_venta]]</f>
        <v>34.500000000000028</v>
      </c>
    </row>
    <row r="2987" spans="1:18" x14ac:dyDescent="0.25">
      <c r="A2987" t="s">
        <v>3080</v>
      </c>
      <c r="B2987" s="1">
        <v>44936</v>
      </c>
      <c r="C2987" t="s">
        <v>72</v>
      </c>
      <c r="D2987" t="s">
        <v>31</v>
      </c>
      <c r="E2987">
        <v>1</v>
      </c>
      <c r="F2987" s="2">
        <v>29.99</v>
      </c>
      <c r="G2987">
        <v>0</v>
      </c>
      <c r="H2987" s="2">
        <v>29.99</v>
      </c>
      <c r="I2987" s="2">
        <v>29.99</v>
      </c>
      <c r="J2987" t="s">
        <v>19</v>
      </c>
      <c r="K2987" t="s">
        <v>20</v>
      </c>
      <c r="L2987" t="s">
        <v>21</v>
      </c>
      <c r="M2987" t="s">
        <v>101</v>
      </c>
      <c r="N2987" t="s">
        <v>102</v>
      </c>
      <c r="O2987" t="s">
        <v>35</v>
      </c>
      <c r="P2987">
        <v>2</v>
      </c>
      <c r="Q2987" s="2">
        <f>Ventas[[#This Row],[precio_base]]*Ventas[[#This Row],[cantidad]]</f>
        <v>29.99</v>
      </c>
      <c r="R2987" s="2">
        <f>Ventas[[#This Row],[Total bruto (antes de descuento)]]-Ventas[[#This Row],[total_venta]]</f>
        <v>0</v>
      </c>
    </row>
    <row r="2988" spans="1:18" x14ac:dyDescent="0.25">
      <c r="A2988" t="s">
        <v>3081</v>
      </c>
      <c r="B2988" s="1">
        <v>45650</v>
      </c>
      <c r="C2988" t="s">
        <v>17</v>
      </c>
      <c r="D2988" t="s">
        <v>18</v>
      </c>
      <c r="E2988">
        <v>1</v>
      </c>
      <c r="F2988" s="2">
        <v>45.99</v>
      </c>
      <c r="G2988">
        <v>5</v>
      </c>
      <c r="H2988" s="2">
        <v>43.69</v>
      </c>
      <c r="I2988" s="2">
        <v>43.69</v>
      </c>
      <c r="J2988" t="s">
        <v>90</v>
      </c>
      <c r="K2988" t="s">
        <v>44</v>
      </c>
      <c r="L2988" t="s">
        <v>32</v>
      </c>
      <c r="M2988" t="s">
        <v>65</v>
      </c>
      <c r="N2988" t="s">
        <v>54</v>
      </c>
      <c r="O2988" t="s">
        <v>35</v>
      </c>
      <c r="Q2988" s="2">
        <f>Ventas[[#This Row],[precio_base]]*Ventas[[#This Row],[cantidad]]</f>
        <v>45.99</v>
      </c>
      <c r="R2988" s="2">
        <f>Ventas[[#This Row],[Total bruto (antes de descuento)]]-Ventas[[#This Row],[total_venta]]</f>
        <v>2.3000000000000043</v>
      </c>
    </row>
    <row r="2989" spans="1:18" x14ac:dyDescent="0.25">
      <c r="A2989" t="s">
        <v>3082</v>
      </c>
      <c r="B2989" s="1">
        <v>45381</v>
      </c>
      <c r="C2989" t="s">
        <v>87</v>
      </c>
      <c r="D2989" t="s">
        <v>27</v>
      </c>
      <c r="E2989">
        <v>1</v>
      </c>
      <c r="F2989" s="2">
        <v>249.99</v>
      </c>
      <c r="G2989">
        <v>5</v>
      </c>
      <c r="H2989" s="2">
        <v>237.49</v>
      </c>
      <c r="I2989" s="2">
        <v>237.49</v>
      </c>
      <c r="J2989" t="s">
        <v>19</v>
      </c>
      <c r="K2989" t="s">
        <v>44</v>
      </c>
      <c r="L2989" t="s">
        <v>21</v>
      </c>
      <c r="M2989" t="s">
        <v>101</v>
      </c>
      <c r="N2989" t="s">
        <v>102</v>
      </c>
      <c r="O2989" t="s">
        <v>35</v>
      </c>
      <c r="P2989">
        <v>2</v>
      </c>
      <c r="Q2989" s="2">
        <f>Ventas[[#This Row],[precio_base]]*Ventas[[#This Row],[cantidad]]</f>
        <v>249.99</v>
      </c>
      <c r="R2989" s="2">
        <f>Ventas[[#This Row],[Total bruto (antes de descuento)]]-Ventas[[#This Row],[total_venta]]</f>
        <v>12.5</v>
      </c>
    </row>
    <row r="2990" spans="1:18" x14ac:dyDescent="0.25">
      <c r="A2990" t="s">
        <v>3083</v>
      </c>
      <c r="B2990" s="1">
        <v>45406</v>
      </c>
      <c r="C2990" t="s">
        <v>17</v>
      </c>
      <c r="D2990" t="s">
        <v>18</v>
      </c>
      <c r="E2990">
        <v>4</v>
      </c>
      <c r="F2990" s="2">
        <v>45.99</v>
      </c>
      <c r="G2990">
        <v>0</v>
      </c>
      <c r="H2990" s="2">
        <v>45.99</v>
      </c>
      <c r="I2990" s="2">
        <v>183.96</v>
      </c>
      <c r="J2990" t="s">
        <v>19</v>
      </c>
      <c r="K2990" t="s">
        <v>44</v>
      </c>
      <c r="L2990" t="s">
        <v>21</v>
      </c>
      <c r="M2990" t="s">
        <v>65</v>
      </c>
      <c r="N2990" t="s">
        <v>54</v>
      </c>
      <c r="O2990" t="s">
        <v>35</v>
      </c>
      <c r="P2990">
        <v>5</v>
      </c>
      <c r="Q2990" s="2">
        <f>Ventas[[#This Row],[precio_base]]*Ventas[[#This Row],[cantidad]]</f>
        <v>183.96</v>
      </c>
      <c r="R2990" s="2">
        <f>Ventas[[#This Row],[Total bruto (antes de descuento)]]-Ventas[[#This Row],[total_venta]]</f>
        <v>0</v>
      </c>
    </row>
    <row r="2991" spans="1:18" x14ac:dyDescent="0.25">
      <c r="A2991" t="s">
        <v>3084</v>
      </c>
      <c r="B2991" s="1">
        <v>45408</v>
      </c>
      <c r="C2991" t="s">
        <v>143</v>
      </c>
      <c r="D2991" t="s">
        <v>43</v>
      </c>
      <c r="E2991">
        <v>2</v>
      </c>
      <c r="F2991" s="2">
        <v>34.99</v>
      </c>
      <c r="G2991">
        <v>0</v>
      </c>
      <c r="H2991" s="2">
        <v>34.99</v>
      </c>
      <c r="I2991" s="2">
        <v>69.98</v>
      </c>
      <c r="J2991" t="s">
        <v>62</v>
      </c>
      <c r="K2991" t="s">
        <v>44</v>
      </c>
      <c r="L2991" t="s">
        <v>28</v>
      </c>
      <c r="M2991" t="s">
        <v>73</v>
      </c>
      <c r="N2991" t="s">
        <v>74</v>
      </c>
      <c r="O2991" t="s">
        <v>35</v>
      </c>
      <c r="Q2991" s="2">
        <f>Ventas[[#This Row],[precio_base]]*Ventas[[#This Row],[cantidad]]</f>
        <v>69.98</v>
      </c>
      <c r="R2991" s="2">
        <f>Ventas[[#This Row],[Total bruto (antes de descuento)]]-Ventas[[#This Row],[total_venta]]</f>
        <v>0</v>
      </c>
    </row>
    <row r="2992" spans="1:18" x14ac:dyDescent="0.25">
      <c r="A2992" t="s">
        <v>3085</v>
      </c>
      <c r="B2992" s="1">
        <v>45575</v>
      </c>
      <c r="C2992" t="s">
        <v>109</v>
      </c>
      <c r="D2992" t="s">
        <v>38</v>
      </c>
      <c r="E2992">
        <v>3</v>
      </c>
      <c r="F2992" s="2">
        <v>39.99</v>
      </c>
      <c r="G2992">
        <v>5</v>
      </c>
      <c r="H2992" s="2">
        <v>37.99</v>
      </c>
      <c r="I2992" s="2">
        <v>113.97</v>
      </c>
      <c r="J2992" t="s">
        <v>19</v>
      </c>
      <c r="K2992" t="s">
        <v>44</v>
      </c>
      <c r="L2992" t="s">
        <v>45</v>
      </c>
      <c r="M2992" t="s">
        <v>95</v>
      </c>
      <c r="N2992" t="s">
        <v>96</v>
      </c>
      <c r="O2992" t="s">
        <v>48</v>
      </c>
      <c r="P2992">
        <v>2</v>
      </c>
      <c r="Q2992" s="2">
        <f>Ventas[[#This Row],[precio_base]]*Ventas[[#This Row],[cantidad]]</f>
        <v>119.97</v>
      </c>
      <c r="R2992" s="2">
        <f>Ventas[[#This Row],[Total bruto (antes de descuento)]]-Ventas[[#This Row],[total_venta]]</f>
        <v>6</v>
      </c>
    </row>
    <row r="2993" spans="1:18" x14ac:dyDescent="0.25">
      <c r="A2993" t="s">
        <v>3086</v>
      </c>
      <c r="B2993" s="1">
        <v>44968</v>
      </c>
      <c r="C2993" t="s">
        <v>151</v>
      </c>
      <c r="D2993" t="s">
        <v>27</v>
      </c>
      <c r="E2993">
        <v>4</v>
      </c>
      <c r="F2993" s="2">
        <v>599.99</v>
      </c>
      <c r="G2993">
        <v>10</v>
      </c>
      <c r="H2993" s="2">
        <v>539.99</v>
      </c>
      <c r="I2993" s="2">
        <v>2159.96</v>
      </c>
      <c r="J2993" t="s">
        <v>62</v>
      </c>
      <c r="K2993" t="s">
        <v>52</v>
      </c>
      <c r="L2993" t="s">
        <v>21</v>
      </c>
      <c r="M2993" t="s">
        <v>53</v>
      </c>
      <c r="N2993" t="s">
        <v>54</v>
      </c>
      <c r="O2993" t="s">
        <v>35</v>
      </c>
      <c r="Q2993" s="2">
        <f>Ventas[[#This Row],[precio_base]]*Ventas[[#This Row],[cantidad]]</f>
        <v>2399.96</v>
      </c>
      <c r="R2993" s="2">
        <f>Ventas[[#This Row],[Total bruto (antes de descuento)]]-Ventas[[#This Row],[total_venta]]</f>
        <v>240</v>
      </c>
    </row>
    <row r="2994" spans="1:18" x14ac:dyDescent="0.25">
      <c r="A2994" t="s">
        <v>3087</v>
      </c>
      <c r="B2994" s="1">
        <v>45220</v>
      </c>
      <c r="C2994" t="s">
        <v>50</v>
      </c>
      <c r="D2994" t="s">
        <v>27</v>
      </c>
      <c r="E2994">
        <v>1</v>
      </c>
      <c r="F2994" s="2">
        <v>149.99</v>
      </c>
      <c r="G2994">
        <v>15</v>
      </c>
      <c r="H2994" s="2">
        <v>127.49</v>
      </c>
      <c r="I2994" s="2">
        <v>127.49</v>
      </c>
      <c r="J2994" t="s">
        <v>51</v>
      </c>
      <c r="K2994" t="s">
        <v>20</v>
      </c>
      <c r="L2994" t="s">
        <v>45</v>
      </c>
      <c r="M2994" t="s">
        <v>65</v>
      </c>
      <c r="N2994" t="s">
        <v>54</v>
      </c>
      <c r="O2994" t="s">
        <v>35</v>
      </c>
      <c r="Q2994" s="2">
        <f>Ventas[[#This Row],[precio_base]]*Ventas[[#This Row],[cantidad]]</f>
        <v>149.99</v>
      </c>
      <c r="R2994" s="2">
        <f>Ventas[[#This Row],[Total bruto (antes de descuento)]]-Ventas[[#This Row],[total_venta]]</f>
        <v>22.500000000000014</v>
      </c>
    </row>
    <row r="2995" spans="1:18" x14ac:dyDescent="0.25">
      <c r="A2995" t="s">
        <v>3088</v>
      </c>
      <c r="B2995" s="1">
        <v>45439</v>
      </c>
      <c r="C2995" t="s">
        <v>94</v>
      </c>
      <c r="D2995" t="s">
        <v>18</v>
      </c>
      <c r="E2995">
        <v>1</v>
      </c>
      <c r="F2995" s="2">
        <v>899.99</v>
      </c>
      <c r="G2995">
        <v>0</v>
      </c>
      <c r="H2995" s="2">
        <v>899.99</v>
      </c>
      <c r="I2995" s="2">
        <v>899.99</v>
      </c>
      <c r="J2995" t="s">
        <v>51</v>
      </c>
      <c r="K2995" t="s">
        <v>52</v>
      </c>
      <c r="L2995" t="s">
        <v>21</v>
      </c>
      <c r="M2995" t="s">
        <v>73</v>
      </c>
      <c r="N2995" t="s">
        <v>74</v>
      </c>
      <c r="O2995" t="s">
        <v>35</v>
      </c>
      <c r="Q2995" s="2">
        <f>Ventas[[#This Row],[precio_base]]*Ventas[[#This Row],[cantidad]]</f>
        <v>899.99</v>
      </c>
      <c r="R2995" s="2">
        <f>Ventas[[#This Row],[Total bruto (antes de descuento)]]-Ventas[[#This Row],[total_venta]]</f>
        <v>0</v>
      </c>
    </row>
    <row r="2996" spans="1:18" x14ac:dyDescent="0.25">
      <c r="A2996" t="s">
        <v>3089</v>
      </c>
      <c r="B2996" s="1">
        <v>45065</v>
      </c>
      <c r="C2996" t="s">
        <v>115</v>
      </c>
      <c r="D2996" t="s">
        <v>18</v>
      </c>
      <c r="E2996">
        <v>4</v>
      </c>
      <c r="F2996" s="2">
        <v>799.99</v>
      </c>
      <c r="G2996">
        <v>0</v>
      </c>
      <c r="H2996" s="2">
        <v>799.99</v>
      </c>
      <c r="I2996" s="2">
        <v>3199.96</v>
      </c>
      <c r="J2996" t="s">
        <v>19</v>
      </c>
      <c r="K2996" t="s">
        <v>20</v>
      </c>
      <c r="L2996" t="s">
        <v>45</v>
      </c>
      <c r="M2996" t="s">
        <v>67</v>
      </c>
      <c r="N2996" t="s">
        <v>68</v>
      </c>
      <c r="O2996" t="s">
        <v>35</v>
      </c>
      <c r="P2996">
        <v>4</v>
      </c>
      <c r="Q2996" s="2">
        <f>Ventas[[#This Row],[precio_base]]*Ventas[[#This Row],[cantidad]]</f>
        <v>3199.96</v>
      </c>
      <c r="R2996" s="2">
        <f>Ventas[[#This Row],[Total bruto (antes de descuento)]]-Ventas[[#This Row],[total_venta]]</f>
        <v>0</v>
      </c>
    </row>
    <row r="2997" spans="1:18" x14ac:dyDescent="0.25">
      <c r="A2997" t="s">
        <v>3090</v>
      </c>
      <c r="B2997" s="1">
        <v>45543</v>
      </c>
      <c r="C2997" t="s">
        <v>81</v>
      </c>
      <c r="D2997" t="s">
        <v>31</v>
      </c>
      <c r="E2997">
        <v>4</v>
      </c>
      <c r="F2997" s="2">
        <v>189.99</v>
      </c>
      <c r="G2997">
        <v>10</v>
      </c>
      <c r="H2997" s="2">
        <v>170.99</v>
      </c>
      <c r="I2997" s="2">
        <v>683.96</v>
      </c>
      <c r="J2997" t="s">
        <v>19</v>
      </c>
      <c r="K2997" t="s">
        <v>20</v>
      </c>
      <c r="L2997" t="s">
        <v>28</v>
      </c>
      <c r="M2997" t="s">
        <v>101</v>
      </c>
      <c r="N2997" t="s">
        <v>102</v>
      </c>
      <c r="O2997" t="s">
        <v>35</v>
      </c>
      <c r="P2997">
        <v>1</v>
      </c>
      <c r="Q2997" s="2">
        <f>Ventas[[#This Row],[precio_base]]*Ventas[[#This Row],[cantidad]]</f>
        <v>759.96</v>
      </c>
      <c r="R2997" s="2">
        <f>Ventas[[#This Row],[Total bruto (antes de descuento)]]-Ventas[[#This Row],[total_venta]]</f>
        <v>76</v>
      </c>
    </row>
    <row r="2998" spans="1:18" x14ac:dyDescent="0.25">
      <c r="A2998" t="s">
        <v>3091</v>
      </c>
      <c r="B2998" s="1">
        <v>45325</v>
      </c>
      <c r="C2998" t="s">
        <v>70</v>
      </c>
      <c r="D2998" t="s">
        <v>31</v>
      </c>
      <c r="E2998">
        <v>4</v>
      </c>
      <c r="F2998" s="2">
        <v>59.99</v>
      </c>
      <c r="G2998">
        <v>15</v>
      </c>
      <c r="H2998" s="2">
        <v>50.99</v>
      </c>
      <c r="I2998" s="2">
        <v>203.96</v>
      </c>
      <c r="J2998" t="s">
        <v>51</v>
      </c>
      <c r="K2998" t="s">
        <v>20</v>
      </c>
      <c r="L2998" t="s">
        <v>28</v>
      </c>
      <c r="M2998" t="s">
        <v>95</v>
      </c>
      <c r="N2998" t="s">
        <v>96</v>
      </c>
      <c r="O2998" t="s">
        <v>48</v>
      </c>
      <c r="Q2998" s="2">
        <f>Ventas[[#This Row],[precio_base]]*Ventas[[#This Row],[cantidad]]</f>
        <v>239.96</v>
      </c>
      <c r="R2998" s="2">
        <f>Ventas[[#This Row],[Total bruto (antes de descuento)]]-Ventas[[#This Row],[total_venta]]</f>
        <v>36</v>
      </c>
    </row>
    <row r="2999" spans="1:18" x14ac:dyDescent="0.25">
      <c r="A2999" t="s">
        <v>3092</v>
      </c>
      <c r="B2999" s="1">
        <v>45178</v>
      </c>
      <c r="C2999" t="s">
        <v>26</v>
      </c>
      <c r="D2999" t="s">
        <v>27</v>
      </c>
      <c r="E2999">
        <v>3</v>
      </c>
      <c r="F2999" s="2">
        <v>399.99</v>
      </c>
      <c r="G2999">
        <v>15</v>
      </c>
      <c r="H2999" s="2">
        <v>339.99</v>
      </c>
      <c r="I2999" s="2">
        <v>1019.97</v>
      </c>
      <c r="J2999" t="s">
        <v>51</v>
      </c>
      <c r="K2999" t="s">
        <v>52</v>
      </c>
      <c r="L2999" t="s">
        <v>21</v>
      </c>
      <c r="M2999" t="s">
        <v>53</v>
      </c>
      <c r="N2999" t="s">
        <v>54</v>
      </c>
      <c r="O2999" t="s">
        <v>35</v>
      </c>
      <c r="Q2999" s="2">
        <f>Ventas[[#This Row],[precio_base]]*Ventas[[#This Row],[cantidad]]</f>
        <v>1199.97</v>
      </c>
      <c r="R2999" s="2">
        <f>Ventas[[#This Row],[Total bruto (antes de descuento)]]-Ventas[[#This Row],[total_venta]]</f>
        <v>180</v>
      </c>
    </row>
    <row r="3000" spans="1:18" x14ac:dyDescent="0.25">
      <c r="A3000" t="s">
        <v>3093</v>
      </c>
      <c r="B3000" s="1">
        <v>44983</v>
      </c>
      <c r="C3000" t="s">
        <v>76</v>
      </c>
      <c r="D3000" t="s">
        <v>31</v>
      </c>
      <c r="E3000">
        <v>1</v>
      </c>
      <c r="F3000" s="2">
        <v>69.989999999999995</v>
      </c>
      <c r="G3000">
        <v>20</v>
      </c>
      <c r="H3000" s="2">
        <v>55.99</v>
      </c>
      <c r="I3000" s="2">
        <v>55.99</v>
      </c>
      <c r="J3000" t="s">
        <v>19</v>
      </c>
      <c r="K3000" t="s">
        <v>52</v>
      </c>
      <c r="L3000" t="s">
        <v>45</v>
      </c>
      <c r="M3000" t="s">
        <v>58</v>
      </c>
      <c r="N3000" t="s">
        <v>59</v>
      </c>
      <c r="O3000" t="s">
        <v>24</v>
      </c>
      <c r="P3000">
        <v>1</v>
      </c>
      <c r="Q3000" s="2">
        <f>Ventas[[#This Row],[precio_base]]*Ventas[[#This Row],[cantidad]]</f>
        <v>69.989999999999995</v>
      </c>
      <c r="R3000" s="2">
        <f>Ventas[[#This Row],[Total bruto (antes de descuento)]]-Ventas[[#This Row],[total_venta]]</f>
        <v>13.999999999999993</v>
      </c>
    </row>
    <row r="3001" spans="1:18" x14ac:dyDescent="0.25">
      <c r="A3001" t="s">
        <v>3094</v>
      </c>
      <c r="B3001" s="1">
        <v>45418</v>
      </c>
      <c r="C3001" t="s">
        <v>122</v>
      </c>
      <c r="D3001" t="s">
        <v>43</v>
      </c>
      <c r="E3001">
        <v>1</v>
      </c>
      <c r="F3001" s="2">
        <v>44.99</v>
      </c>
      <c r="G3001">
        <v>0</v>
      </c>
      <c r="H3001" s="2">
        <v>44.99</v>
      </c>
      <c r="I3001" s="2">
        <v>44.99</v>
      </c>
      <c r="J3001" t="s">
        <v>19</v>
      </c>
      <c r="K3001" t="s">
        <v>57</v>
      </c>
      <c r="L3001" t="s">
        <v>152</v>
      </c>
      <c r="M3001" t="s">
        <v>46</v>
      </c>
      <c r="N3001" t="s">
        <v>47</v>
      </c>
      <c r="O3001" t="s">
        <v>48</v>
      </c>
      <c r="P3001">
        <v>5</v>
      </c>
      <c r="Q3001" s="2">
        <f>Ventas[[#This Row],[precio_base]]*Ventas[[#This Row],[cantidad]]</f>
        <v>44.99</v>
      </c>
      <c r="R3001" s="2">
        <f>Ventas[[#This Row],[Total bruto (antes de descuento)]]-Ventas[[#This Row],[total_venta]]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9A67-2993-480C-97A2-0DFCC55DEF00}">
  <dimension ref="A2:AA82"/>
  <sheetViews>
    <sheetView workbookViewId="0">
      <selection activeCell="K15" sqref="K15"/>
    </sheetView>
  </sheetViews>
  <sheetFormatPr baseColWidth="10" defaultRowHeight="15" x14ac:dyDescent="0.25"/>
  <cols>
    <col min="2" max="2" width="18.28515625" bestFit="1" customWidth="1"/>
    <col min="3" max="3" width="12.140625" bestFit="1" customWidth="1"/>
    <col min="4" max="4" width="19.28515625" bestFit="1" customWidth="1"/>
    <col min="5" max="5" width="19.140625" bestFit="1" customWidth="1"/>
    <col min="6" max="6" width="12.140625" bestFit="1" customWidth="1"/>
    <col min="7" max="7" width="22.85546875" bestFit="1" customWidth="1"/>
    <col min="8" max="8" width="18.28515625" bestFit="1" customWidth="1"/>
    <col min="9" max="9" width="12.140625" bestFit="1" customWidth="1"/>
    <col min="10" max="10" width="17.85546875" bestFit="1" customWidth="1"/>
    <col min="11" max="11" width="18.28515625" bestFit="1" customWidth="1"/>
    <col min="12" max="12" width="17.85546875" bestFit="1" customWidth="1"/>
    <col min="13" max="13" width="23.140625" bestFit="1" customWidth="1"/>
    <col min="14" max="14" width="18.28515625" bestFit="1" customWidth="1"/>
    <col min="15" max="15" width="17.85546875" bestFit="1" customWidth="1"/>
    <col min="16" max="17" width="19.28515625" bestFit="1" customWidth="1"/>
    <col min="18" max="18" width="17.85546875" bestFit="1" customWidth="1"/>
    <col min="19" max="20" width="19.28515625" bestFit="1" customWidth="1"/>
    <col min="21" max="21" width="22.85546875" bestFit="1" customWidth="1"/>
    <col min="22" max="22" width="12" bestFit="1" customWidth="1"/>
    <col min="23" max="23" width="13" bestFit="1" customWidth="1"/>
    <col min="24" max="24" width="10.85546875" bestFit="1" customWidth="1"/>
    <col min="25" max="25" width="13" bestFit="1" customWidth="1"/>
    <col min="26" max="26" width="19.28515625" bestFit="1" customWidth="1"/>
    <col min="27" max="27" width="12.7109375" bestFit="1" customWidth="1"/>
    <col min="28" max="28" width="18.28515625" bestFit="1" customWidth="1"/>
    <col min="29" max="29" width="19.28515625" bestFit="1" customWidth="1"/>
  </cols>
  <sheetData>
    <row r="2" spans="1:27" x14ac:dyDescent="0.25">
      <c r="B2" s="10" t="s">
        <v>3107</v>
      </c>
      <c r="C2" s="10"/>
      <c r="D2" s="10"/>
      <c r="E2" s="10" t="s">
        <v>3106</v>
      </c>
      <c r="F2" s="10"/>
      <c r="G2" s="10"/>
      <c r="H2" s="14" t="s">
        <v>3105</v>
      </c>
      <c r="I2" s="10"/>
      <c r="J2" s="10"/>
      <c r="K2" s="10" t="s">
        <v>3104</v>
      </c>
      <c r="L2" s="10"/>
      <c r="M2" s="10"/>
      <c r="N2" s="10" t="s">
        <v>3103</v>
      </c>
      <c r="O2" s="10"/>
      <c r="P2" s="10"/>
      <c r="Q2" s="14" t="s">
        <v>3142</v>
      </c>
      <c r="R2" s="10"/>
      <c r="S2" s="10"/>
      <c r="T2" s="14" t="s">
        <v>3143</v>
      </c>
      <c r="U2" s="10"/>
      <c r="V2" s="10"/>
      <c r="W2" s="10" t="s">
        <v>3108</v>
      </c>
      <c r="X2" s="10"/>
      <c r="Y2" s="10"/>
      <c r="Z2" s="10" t="s">
        <v>3109</v>
      </c>
    </row>
    <row r="4" spans="1:27" x14ac:dyDescent="0.25">
      <c r="B4" s="3" t="s">
        <v>9</v>
      </c>
      <c r="C4" t="s">
        <v>3095</v>
      </c>
      <c r="E4" s="3" t="s">
        <v>9</v>
      </c>
      <c r="F4" t="s">
        <v>3097</v>
      </c>
      <c r="H4" s="3" t="s">
        <v>9</v>
      </c>
      <c r="I4" t="s">
        <v>19</v>
      </c>
      <c r="K4" s="3" t="s">
        <v>9</v>
      </c>
      <c r="L4" t="s">
        <v>90</v>
      </c>
      <c r="N4" s="3" t="s">
        <v>9</v>
      </c>
      <c r="O4" t="s">
        <v>116</v>
      </c>
      <c r="Q4" s="3" t="s">
        <v>9</v>
      </c>
      <c r="R4" t="s">
        <v>19</v>
      </c>
      <c r="T4" s="3" t="s">
        <v>9</v>
      </c>
      <c r="U4" t="s">
        <v>3097</v>
      </c>
      <c r="W4" s="3" t="s">
        <v>9</v>
      </c>
      <c r="X4" t="s">
        <v>116</v>
      </c>
      <c r="Z4" s="3" t="s">
        <v>9</v>
      </c>
      <c r="AA4" t="s">
        <v>90</v>
      </c>
    </row>
    <row r="6" spans="1:27" x14ac:dyDescent="0.25">
      <c r="B6" t="s">
        <v>3096</v>
      </c>
      <c r="E6" t="s">
        <v>3096</v>
      </c>
      <c r="H6" t="s">
        <v>3096</v>
      </c>
      <c r="K6" t="s">
        <v>3096</v>
      </c>
      <c r="N6" t="s">
        <v>3096</v>
      </c>
      <c r="Q6" t="s">
        <v>3098</v>
      </c>
      <c r="T6" t="s">
        <v>3098</v>
      </c>
      <c r="W6" t="s">
        <v>3098</v>
      </c>
      <c r="Z6" t="s">
        <v>3098</v>
      </c>
    </row>
    <row r="7" spans="1:27" x14ac:dyDescent="0.25">
      <c r="B7" s="18">
        <v>3000</v>
      </c>
      <c r="E7" s="18">
        <v>942</v>
      </c>
      <c r="H7" s="18">
        <v>1751</v>
      </c>
      <c r="K7" s="18">
        <v>183</v>
      </c>
      <c r="N7" s="18">
        <v>124</v>
      </c>
      <c r="Q7" s="2">
        <v>1176512.5099999718</v>
      </c>
      <c r="T7" s="2">
        <v>560484.7899999962</v>
      </c>
      <c r="W7" s="2">
        <v>81208.010000000009</v>
      </c>
      <c r="Z7" s="2">
        <v>111589.70000000014</v>
      </c>
    </row>
    <row r="9" spans="1:27" x14ac:dyDescent="0.25">
      <c r="A9" t="s">
        <v>3102</v>
      </c>
      <c r="B9">
        <f>GETPIVOTDATA("order_id",$B$6)</f>
        <v>3000</v>
      </c>
      <c r="E9">
        <f>GETPIVOTDATA("order_id",$E$6)</f>
        <v>942</v>
      </c>
      <c r="H9">
        <f>GETPIVOTDATA("order_id",$H$6)</f>
        <v>1751</v>
      </c>
      <c r="K9">
        <f>GETPIVOTDATA("order_id",$K$6)</f>
        <v>183</v>
      </c>
      <c r="N9">
        <f>GETPIVOTDATA("order_id",$N$6)</f>
        <v>124</v>
      </c>
      <c r="Q9" s="5">
        <f>GETPIVOTDATA("total_venta",$Q$6)</f>
        <v>1176512.5099999718</v>
      </c>
      <c r="T9" s="6">
        <f>GETPIVOTDATA("total_venta",$T$6)</f>
        <v>560484.7899999962</v>
      </c>
      <c r="W9" s="9">
        <f>-GETPIVOTDATA("total_venta",$W$6)</f>
        <v>-81208.010000000009</v>
      </c>
      <c r="Z9" s="6">
        <f>GETPIVOTDATA("total_venta",$Z$6)</f>
        <v>111589.70000000014</v>
      </c>
    </row>
    <row r="10" spans="1:27" x14ac:dyDescent="0.25">
      <c r="W10" s="8"/>
    </row>
    <row r="11" spans="1:27" x14ac:dyDescent="0.25">
      <c r="E11" s="16">
        <f>E9/B9</f>
        <v>0.314</v>
      </c>
      <c r="H11" s="16">
        <f>H9/B9</f>
        <v>0.58366666666666667</v>
      </c>
      <c r="K11" s="16">
        <f>K9/B9</f>
        <v>6.0999999999999999E-2</v>
      </c>
      <c r="N11" s="16">
        <f>N9/B9</f>
        <v>4.1333333333333333E-2</v>
      </c>
    </row>
    <row r="12" spans="1:27" x14ac:dyDescent="0.25">
      <c r="E12" s="7">
        <f>1-E11</f>
        <v>0.68599999999999994</v>
      </c>
      <c r="H12" s="7">
        <f>1-H11</f>
        <v>0.41633333333333333</v>
      </c>
      <c r="K12" s="7">
        <f>1-K11</f>
        <v>0.93900000000000006</v>
      </c>
      <c r="N12" s="7">
        <f>1-N11</f>
        <v>0.95866666666666667</v>
      </c>
    </row>
    <row r="16" spans="1:27" x14ac:dyDescent="0.25">
      <c r="L16" s="10" t="s">
        <v>3127</v>
      </c>
      <c r="O16" s="17" t="s">
        <v>3130</v>
      </c>
      <c r="P16" s="17"/>
      <c r="R16" s="10" t="s">
        <v>3131</v>
      </c>
      <c r="U16" s="10" t="s">
        <v>3109</v>
      </c>
    </row>
    <row r="18" spans="2:22" x14ac:dyDescent="0.25">
      <c r="B18" s="14" t="s">
        <v>3099</v>
      </c>
      <c r="F18" s="3" t="s">
        <v>9</v>
      </c>
      <c r="G18" t="s">
        <v>19</v>
      </c>
      <c r="L18" s="3" t="s">
        <v>9</v>
      </c>
      <c r="M18" t="s">
        <v>19</v>
      </c>
      <c r="O18" s="3" t="s">
        <v>9</v>
      </c>
      <c r="P18" t="s">
        <v>19</v>
      </c>
      <c r="R18" s="3" t="s">
        <v>9</v>
      </c>
      <c r="S18" t="s">
        <v>19</v>
      </c>
      <c r="U18" s="3" t="s">
        <v>9</v>
      </c>
      <c r="V18" t="s">
        <v>90</v>
      </c>
    </row>
    <row r="20" spans="2:22" x14ac:dyDescent="0.25">
      <c r="B20" s="3" t="s">
        <v>3100</v>
      </c>
      <c r="C20" t="s">
        <v>3096</v>
      </c>
      <c r="F20" s="3" t="s">
        <v>3098</v>
      </c>
      <c r="G20" s="3" t="s">
        <v>3124</v>
      </c>
      <c r="L20" t="s">
        <v>3128</v>
      </c>
      <c r="O20" s="3" t="s">
        <v>3100</v>
      </c>
      <c r="P20" t="s">
        <v>3098</v>
      </c>
      <c r="R20" s="3" t="s">
        <v>3100</v>
      </c>
      <c r="S20" t="s">
        <v>3098</v>
      </c>
      <c r="U20" s="3" t="s">
        <v>3100</v>
      </c>
      <c r="V20" t="s">
        <v>3129</v>
      </c>
    </row>
    <row r="21" spans="2:22" x14ac:dyDescent="0.25">
      <c r="B21" s="4" t="s">
        <v>90</v>
      </c>
      <c r="C21">
        <v>183</v>
      </c>
      <c r="F21" s="3" t="s">
        <v>3100</v>
      </c>
      <c r="G21" t="s">
        <v>3110</v>
      </c>
      <c r="H21" t="s">
        <v>3111</v>
      </c>
      <c r="I21" t="s">
        <v>3101</v>
      </c>
      <c r="L21" s="6">
        <v>671.908914905752</v>
      </c>
      <c r="N21" s="5"/>
      <c r="O21" s="4" t="s">
        <v>31</v>
      </c>
      <c r="P21" s="6">
        <v>124134.74000000024</v>
      </c>
      <c r="R21" s="4" t="s">
        <v>48</v>
      </c>
      <c r="S21" s="6">
        <v>141442.20000000007</v>
      </c>
      <c r="U21" s="4" t="s">
        <v>31</v>
      </c>
      <c r="V21">
        <v>124</v>
      </c>
    </row>
    <row r="22" spans="2:22" x14ac:dyDescent="0.25">
      <c r="B22" s="4" t="s">
        <v>116</v>
      </c>
      <c r="C22">
        <v>124</v>
      </c>
      <c r="F22" s="4" t="s">
        <v>3112</v>
      </c>
      <c r="G22" s="2">
        <v>67578.349999999977</v>
      </c>
      <c r="H22" s="2">
        <v>53609.250000000007</v>
      </c>
      <c r="I22" s="2">
        <v>121187.59999999998</v>
      </c>
      <c r="L22" s="12">
        <f>GETPIVOTDATA("total_venta",$L$20)</f>
        <v>671.908914905752</v>
      </c>
      <c r="O22" s="4" t="s">
        <v>43</v>
      </c>
      <c r="P22" s="6">
        <v>66028.259999999995</v>
      </c>
      <c r="R22" s="4" t="s">
        <v>24</v>
      </c>
      <c r="S22" s="6">
        <v>387393.51999999938</v>
      </c>
      <c r="U22" s="4" t="s">
        <v>43</v>
      </c>
      <c r="V22">
        <v>60</v>
      </c>
    </row>
    <row r="23" spans="2:22" x14ac:dyDescent="0.25">
      <c r="B23" s="4" t="s">
        <v>51</v>
      </c>
      <c r="C23">
        <v>643</v>
      </c>
      <c r="F23" s="4" t="s">
        <v>3113</v>
      </c>
      <c r="G23" s="2">
        <v>47587.539999999986</v>
      </c>
      <c r="H23" s="2">
        <v>43088.279999999984</v>
      </c>
      <c r="I23" s="2">
        <v>90675.819999999978</v>
      </c>
      <c r="O23" s="4" t="s">
        <v>18</v>
      </c>
      <c r="P23" s="6">
        <v>665112.39999999653</v>
      </c>
      <c r="R23" s="4" t="s">
        <v>35</v>
      </c>
      <c r="S23" s="6">
        <v>647676.78999999352</v>
      </c>
      <c r="U23" s="4" t="s">
        <v>18</v>
      </c>
      <c r="V23">
        <v>169</v>
      </c>
    </row>
    <row r="24" spans="2:22" x14ac:dyDescent="0.25">
      <c r="B24" s="4" t="s">
        <v>19</v>
      </c>
      <c r="C24">
        <v>1751</v>
      </c>
      <c r="F24" s="4" t="s">
        <v>3114</v>
      </c>
      <c r="G24" s="2">
        <v>59869.389999999992</v>
      </c>
      <c r="H24" s="2">
        <v>59699.200000000026</v>
      </c>
      <c r="I24" s="2">
        <v>119568.59000000003</v>
      </c>
      <c r="L24" s="3" t="s">
        <v>9</v>
      </c>
      <c r="M24" t="s">
        <v>19</v>
      </c>
      <c r="O24" s="4" t="s">
        <v>27</v>
      </c>
      <c r="P24" s="6">
        <v>273406.79000000004</v>
      </c>
      <c r="R24" s="4" t="s">
        <v>3101</v>
      </c>
      <c r="S24" s="6">
        <v>1176512.509999993</v>
      </c>
      <c r="U24" s="4" t="s">
        <v>27</v>
      </c>
      <c r="V24">
        <v>73</v>
      </c>
    </row>
    <row r="25" spans="2:22" x14ac:dyDescent="0.25">
      <c r="B25" s="4" t="s">
        <v>62</v>
      </c>
      <c r="C25">
        <v>299</v>
      </c>
      <c r="F25" s="4" t="s">
        <v>3115</v>
      </c>
      <c r="G25" s="2">
        <v>62925.89</v>
      </c>
      <c r="H25" s="2">
        <v>32531.170000000009</v>
      </c>
      <c r="I25" s="2">
        <v>95457.060000000012</v>
      </c>
      <c r="O25" s="4" t="s">
        <v>38</v>
      </c>
      <c r="P25" s="6">
        <v>47830.319999999992</v>
      </c>
      <c r="U25" s="4" t="s">
        <v>38</v>
      </c>
      <c r="V25">
        <v>84</v>
      </c>
    </row>
    <row r="26" spans="2:22" x14ac:dyDescent="0.25">
      <c r="B26" s="4" t="s">
        <v>3101</v>
      </c>
      <c r="C26">
        <v>3000</v>
      </c>
      <c r="F26" s="4" t="s">
        <v>3116</v>
      </c>
      <c r="G26" s="2">
        <v>53000.129999999983</v>
      </c>
      <c r="H26" s="2">
        <v>49440.19000000001</v>
      </c>
      <c r="I26" s="2">
        <v>102440.31999999999</v>
      </c>
      <c r="L26" s="3" t="s">
        <v>3100</v>
      </c>
      <c r="M26" t="s">
        <v>3128</v>
      </c>
      <c r="O26" s="4" t="s">
        <v>3101</v>
      </c>
      <c r="P26" s="6">
        <v>1176512.5099999967</v>
      </c>
      <c r="U26" s="4" t="s">
        <v>3101</v>
      </c>
      <c r="V26">
        <v>510</v>
      </c>
    </row>
    <row r="27" spans="2:22" x14ac:dyDescent="0.25">
      <c r="F27" s="4" t="s">
        <v>3117</v>
      </c>
      <c r="G27" s="2">
        <v>35617.870000000003</v>
      </c>
      <c r="H27" s="2">
        <v>36725.46</v>
      </c>
      <c r="I27" s="2">
        <v>72343.33</v>
      </c>
      <c r="L27" s="4" t="s">
        <v>44</v>
      </c>
      <c r="M27" s="6">
        <v>684.45355864811063</v>
      </c>
    </row>
    <row r="28" spans="2:22" x14ac:dyDescent="0.25">
      <c r="F28" s="4" t="s">
        <v>3118</v>
      </c>
      <c r="G28" s="2">
        <v>54113.109999999971</v>
      </c>
      <c r="H28" s="2">
        <v>48285.240000000013</v>
      </c>
      <c r="I28" s="2">
        <v>102398.34999999998</v>
      </c>
      <c r="L28" s="4" t="s">
        <v>52</v>
      </c>
      <c r="M28" s="6">
        <v>693.03207386363738</v>
      </c>
    </row>
    <row r="29" spans="2:22" x14ac:dyDescent="0.25">
      <c r="F29" s="4" t="s">
        <v>3119</v>
      </c>
      <c r="G29" s="2">
        <v>50236.179999999993</v>
      </c>
      <c r="H29" s="2">
        <v>64684.310000000005</v>
      </c>
      <c r="I29" s="2">
        <v>114920.48999999999</v>
      </c>
      <c r="L29" s="4" t="s">
        <v>57</v>
      </c>
      <c r="M29" s="6">
        <v>762.69306122448972</v>
      </c>
      <c r="O29" s="3" t="s">
        <v>9</v>
      </c>
      <c r="P29" t="s">
        <v>3095</v>
      </c>
      <c r="U29" s="10" t="s">
        <v>3132</v>
      </c>
    </row>
    <row r="30" spans="2:22" x14ac:dyDescent="0.25">
      <c r="F30" s="4" t="s">
        <v>3120</v>
      </c>
      <c r="G30" s="2">
        <v>42109.73</v>
      </c>
      <c r="H30" s="2">
        <v>38637.830000000009</v>
      </c>
      <c r="I30" s="2">
        <v>80747.560000000012</v>
      </c>
      <c r="L30" s="4" t="s">
        <v>20</v>
      </c>
      <c r="M30" s="6">
        <v>643.53528822054943</v>
      </c>
    </row>
    <row r="31" spans="2:22" x14ac:dyDescent="0.25">
      <c r="B31" s="10"/>
      <c r="F31" s="4" t="s">
        <v>3121</v>
      </c>
      <c r="G31" s="2">
        <v>64560.779999999984</v>
      </c>
      <c r="H31" s="2">
        <v>51796.149999999965</v>
      </c>
      <c r="I31" s="2">
        <v>116356.92999999995</v>
      </c>
      <c r="L31" s="4" t="s">
        <v>3101</v>
      </c>
      <c r="M31" s="6">
        <v>671.90891490575177</v>
      </c>
      <c r="O31" s="3" t="s">
        <v>3100</v>
      </c>
      <c r="P31" t="s">
        <v>3129</v>
      </c>
      <c r="U31" s="3" t="s">
        <v>9</v>
      </c>
      <c r="V31" t="s">
        <v>116</v>
      </c>
    </row>
    <row r="32" spans="2:22" x14ac:dyDescent="0.25">
      <c r="F32" s="4" t="s">
        <v>3122</v>
      </c>
      <c r="G32" s="2">
        <v>32394.430000000008</v>
      </c>
      <c r="H32" s="2">
        <v>37924.219999999994</v>
      </c>
      <c r="I32" s="2">
        <v>70318.649999999994</v>
      </c>
      <c r="O32" s="4" t="s">
        <v>31</v>
      </c>
      <c r="P32" s="18">
        <v>1895</v>
      </c>
    </row>
    <row r="33" spans="2:22" x14ac:dyDescent="0.25">
      <c r="F33" s="4" t="s">
        <v>3123</v>
      </c>
      <c r="G33" s="2">
        <v>31354.900000000012</v>
      </c>
      <c r="H33" s="2">
        <v>58742.909999999982</v>
      </c>
      <c r="I33" s="2">
        <v>90097.81</v>
      </c>
      <c r="O33" s="4" t="s">
        <v>43</v>
      </c>
      <c r="P33" s="18">
        <v>1154</v>
      </c>
      <c r="U33" s="3" t="s">
        <v>3100</v>
      </c>
      <c r="V33" t="s">
        <v>3129</v>
      </c>
    </row>
    <row r="34" spans="2:22" x14ac:dyDescent="0.25">
      <c r="F34" s="4" t="s">
        <v>3101</v>
      </c>
      <c r="G34" s="2">
        <v>601348.29999999993</v>
      </c>
      <c r="H34" s="2">
        <v>575164.21</v>
      </c>
      <c r="I34" s="2">
        <v>1176512.51</v>
      </c>
      <c r="L34" s="3" t="s">
        <v>9</v>
      </c>
      <c r="M34" t="s">
        <v>19</v>
      </c>
      <c r="O34" s="4" t="s">
        <v>18</v>
      </c>
      <c r="P34" s="18">
        <v>2447</v>
      </c>
      <c r="U34" s="4" t="s">
        <v>31</v>
      </c>
      <c r="V34">
        <v>96</v>
      </c>
    </row>
    <row r="35" spans="2:22" x14ac:dyDescent="0.25">
      <c r="B35" s="10"/>
      <c r="O35" s="4" t="s">
        <v>27</v>
      </c>
      <c r="P35" s="18">
        <v>1771</v>
      </c>
      <c r="U35" s="4" t="s">
        <v>43</v>
      </c>
      <c r="V35">
        <v>35</v>
      </c>
    </row>
    <row r="36" spans="2:22" x14ac:dyDescent="0.25">
      <c r="L36" s="3" t="s">
        <v>3100</v>
      </c>
      <c r="M36" t="s">
        <v>3128</v>
      </c>
      <c r="O36" s="4" t="s">
        <v>38</v>
      </c>
      <c r="P36" s="18">
        <v>1822</v>
      </c>
      <c r="U36" s="4" t="s">
        <v>18</v>
      </c>
      <c r="V36">
        <v>102</v>
      </c>
    </row>
    <row r="37" spans="2:22" x14ac:dyDescent="0.25">
      <c r="L37" s="4" t="s">
        <v>31</v>
      </c>
      <c r="M37" s="6">
        <v>347.71635854341804</v>
      </c>
      <c r="O37" s="4" t="s">
        <v>3101</v>
      </c>
      <c r="P37" s="18">
        <v>9089</v>
      </c>
      <c r="U37" s="4" t="s">
        <v>27</v>
      </c>
      <c r="V37">
        <v>61</v>
      </c>
    </row>
    <row r="38" spans="2:22" x14ac:dyDescent="0.25">
      <c r="L38" s="4" t="s">
        <v>43</v>
      </c>
      <c r="M38" s="6">
        <v>320.52553398058251</v>
      </c>
      <c r="U38" s="4" t="s">
        <v>38</v>
      </c>
      <c r="V38">
        <v>105</v>
      </c>
    </row>
    <row r="39" spans="2:22" x14ac:dyDescent="0.25">
      <c r="L39" s="4" t="s">
        <v>18</v>
      </c>
      <c r="M39" s="6">
        <v>1346.3813765182117</v>
      </c>
      <c r="U39" s="4" t="s">
        <v>3101</v>
      </c>
      <c r="V39">
        <v>399</v>
      </c>
    </row>
    <row r="40" spans="2:22" x14ac:dyDescent="0.25">
      <c r="B40" s="3" t="s">
        <v>9</v>
      </c>
      <c r="C40" t="s">
        <v>19</v>
      </c>
      <c r="L40" s="4" t="s">
        <v>27</v>
      </c>
      <c r="M40" s="6">
        <v>770.15997183098602</v>
      </c>
    </row>
    <row r="41" spans="2:22" x14ac:dyDescent="0.25">
      <c r="L41" s="4" t="s">
        <v>38</v>
      </c>
      <c r="M41" s="6">
        <v>141.09238938053096</v>
      </c>
    </row>
    <row r="42" spans="2:22" x14ac:dyDescent="0.25">
      <c r="B42" s="3" t="s">
        <v>3100</v>
      </c>
      <c r="C42" t="s">
        <v>3096</v>
      </c>
      <c r="L42" s="4" t="s">
        <v>3101</v>
      </c>
      <c r="M42" s="6">
        <v>671.90891490575302</v>
      </c>
      <c r="O42" s="3" t="s">
        <v>9</v>
      </c>
      <c r="P42" t="s">
        <v>19</v>
      </c>
    </row>
    <row r="43" spans="2:22" x14ac:dyDescent="0.25">
      <c r="B43" s="4" t="s">
        <v>33</v>
      </c>
      <c r="C43">
        <v>124</v>
      </c>
      <c r="E43" s="3" t="s">
        <v>9</v>
      </c>
      <c r="F43" t="s">
        <v>3095</v>
      </c>
    </row>
    <row r="44" spans="2:22" x14ac:dyDescent="0.25">
      <c r="B44" s="4" t="s">
        <v>95</v>
      </c>
      <c r="C44">
        <v>116</v>
      </c>
      <c r="O44" s="3" t="s">
        <v>3100</v>
      </c>
      <c r="P44" t="s">
        <v>3140</v>
      </c>
      <c r="Q44" t="s">
        <v>3141</v>
      </c>
    </row>
    <row r="45" spans="2:22" x14ac:dyDescent="0.25">
      <c r="B45" s="4" t="s">
        <v>58</v>
      </c>
      <c r="C45">
        <v>116</v>
      </c>
      <c r="E45" s="3" t="s">
        <v>3135</v>
      </c>
      <c r="F45" t="s">
        <v>3129</v>
      </c>
      <c r="O45" s="4" t="s">
        <v>44</v>
      </c>
      <c r="P45" s="18">
        <v>503</v>
      </c>
      <c r="Q45" s="6">
        <v>344280.13999999966</v>
      </c>
    </row>
    <row r="46" spans="2:22" x14ac:dyDescent="0.25">
      <c r="B46" s="4" t="s">
        <v>53</v>
      </c>
      <c r="C46">
        <v>100</v>
      </c>
      <c r="E46" s="4" t="s">
        <v>70</v>
      </c>
      <c r="F46" s="18">
        <v>348</v>
      </c>
      <c r="O46" s="4" t="s">
        <v>52</v>
      </c>
      <c r="P46" s="18">
        <v>352</v>
      </c>
      <c r="Q46" s="6">
        <v>243947.29000000036</v>
      </c>
      <c r="T46" s="10" t="s">
        <v>3144</v>
      </c>
    </row>
    <row r="47" spans="2:22" x14ac:dyDescent="0.25">
      <c r="B47" s="4" t="s">
        <v>67</v>
      </c>
      <c r="C47">
        <v>119</v>
      </c>
      <c r="E47" s="4" t="s">
        <v>81</v>
      </c>
      <c r="F47" s="18">
        <v>346</v>
      </c>
      <c r="O47" s="4" t="s">
        <v>57</v>
      </c>
      <c r="P47" s="18">
        <v>98</v>
      </c>
      <c r="Q47" s="6">
        <v>74743.92</v>
      </c>
    </row>
    <row r="48" spans="2:22" x14ac:dyDescent="0.25">
      <c r="B48" s="4" t="s">
        <v>46</v>
      </c>
      <c r="C48">
        <v>127</v>
      </c>
      <c r="E48" s="4" t="s">
        <v>122</v>
      </c>
      <c r="F48" s="18">
        <v>336</v>
      </c>
      <c r="O48" s="4" t="s">
        <v>20</v>
      </c>
      <c r="P48" s="18">
        <v>798</v>
      </c>
      <c r="Q48" s="6">
        <v>513541.1599999984</v>
      </c>
      <c r="T48" s="3" t="s">
        <v>3098</v>
      </c>
      <c r="U48" s="3" t="s">
        <v>3124</v>
      </c>
    </row>
    <row r="49" spans="2:23" x14ac:dyDescent="0.25">
      <c r="B49" s="4" t="s">
        <v>120</v>
      </c>
      <c r="C49">
        <v>134</v>
      </c>
      <c r="E49" s="4" t="s">
        <v>17</v>
      </c>
      <c r="F49" s="18">
        <v>372</v>
      </c>
      <c r="J49" s="3" t="s">
        <v>9</v>
      </c>
      <c r="K49" t="s">
        <v>19</v>
      </c>
      <c r="O49" s="4" t="s">
        <v>3101</v>
      </c>
      <c r="P49" s="18">
        <v>1751</v>
      </c>
      <c r="Q49" s="6">
        <v>1176512.5099999714</v>
      </c>
      <c r="T49" s="3" t="s">
        <v>3100</v>
      </c>
      <c r="U49" t="s">
        <v>90</v>
      </c>
      <c r="V49" t="s">
        <v>116</v>
      </c>
      <c r="W49" t="s">
        <v>3101</v>
      </c>
    </row>
    <row r="50" spans="2:23" x14ac:dyDescent="0.25">
      <c r="B50" s="4" t="s">
        <v>101</v>
      </c>
      <c r="C50">
        <v>106</v>
      </c>
      <c r="E50" s="4" t="s">
        <v>109</v>
      </c>
      <c r="F50" s="18">
        <v>348</v>
      </c>
      <c r="T50" s="4" t="s">
        <v>3112</v>
      </c>
      <c r="U50" s="2">
        <v>12189.959999999997</v>
      </c>
      <c r="V50" s="2">
        <v>2225.3200000000002</v>
      </c>
      <c r="W50" s="2">
        <v>14415.279999999997</v>
      </c>
    </row>
    <row r="51" spans="2:23" x14ac:dyDescent="0.25">
      <c r="B51" s="4" t="s">
        <v>73</v>
      </c>
      <c r="C51">
        <v>121</v>
      </c>
      <c r="E51" s="4" t="s">
        <v>3101</v>
      </c>
      <c r="F51" s="18">
        <v>1750</v>
      </c>
      <c r="J51" s="3" t="s">
        <v>3129</v>
      </c>
      <c r="K51" s="3" t="s">
        <v>3124</v>
      </c>
      <c r="T51" s="4" t="s">
        <v>3113</v>
      </c>
      <c r="U51" s="2">
        <v>9560.4799999999977</v>
      </c>
      <c r="V51" s="2">
        <v>6360.9499999999989</v>
      </c>
      <c r="W51" s="2">
        <v>15921.429999999997</v>
      </c>
    </row>
    <row r="52" spans="2:23" x14ac:dyDescent="0.25">
      <c r="B52" s="4" t="s">
        <v>39</v>
      </c>
      <c r="C52">
        <v>117</v>
      </c>
      <c r="J52" s="3" t="s">
        <v>3100</v>
      </c>
      <c r="K52" t="s">
        <v>3110</v>
      </c>
      <c r="L52" t="s">
        <v>3111</v>
      </c>
      <c r="M52" t="s">
        <v>3101</v>
      </c>
      <c r="T52" s="4" t="s">
        <v>3114</v>
      </c>
      <c r="U52" s="2">
        <v>2042.1300000000003</v>
      </c>
      <c r="V52" s="2">
        <v>9367.19</v>
      </c>
      <c r="W52" s="2">
        <v>11409.320000000002</v>
      </c>
    </row>
    <row r="53" spans="2:23" x14ac:dyDescent="0.25">
      <c r="B53" s="4" t="s">
        <v>84</v>
      </c>
      <c r="C53">
        <v>123</v>
      </c>
      <c r="J53" s="4" t="s">
        <v>3112</v>
      </c>
      <c r="K53">
        <v>220</v>
      </c>
      <c r="L53">
        <v>205</v>
      </c>
      <c r="M53">
        <v>425</v>
      </c>
      <c r="T53" s="4" t="s">
        <v>3115</v>
      </c>
      <c r="U53" s="2">
        <v>11894.71</v>
      </c>
      <c r="V53" s="2">
        <v>6032.19</v>
      </c>
      <c r="W53" s="2">
        <v>17926.899999999998</v>
      </c>
    </row>
    <row r="54" spans="2:23" x14ac:dyDescent="0.25">
      <c r="B54" s="4" t="s">
        <v>22</v>
      </c>
      <c r="C54">
        <v>106</v>
      </c>
      <c r="E54" s="3" t="s">
        <v>9</v>
      </c>
      <c r="F54" t="s">
        <v>3095</v>
      </c>
      <c r="J54" s="4" t="s">
        <v>3113</v>
      </c>
      <c r="K54">
        <v>256</v>
      </c>
      <c r="L54">
        <v>192</v>
      </c>
      <c r="M54">
        <v>448</v>
      </c>
      <c r="O54" s="3" t="s">
        <v>9</v>
      </c>
      <c r="P54" t="s">
        <v>19</v>
      </c>
      <c r="T54" s="4" t="s">
        <v>3116</v>
      </c>
      <c r="U54" s="2">
        <v>8999.4499999999989</v>
      </c>
      <c r="V54" s="2">
        <v>13518.01</v>
      </c>
      <c r="W54" s="2">
        <v>22517.46</v>
      </c>
    </row>
    <row r="55" spans="2:23" x14ac:dyDescent="0.25">
      <c r="B55" s="4" t="s">
        <v>63</v>
      </c>
      <c r="C55">
        <v>115</v>
      </c>
      <c r="J55" s="4" t="s">
        <v>3114</v>
      </c>
      <c r="K55">
        <v>261</v>
      </c>
      <c r="L55">
        <v>225</v>
      </c>
      <c r="M55">
        <v>486</v>
      </c>
      <c r="T55" s="4" t="s">
        <v>3117</v>
      </c>
      <c r="U55" s="2">
        <v>4759.9199999999992</v>
      </c>
      <c r="V55" s="2">
        <v>7431.6699999999983</v>
      </c>
      <c r="W55" s="2">
        <v>12191.589999999997</v>
      </c>
    </row>
    <row r="56" spans="2:23" x14ac:dyDescent="0.25">
      <c r="B56" s="4" t="s">
        <v>65</v>
      </c>
      <c r="C56">
        <v>113</v>
      </c>
      <c r="E56" s="3" t="s">
        <v>3135</v>
      </c>
      <c r="F56" t="s">
        <v>3133</v>
      </c>
      <c r="J56" s="4" t="s">
        <v>3115</v>
      </c>
      <c r="K56">
        <v>246</v>
      </c>
      <c r="L56">
        <v>218</v>
      </c>
      <c r="M56">
        <v>464</v>
      </c>
      <c r="O56" s="3" t="s">
        <v>3100</v>
      </c>
      <c r="P56" t="s">
        <v>3098</v>
      </c>
      <c r="T56" s="4" t="s">
        <v>3118</v>
      </c>
      <c r="U56" s="2">
        <v>3195.63</v>
      </c>
      <c r="V56" s="2">
        <v>4796.3599999999997</v>
      </c>
      <c r="W56" s="2">
        <v>7991.99</v>
      </c>
    </row>
    <row r="57" spans="2:23" x14ac:dyDescent="0.25">
      <c r="B57" s="4" t="s">
        <v>123</v>
      </c>
      <c r="C57">
        <v>114</v>
      </c>
      <c r="E57" s="4" t="s">
        <v>42</v>
      </c>
      <c r="F57" s="18">
        <v>255</v>
      </c>
      <c r="J57" s="4" t="s">
        <v>3116</v>
      </c>
      <c r="K57">
        <v>262</v>
      </c>
      <c r="L57">
        <v>226</v>
      </c>
      <c r="M57">
        <v>488</v>
      </c>
      <c r="O57" s="4" t="s">
        <v>152</v>
      </c>
      <c r="P57" s="6">
        <v>145913.53999999995</v>
      </c>
      <c r="T57" s="4" t="s">
        <v>3119</v>
      </c>
      <c r="U57" s="2">
        <v>6917.2000000000007</v>
      </c>
      <c r="V57" s="2">
        <v>3417.7200000000003</v>
      </c>
      <c r="W57" s="2">
        <v>10334.920000000002</v>
      </c>
    </row>
    <row r="58" spans="2:23" x14ac:dyDescent="0.25">
      <c r="B58" s="4" t="s">
        <v>3101</v>
      </c>
      <c r="C58">
        <v>1751</v>
      </c>
      <c r="E58" s="4" t="s">
        <v>26</v>
      </c>
      <c r="F58" s="18">
        <v>253</v>
      </c>
      <c r="J58" s="4" t="s">
        <v>3117</v>
      </c>
      <c r="K58">
        <v>208</v>
      </c>
      <c r="L58">
        <v>204</v>
      </c>
      <c r="M58">
        <v>412</v>
      </c>
      <c r="O58" s="4" t="s">
        <v>28</v>
      </c>
      <c r="P58" s="6">
        <v>243284.87000000032</v>
      </c>
      <c r="T58" s="4" t="s">
        <v>3120</v>
      </c>
      <c r="U58" s="2">
        <v>15706.4</v>
      </c>
      <c r="V58" s="2">
        <v>8242.16</v>
      </c>
      <c r="W58" s="2">
        <v>23948.559999999998</v>
      </c>
    </row>
    <row r="59" spans="2:23" x14ac:dyDescent="0.25">
      <c r="E59" s="4" t="s">
        <v>94</v>
      </c>
      <c r="F59" s="18">
        <v>258</v>
      </c>
      <c r="J59" s="4" t="s">
        <v>3118</v>
      </c>
      <c r="K59">
        <v>229</v>
      </c>
      <c r="L59">
        <v>216</v>
      </c>
      <c r="M59">
        <v>445</v>
      </c>
      <c r="O59" s="4" t="s">
        <v>21</v>
      </c>
      <c r="P59" s="6">
        <v>364906.70999999938</v>
      </c>
      <c r="T59" s="4" t="s">
        <v>3121</v>
      </c>
      <c r="U59" s="2">
        <v>15968.609999999997</v>
      </c>
      <c r="V59" s="2">
        <v>8910.1399999999976</v>
      </c>
      <c r="W59" s="2">
        <v>24878.749999999993</v>
      </c>
    </row>
    <row r="60" spans="2:23" x14ac:dyDescent="0.25">
      <c r="E60" s="4" t="s">
        <v>163</v>
      </c>
      <c r="F60" s="18">
        <v>259</v>
      </c>
      <c r="J60" s="4" t="s">
        <v>3119</v>
      </c>
      <c r="K60">
        <v>207</v>
      </c>
      <c r="L60">
        <v>269</v>
      </c>
      <c r="M60">
        <v>476</v>
      </c>
      <c r="O60" s="4" t="s">
        <v>45</v>
      </c>
      <c r="P60" s="6">
        <v>304210.58999999979</v>
      </c>
      <c r="T60" s="4" t="s">
        <v>3122</v>
      </c>
      <c r="U60" s="2">
        <v>9278.029999999997</v>
      </c>
      <c r="V60" s="2">
        <v>7069.6099999999979</v>
      </c>
      <c r="W60" s="2">
        <v>16347.639999999996</v>
      </c>
    </row>
    <row r="61" spans="2:23" x14ac:dyDescent="0.25">
      <c r="E61" s="4" t="s">
        <v>89</v>
      </c>
      <c r="F61" s="18">
        <v>260</v>
      </c>
      <c r="J61" s="4" t="s">
        <v>3120</v>
      </c>
      <c r="K61">
        <v>207</v>
      </c>
      <c r="L61">
        <v>177</v>
      </c>
      <c r="M61">
        <v>384</v>
      </c>
      <c r="O61" s="4" t="s">
        <v>32</v>
      </c>
      <c r="P61" s="6">
        <v>118196.80000000013</v>
      </c>
      <c r="T61" s="4" t="s">
        <v>3123</v>
      </c>
      <c r="U61" s="2">
        <v>11077.179999999995</v>
      </c>
      <c r="V61" s="2">
        <v>3836.69</v>
      </c>
      <c r="W61" s="2">
        <v>14913.869999999995</v>
      </c>
    </row>
    <row r="62" spans="2:23" x14ac:dyDescent="0.25">
      <c r="E62" s="4" t="s">
        <v>3101</v>
      </c>
      <c r="F62" s="18">
        <v>1285</v>
      </c>
      <c r="J62" s="4" t="s">
        <v>3121</v>
      </c>
      <c r="K62">
        <v>247</v>
      </c>
      <c r="L62">
        <v>240</v>
      </c>
      <c r="M62">
        <v>487</v>
      </c>
      <c r="O62" s="4" t="s">
        <v>3101</v>
      </c>
      <c r="P62" s="6">
        <v>1176512.5099999995</v>
      </c>
      <c r="T62" s="4" t="s">
        <v>3101</v>
      </c>
      <c r="U62" s="2">
        <v>111589.69999999998</v>
      </c>
      <c r="V62" s="2">
        <v>81208.009999999995</v>
      </c>
      <c r="W62" s="2">
        <v>192797.70999999996</v>
      </c>
    </row>
    <row r="63" spans="2:23" x14ac:dyDescent="0.25">
      <c r="J63" s="4" t="s">
        <v>3122</v>
      </c>
      <c r="K63">
        <v>182</v>
      </c>
      <c r="L63">
        <v>223</v>
      </c>
      <c r="M63">
        <v>405</v>
      </c>
    </row>
    <row r="64" spans="2:23" x14ac:dyDescent="0.25">
      <c r="B64" s="3" t="s">
        <v>9</v>
      </c>
      <c r="C64" t="s">
        <v>19</v>
      </c>
      <c r="J64" s="4" t="s">
        <v>3123</v>
      </c>
      <c r="K64">
        <v>150</v>
      </c>
      <c r="L64">
        <v>254</v>
      </c>
      <c r="M64">
        <v>404</v>
      </c>
    </row>
    <row r="65" spans="2:16" x14ac:dyDescent="0.25">
      <c r="B65" s="3" t="s">
        <v>6</v>
      </c>
      <c r="C65" t="s">
        <v>3097</v>
      </c>
      <c r="E65" s="3" t="s">
        <v>9</v>
      </c>
      <c r="F65" t="s">
        <v>19</v>
      </c>
      <c r="J65" s="4" t="s">
        <v>3101</v>
      </c>
      <c r="K65">
        <v>2675</v>
      </c>
      <c r="L65">
        <v>2649</v>
      </c>
      <c r="M65">
        <v>5324</v>
      </c>
    </row>
    <row r="67" spans="2:16" x14ac:dyDescent="0.25">
      <c r="B67" t="s">
        <v>3096</v>
      </c>
      <c r="E67" t="s">
        <v>3138</v>
      </c>
      <c r="O67" s="3" t="s">
        <v>3135</v>
      </c>
      <c r="P67" t="s">
        <v>3134</v>
      </c>
    </row>
    <row r="68" spans="2:16" x14ac:dyDescent="0.25">
      <c r="B68" s="18">
        <v>986</v>
      </c>
      <c r="E68" s="2">
        <v>86108.249999999985</v>
      </c>
      <c r="O68" s="4" t="s">
        <v>87</v>
      </c>
      <c r="P68" s="11">
        <v>3.5</v>
      </c>
    </row>
    <row r="69" spans="2:16" x14ac:dyDescent="0.25">
      <c r="O69" s="4" t="s">
        <v>115</v>
      </c>
      <c r="P69" s="11">
        <v>3.358490566037736</v>
      </c>
    </row>
    <row r="70" spans="2:16" x14ac:dyDescent="0.25">
      <c r="O70" s="4" t="s">
        <v>156</v>
      </c>
      <c r="P70" s="11">
        <v>3.2941176470588234</v>
      </c>
    </row>
    <row r="71" spans="2:16" x14ac:dyDescent="0.25">
      <c r="B71" s="3" t="s">
        <v>9</v>
      </c>
      <c r="C71" t="s">
        <v>19</v>
      </c>
      <c r="E71" s="3" t="s">
        <v>9</v>
      </c>
      <c r="F71" t="s">
        <v>19</v>
      </c>
      <c r="O71" s="4" t="s">
        <v>61</v>
      </c>
      <c r="P71" s="11">
        <v>3.262295081967213</v>
      </c>
    </row>
    <row r="72" spans="2:16" x14ac:dyDescent="0.25">
      <c r="O72" s="4" t="s">
        <v>143</v>
      </c>
      <c r="P72" s="11">
        <v>3.2222222222222223</v>
      </c>
    </row>
    <row r="73" spans="2:16" x14ac:dyDescent="0.25">
      <c r="B73" t="s">
        <v>3096</v>
      </c>
      <c r="E73" t="s">
        <v>3139</v>
      </c>
      <c r="O73" s="4" t="s">
        <v>3101</v>
      </c>
      <c r="P73" s="11">
        <v>3.3228346456692912</v>
      </c>
    </row>
    <row r="74" spans="2:16" x14ac:dyDescent="0.25">
      <c r="B74" s="18">
        <v>1751</v>
      </c>
      <c r="E74" s="2">
        <v>1262620.7599999697</v>
      </c>
    </row>
    <row r="76" spans="2:16" x14ac:dyDescent="0.25">
      <c r="B76" s="10" t="s">
        <v>3136</v>
      </c>
      <c r="E76" s="10" t="s">
        <v>3137</v>
      </c>
      <c r="O76" s="3" t="s">
        <v>3135</v>
      </c>
      <c r="P76" t="s">
        <v>3134</v>
      </c>
    </row>
    <row r="77" spans="2:16" x14ac:dyDescent="0.25">
      <c r="B77" s="15">
        <f>GETPIVOTDATA("order_id",$B$67)/GETPIVOTDATA("order_id",$B$73)</f>
        <v>0.56310679611650483</v>
      </c>
      <c r="E77" s="15">
        <f>GETPIVOTDATA("Descuento",$E$67)/GETPIVOTDATA("Total bruto (antes de descuento)",$E$73)</f>
        <v>6.8198031212477486E-2</v>
      </c>
      <c r="O77" s="4" t="s">
        <v>151</v>
      </c>
      <c r="P77" s="11">
        <v>2.5333333333333332</v>
      </c>
    </row>
    <row r="78" spans="2:16" x14ac:dyDescent="0.25">
      <c r="B78" s="13">
        <f>1-B77</f>
        <v>0.43689320388349517</v>
      </c>
      <c r="E78" s="13">
        <f>1-E77</f>
        <v>0.93180196878752253</v>
      </c>
      <c r="O78" s="4" t="s">
        <v>205</v>
      </c>
      <c r="P78" s="11">
        <v>2.65</v>
      </c>
    </row>
    <row r="79" spans="2:16" x14ac:dyDescent="0.25">
      <c r="O79" s="4" t="s">
        <v>76</v>
      </c>
      <c r="P79" s="11">
        <v>2.7543859649122808</v>
      </c>
    </row>
    <row r="80" spans="2:16" x14ac:dyDescent="0.25">
      <c r="O80" s="4" t="s">
        <v>104</v>
      </c>
      <c r="P80" s="11">
        <v>2.8076923076923075</v>
      </c>
    </row>
    <row r="81" spans="15:16" x14ac:dyDescent="0.25">
      <c r="O81" s="4" t="s">
        <v>78</v>
      </c>
      <c r="P81" s="11">
        <v>2.8095238095238093</v>
      </c>
    </row>
    <row r="82" spans="15:16" x14ac:dyDescent="0.25">
      <c r="O82" s="4" t="s">
        <v>3101</v>
      </c>
      <c r="P82" s="11">
        <v>2.7073170731707319</v>
      </c>
    </row>
  </sheetData>
  <mergeCells count="1">
    <mergeCell ref="O16:P16"/>
  </mergeCells>
  <conditionalFormatting sqref="C37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6805-70C3-42C1-BDBE-F0874AEEF18B}">
  <dimension ref="A1"/>
  <sheetViews>
    <sheetView showGridLines="0" tabSelected="1" zoomScaleNormal="100" workbookViewId="0">
      <selection activeCell="AC25" sqref="AC25"/>
    </sheetView>
  </sheetViews>
  <sheetFormatPr baseColWidth="10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73783C-A7DE-40AC-8CC1-E2F411BAA7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ventas_dashboard</vt:lpstr>
      <vt:lpstr>Análisis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2026-06-05T19:04:15Z</dcterms:created>
  <dcterms:modified xsi:type="dcterms:W3CDTF">2026-07-13T19:45:10Z</dcterms:modified>
</cp:coreProperties>
</file>